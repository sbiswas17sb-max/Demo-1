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Cache/pivotCacheDefinition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  <workbookView xWindow="384" yWindow="336" windowWidth="22644" windowHeight="9228" activeTab="4"/>
    <workbookView xWindow="672" yWindow="612" windowWidth="22356" windowHeight="8952" activeTab="2"/>
  </bookViews>
  <sheets>
    <sheet name="streaming_service_data" sheetId="1" r:id="rId1"/>
    <sheet name="Sol 1" sheetId="2" r:id="rId2"/>
    <sheet name="Sol 2" sheetId="4" r:id="rId3"/>
    <sheet name="Sol 3" sheetId="5" r:id="rId4"/>
    <sheet name="Sol 4" sheetId="6" r:id="rId5"/>
    <sheet name="Sol 5" sheetId="7" r:id="rId6"/>
  </sheets>
  <definedNames>
    <definedName name="_xlnm._FilterDatabase" localSheetId="1" hidden="1">'Sol 1'!$A$1:$E$1001</definedName>
    <definedName name="_xlnm._FilterDatabase" localSheetId="3" hidden="1">'Sol 3'!$J$50:$K$54</definedName>
    <definedName name="_xlnm._FilterDatabase" localSheetId="5" hidden="1">'Sol 5'!$R$2:$U$31</definedName>
    <definedName name="_xlnm._FilterDatabase" localSheetId="0" hidden="1">streaming_service_data!$A$1:$W$1001</definedName>
  </definedNames>
  <calcPr calcId="124519"/>
  <pivotCaches>
    <pivotCache cacheId="0" r:id="rId7"/>
    <pivotCache cacheId="1" r:id="rId8"/>
    <pivotCache cacheId="5" r:id="rId9"/>
    <pivotCache cacheId="10" r:id="rId10"/>
    <pivotCache cacheId="17" r:id="rId11"/>
    <pivotCache cacheId="20" r:id="rId12"/>
  </pivotCaches>
</workbook>
</file>

<file path=xl/calcChain.xml><?xml version="1.0" encoding="utf-8"?>
<calcChain xmlns="http://schemas.openxmlformats.org/spreadsheetml/2006/main">
  <c r="R28" i="7"/>
  <c r="R29" s="1"/>
  <c r="R30" s="1"/>
  <c r="R24"/>
  <c r="R25" s="1"/>
  <c r="R26" s="1"/>
  <c r="R20"/>
  <c r="R21" s="1"/>
  <c r="R22" s="1"/>
  <c r="R16"/>
  <c r="R17" s="1"/>
  <c r="R18" s="1"/>
  <c r="R12"/>
  <c r="R13" s="1"/>
  <c r="R14" s="1"/>
  <c r="R8"/>
  <c r="R9" s="1"/>
  <c r="R10" s="1"/>
  <c r="R4"/>
  <c r="R5" s="1"/>
  <c r="R6" s="1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O30"/>
  <c r="P30" s="1"/>
  <c r="O29"/>
  <c r="P29" s="1"/>
  <c r="O28"/>
  <c r="P28" s="1"/>
  <c r="O27"/>
  <c r="P27" s="1"/>
  <c r="O26"/>
  <c r="P26" s="1"/>
  <c r="O25"/>
  <c r="P25" s="1"/>
  <c r="O24"/>
  <c r="P24" s="1"/>
  <c r="O23"/>
  <c r="P23" s="1"/>
  <c r="O22"/>
  <c r="P22" s="1"/>
  <c r="O21"/>
  <c r="P21" s="1"/>
  <c r="O20"/>
  <c r="P20" s="1"/>
  <c r="O19"/>
  <c r="P19" s="1"/>
  <c r="O18"/>
  <c r="P18" s="1"/>
  <c r="O17"/>
  <c r="P17" s="1"/>
  <c r="O16"/>
  <c r="P16" s="1"/>
  <c r="O15"/>
  <c r="P15" s="1"/>
  <c r="O14"/>
  <c r="P14" s="1"/>
  <c r="O13"/>
  <c r="P13" s="1"/>
  <c r="O12"/>
  <c r="P12" s="1"/>
  <c r="O11"/>
  <c r="P11" s="1"/>
  <c r="O10"/>
  <c r="P10" s="1"/>
  <c r="O9"/>
  <c r="P9" s="1"/>
  <c r="O8"/>
  <c r="P8" s="1"/>
  <c r="O7"/>
  <c r="P7" s="1"/>
  <c r="O6"/>
  <c r="P6" s="1"/>
  <c r="O5"/>
  <c r="P5" s="1"/>
  <c r="O4"/>
  <c r="P4" s="1"/>
  <c r="O3"/>
  <c r="P3" s="1"/>
  <c r="K4" i="6"/>
  <c r="K3"/>
  <c r="K51" i="5"/>
  <c r="K53"/>
  <c r="K54"/>
  <c r="K52"/>
  <c r="K43"/>
  <c r="K47"/>
  <c r="K45"/>
  <c r="K46"/>
  <c r="K44"/>
  <c r="L38"/>
  <c r="L37"/>
  <c r="M37" s="1"/>
  <c r="L36"/>
  <c r="L35"/>
  <c r="L34"/>
  <c r="M34" s="1"/>
  <c r="L33"/>
  <c r="M33" s="1"/>
  <c r="L32"/>
  <c r="M32" s="1"/>
  <c r="M35"/>
  <c r="L31"/>
  <c r="L30"/>
  <c r="M30" s="1"/>
  <c r="L29"/>
  <c r="L28"/>
  <c r="M28" s="1"/>
  <c r="L27"/>
  <c r="L26"/>
  <c r="M26" s="1"/>
  <c r="L25"/>
  <c r="M25" s="1"/>
  <c r="L24"/>
  <c r="L23"/>
  <c r="M23" s="1"/>
  <c r="L22"/>
  <c r="M22" s="1"/>
  <c r="L21"/>
  <c r="M21" s="1"/>
  <c r="L20"/>
  <c r="L19"/>
  <c r="M19" s="1"/>
  <c r="L18"/>
  <c r="M18" s="1"/>
  <c r="M38"/>
  <c r="M36"/>
  <c r="M31"/>
  <c r="M29"/>
  <c r="M27"/>
  <c r="M24"/>
  <c r="M20"/>
  <c r="M17"/>
  <c r="M16"/>
  <c r="M15"/>
  <c r="M14"/>
  <c r="M13"/>
  <c r="M12"/>
  <c r="M11"/>
  <c r="M10"/>
  <c r="M9"/>
  <c r="M8"/>
  <c r="M7"/>
  <c r="M6"/>
  <c r="M5"/>
  <c r="M4"/>
  <c r="H1001" i="4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F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E1002"/>
  <c r="D1002"/>
  <c r="G1002" s="1"/>
  <c r="C1002"/>
  <c r="I7" i="2"/>
  <c r="J7" s="1"/>
  <c r="I6"/>
  <c r="J6" s="1"/>
  <c r="I5"/>
  <c r="I8" s="1"/>
  <c r="H1002" i="4" l="1"/>
  <c r="J5" i="2"/>
  <c r="J8" s="1"/>
</calcChain>
</file>

<file path=xl/sharedStrings.xml><?xml version="1.0" encoding="utf-8"?>
<sst xmlns="http://schemas.openxmlformats.org/spreadsheetml/2006/main" count="25809" uniqueCount="826">
  <si>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</si>
  <si>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</si>
  <si>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</si>
  <si>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</si>
  <si>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</si>
  <si>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</si>
  <si>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</si>
  <si>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</si>
  <si>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</si>
  <si>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</si>
  <si>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</si>
  <si>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</si>
  <si>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</si>
  <si>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</si>
  <si>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</si>
  <si>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</si>
  <si>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</si>
  <si>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</si>
  <si>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</si>
  <si>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</si>
  <si>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</si>
  <si>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</si>
  <si>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</si>
  <si>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</si>
  <si>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5/15/2023</t>
  </si>
  <si>
    <t>12/13/2024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</si>
  <si>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</si>
  <si>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</si>
  <si>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</si>
  <si>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</si>
  <si>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</si>
  <si>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</si>
  <si>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</si>
  <si>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</si>
  <si>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</si>
  <si>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12/15/2024</t>
  </si>
  <si>
    <t>Drama</t>
  </si>
  <si>
    <t>German</t>
  </si>
  <si>
    <t>Desktop</t>
  </si>
  <si>
    <t>25-34</t>
  </si>
  <si>
    <t>Evening</t>
  </si>
  <si>
    <t>Robert</t>
  </si>
  <si>
    <t>12/14/2024</t>
  </si>
  <si>
    <t>Canada</t>
  </si>
  <si>
    <t>Debit Card</t>
  </si>
  <si>
    <t>Mandarin</t>
  </si>
  <si>
    <t>Cole</t>
  </si>
  <si>
    <t>1/31/2023</t>
  </si>
  <si>
    <t>Sci-Fi</t>
  </si>
  <si>
    <t>UK</t>
  </si>
  <si>
    <t>Jamie</t>
  </si>
  <si>
    <t>Documentary</t>
  </si>
  <si>
    <t>Mary</t>
  </si>
  <si>
    <t>9/17/2023</t>
  </si>
  <si>
    <t>11/19/2024</t>
  </si>
  <si>
    <t>India</t>
  </si>
  <si>
    <t>Credit Card</t>
  </si>
  <si>
    <t>Spanish</t>
  </si>
  <si>
    <t>Smart TV</t>
  </si>
  <si>
    <t>18-24</t>
  </si>
  <si>
    <t>Morning</t>
  </si>
  <si>
    <t>Theodore</t>
  </si>
  <si>
    <t>8/25/2024</t>
  </si>
  <si>
    <t>Horror</t>
  </si>
  <si>
    <t>English</t>
  </si>
  <si>
    <t>Laptop</t>
  </si>
  <si>
    <t>Olivia</t>
  </si>
  <si>
    <t>5/31/2024</t>
  </si>
  <si>
    <t>Australia</t>
  </si>
  <si>
    <t>45-54</t>
  </si>
  <si>
    <t>Patricia</t>
  </si>
  <si>
    <t>6/17/2023</t>
  </si>
  <si>
    <t>12/17/2024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</si>
  <si>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</si>
  <si>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</si>
  <si>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</si>
  <si>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</si>
  <si>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</si>
  <si>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</si>
  <si>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</si>
  <si>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</si>
  <si>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3/28/2023</t>
  </si>
  <si>
    <t>11/22/2024</t>
  </si>
  <si>
    <t>Frances</t>
  </si>
  <si>
    <t>11/20/2024</t>
  </si>
  <si>
    <t>Maurice</t>
  </si>
  <si>
    <t>3/27/2023</t>
  </si>
  <si>
    <t>11/25/2024</t>
  </si>
  <si>
    <t>Jennifer</t>
  </si>
  <si>
    <t>9/15/2024</t>
  </si>
  <si>
    <t>11/30/2024</t>
  </si>
  <si>
    <t>Cheryl</t>
  </si>
  <si>
    <t>France</t>
  </si>
  <si>
    <t>Afternoon</t>
  </si>
  <si>
    <t>Kathy</t>
  </si>
  <si>
    <t>5/18/2024</t>
  </si>
  <si>
    <t>Cassie</t>
  </si>
  <si>
    <t>2/14/2023</t>
  </si>
  <si>
    <t>Charles</t>
  </si>
  <si>
    <t>11/27/2024</t>
  </si>
  <si>
    <t>Romance</t>
  </si>
  <si>
    <t>William</t>
  </si>
  <si>
    <t>9/20/2023</t>
  </si>
  <si>
    <t>12/18/2024</t>
  </si>
  <si>
    <t>Tiffany</t>
  </si>
  <si>
    <t>11/28/2024</t>
  </si>
  <si>
    <t>Mark</t>
  </si>
  <si>
    <t>7/15/2023</t>
  </si>
  <si>
    <t>6/13/2024</t>
  </si>
  <si>
    <t>11/23/2024</t>
  </si>
  <si>
    <t>Anne</t>
  </si>
  <si>
    <t>11/19/2023</t>
  </si>
  <si>
    <t>Carol</t>
  </si>
  <si>
    <t>9/22/2023</t>
  </si>
  <si>
    <t>Cynthia</t>
  </si>
  <si>
    <t>5/15/2024</t>
  </si>
  <si>
    <t>Destiny</t>
  </si>
  <si>
    <t>6/19/2023</t>
  </si>
  <si>
    <t>Brittany</t>
  </si>
  <si>
    <t>5/22/2024</t>
  </si>
  <si>
    <t>Amy</t>
  </si>
  <si>
    <t>1/30/2024</t>
  </si>
  <si>
    <t>Kimberly</t>
  </si>
  <si>
    <t>3/28/2024</t>
  </si>
  <si>
    <t>Ariel</t>
  </si>
  <si>
    <t>Lauren</t>
  </si>
  <si>
    <t>Joshua</t>
  </si>
  <si>
    <t>6/22/2023</t>
  </si>
  <si>
    <t>Megan</t>
  </si>
  <si>
    <t>12/16/2024</t>
  </si>
  <si>
    <t>Stephanie</t>
  </si>
  <si>
    <t>11/28/2023</t>
  </si>
  <si>
    <t>Terrence</t>
  </si>
  <si>
    <t>Julia</t>
  </si>
  <si>
    <t>11/21/2024</t>
  </si>
  <si>
    <t>Derrick</t>
  </si>
  <si>
    <t>9/15/2023</t>
  </si>
  <si>
    <t>Nathan</t>
  </si>
  <si>
    <t>Matthew</t>
  </si>
  <si>
    <t>8/18/2023</t>
  </si>
  <si>
    <t>Ashley</t>
  </si>
  <si>
    <t>2/16/2024</t>
  </si>
  <si>
    <t>Kerri</t>
  </si>
  <si>
    <t>Jessica</t>
  </si>
  <si>
    <t>9/17/2024</t>
  </si>
  <si>
    <t>7/18/2023</t>
  </si>
  <si>
    <t>Phillip</t>
  </si>
  <si>
    <t>Elizabeth</t>
  </si>
  <si>
    <t>Lisa</t>
  </si>
  <si>
    <t>4/26/2023</t>
  </si>
  <si>
    <t>Natalie</t>
  </si>
  <si>
    <t>3/25/2023</t>
  </si>
  <si>
    <t>Autumn</t>
  </si>
  <si>
    <t>James</t>
  </si>
  <si>
    <t>3/26/2023</t>
  </si>
  <si>
    <t>6/18/2024</t>
  </si>
  <si>
    <t>11/24/2024</t>
  </si>
  <si>
    <t>Michael</t>
  </si>
  <si>
    <t>7/27/2023</t>
  </si>
  <si>
    <t>10/31/2024</t>
  </si>
  <si>
    <t>Molly</t>
  </si>
  <si>
    <t>12/26/2022</t>
  </si>
  <si>
    <t>Lance</t>
  </si>
  <si>
    <t>12/31/2022</t>
  </si>
  <si>
    <t>Lori</t>
  </si>
  <si>
    <t>12/24/2022</t>
  </si>
  <si>
    <t>Jeremy</t>
  </si>
  <si>
    <t>12/19/2023</t>
  </si>
  <si>
    <t>11/29/2024</t>
  </si>
  <si>
    <t>Scott</t>
  </si>
  <si>
    <t>Sabrina</t>
  </si>
  <si>
    <t>Zachary</t>
  </si>
  <si>
    <t>Levi</t>
  </si>
  <si>
    <t>6/24/2023</t>
  </si>
  <si>
    <t>Christine</t>
  </si>
  <si>
    <t>12/29/2023</t>
  </si>
  <si>
    <t>Emily</t>
  </si>
  <si>
    <t>Jonathan</t>
  </si>
  <si>
    <t>3/15/2024</t>
  </si>
  <si>
    <t>David</t>
  </si>
  <si>
    <t>4/13/2023</t>
  </si>
  <si>
    <t>Gina</t>
  </si>
  <si>
    <t>2/19/2023</t>
  </si>
  <si>
    <t>Kristin</t>
  </si>
  <si>
    <t>Douglas</t>
  </si>
  <si>
    <t>11/26/2023</t>
  </si>
  <si>
    <t>Nicole</t>
  </si>
  <si>
    <t>10/13/2023</t>
  </si>
  <si>
    <t>Chloe</t>
  </si>
  <si>
    <t>7/31/2023</t>
  </si>
  <si>
    <t>Kevin</t>
  </si>
  <si>
    <t>Nicholas</t>
  </si>
  <si>
    <t>7/20/2024</t>
  </si>
  <si>
    <t>Terry</t>
  </si>
  <si>
    <t>Garrett</t>
  </si>
  <si>
    <t>10/25/2023</t>
  </si>
  <si>
    <t>Jose</t>
  </si>
  <si>
    <t>Courtney</t>
  </si>
  <si>
    <t>12/31/2023</t>
  </si>
  <si>
    <t>Kim</t>
  </si>
  <si>
    <t>8/20/2023</t>
  </si>
  <si>
    <t>Katherine</t>
  </si>
  <si>
    <t>Lynn</t>
  </si>
  <si>
    <t>10/20/2024</t>
  </si>
  <si>
    <t>Leah</t>
  </si>
  <si>
    <t>7/22/2024</t>
  </si>
  <si>
    <t>8/21/2024</t>
  </si>
  <si>
    <t>Kayla</t>
  </si>
  <si>
    <t>8/31/2024</t>
  </si>
  <si>
    <t>Katelyn</t>
  </si>
  <si>
    <t>4/30/2023</t>
  </si>
  <si>
    <t>Maria</t>
  </si>
  <si>
    <t>Justin</t>
  </si>
  <si>
    <t>12/18/2023</t>
  </si>
  <si>
    <t>11/26/2024</t>
  </si>
  <si>
    <t>Susan</t>
  </si>
  <si>
    <t>10/22/2023</t>
  </si>
  <si>
    <t>2/29/2024</t>
  </si>
  <si>
    <t>Sue</t>
  </si>
  <si>
    <t>Jean</t>
  </si>
  <si>
    <t>6/24/2024</t>
  </si>
  <si>
    <t>10/21/2023</t>
  </si>
  <si>
    <t>Ebony</t>
  </si>
  <si>
    <t>Derek</t>
  </si>
  <si>
    <t>John</t>
  </si>
  <si>
    <t>10/28/2023</t>
  </si>
  <si>
    <t>Rebecca</t>
  </si>
  <si>
    <t>4/15/2023</t>
  </si>
  <si>
    <t>Juan</t>
  </si>
  <si>
    <t>12/19/2022</t>
  </si>
  <si>
    <t>Gabrielle</t>
  </si>
  <si>
    <t>2/14/2024</t>
  </si>
  <si>
    <t>Samantha</t>
  </si>
  <si>
    <t>7/23/2023</t>
  </si>
  <si>
    <t>Jesse</t>
  </si>
  <si>
    <t>10/30/2024</t>
  </si>
  <si>
    <t>Aaron</t>
  </si>
  <si>
    <t>6/20/2023</t>
  </si>
  <si>
    <t>Melissa</t>
  </si>
  <si>
    <t>3/19/2024</t>
  </si>
  <si>
    <t>Erin</t>
  </si>
  <si>
    <t>Dale</t>
  </si>
  <si>
    <t>Gregory</t>
  </si>
  <si>
    <t>2/17/2023</t>
  </si>
  <si>
    <t>Sarah</t>
  </si>
  <si>
    <t>Carmen</t>
  </si>
  <si>
    <t>12/21/2022</t>
  </si>
  <si>
    <t>April</t>
  </si>
  <si>
    <t>Anthony</t>
  </si>
  <si>
    <t>Brett</t>
  </si>
  <si>
    <t>9/26/2024</t>
  </si>
  <si>
    <t>Carly</t>
  </si>
  <si>
    <t>Dennis</t>
  </si>
  <si>
    <t>Alexandra</t>
  </si>
  <si>
    <t>Ryan</t>
  </si>
  <si>
    <t>Tony</t>
  </si>
  <si>
    <t>1/20/2024</t>
  </si>
  <si>
    <t>Daniel</t>
  </si>
  <si>
    <t>11/18/2024</t>
  </si>
  <si>
    <t>Jacob</t>
  </si>
  <si>
    <t>Carolyn</t>
  </si>
  <si>
    <t>11/14/2024</t>
  </si>
  <si>
    <t>Denise</t>
  </si>
  <si>
    <t>Cassandra</t>
  </si>
  <si>
    <t>10/15/2024</t>
  </si>
  <si>
    <t>5/30/2024</t>
  </si>
  <si>
    <t>Dustin</t>
  </si>
  <si>
    <t>1/23/2023</t>
  </si>
  <si>
    <t>Crystal</t>
  </si>
  <si>
    <t>11/24/2023</t>
  </si>
  <si>
    <t>Barbara</t>
  </si>
  <si>
    <t>Kathryn</t>
  </si>
  <si>
    <t>Christopher</t>
  </si>
  <si>
    <t>3/19/2023</t>
  </si>
  <si>
    <t>Martin</t>
  </si>
  <si>
    <t>Taylor</t>
  </si>
  <si>
    <t>Vickie</t>
  </si>
  <si>
    <t>Betty</t>
  </si>
  <si>
    <t>12/25/2022</t>
  </si>
  <si>
    <t>2/20/2023</t>
  </si>
  <si>
    <t>Amanda</t>
  </si>
  <si>
    <t>Stephen</t>
  </si>
  <si>
    <t>2/23/2023</t>
  </si>
  <si>
    <t>Dawn</t>
  </si>
  <si>
    <t>Paul</t>
  </si>
  <si>
    <t>10/17/2024</t>
  </si>
  <si>
    <t>Kenneth</t>
  </si>
  <si>
    <t>9/30/2024</t>
  </si>
  <si>
    <t>Bruce</t>
  </si>
  <si>
    <t>12/30/2022</t>
  </si>
  <si>
    <t>Andrew</t>
  </si>
  <si>
    <t>Brandon</t>
  </si>
  <si>
    <t>10/18/2023</t>
  </si>
  <si>
    <t>6/17/2024</t>
  </si>
  <si>
    <t>Steven</t>
  </si>
  <si>
    <t>1/14/2024</t>
  </si>
  <si>
    <t>Hunter</t>
  </si>
  <si>
    <t>Catherine</t>
  </si>
  <si>
    <t>4/28/2024</t>
  </si>
  <si>
    <t>Jeff</t>
  </si>
  <si>
    <t>9/21/2024</t>
  </si>
  <si>
    <t>Cathy</t>
  </si>
  <si>
    <t>Sylvia</t>
  </si>
  <si>
    <t>5/19/2024</t>
  </si>
  <si>
    <t>Joseph</t>
  </si>
  <si>
    <t>2/20/2024</t>
  </si>
  <si>
    <t>3/13/2023</t>
  </si>
  <si>
    <t>Laurie</t>
  </si>
  <si>
    <t>2/25/2023</t>
  </si>
  <si>
    <t>10/17/2023</t>
  </si>
  <si>
    <t>4/19/2023</t>
  </si>
  <si>
    <t>Danielle</t>
  </si>
  <si>
    <t>2/23/2024</t>
  </si>
  <si>
    <t>Alexander</t>
  </si>
  <si>
    <t>6/18/2023</t>
  </si>
  <si>
    <t>3/26/2024</t>
  </si>
  <si>
    <t>Randy</t>
  </si>
  <si>
    <t>11/16/2024</t>
  </si>
  <si>
    <t>Michelle</t>
  </si>
  <si>
    <t>10/21/2024</t>
  </si>
  <si>
    <t>1/26/2024</t>
  </si>
  <si>
    <t>9/24/2023</t>
  </si>
  <si>
    <t>Chris</t>
  </si>
  <si>
    <t>Sherri</t>
  </si>
  <si>
    <t>7/17/2024</t>
  </si>
  <si>
    <t>Angela</t>
  </si>
  <si>
    <t>10/27/2024</t>
  </si>
  <si>
    <t>8/13/2024</t>
  </si>
  <si>
    <t>Francis</t>
  </si>
  <si>
    <t>Katie</t>
  </si>
  <si>
    <t>Natasha</t>
  </si>
  <si>
    <t>2/22/2024</t>
  </si>
  <si>
    <t>Julie</t>
  </si>
  <si>
    <t>5/14/2023</t>
  </si>
  <si>
    <t>Jaime</t>
  </si>
  <si>
    <t>Emma</t>
  </si>
  <si>
    <t>1/19/2023</t>
  </si>
  <si>
    <t>Briana</t>
  </si>
  <si>
    <t>3/25/2024</t>
  </si>
  <si>
    <t>5/22/2023</t>
  </si>
  <si>
    <t>Bradley</t>
  </si>
  <si>
    <t>6/14/2024</t>
  </si>
  <si>
    <t>Devin</t>
  </si>
  <si>
    <t>8/17/2023</t>
  </si>
  <si>
    <t>Eric</t>
  </si>
  <si>
    <t>Brian</t>
  </si>
  <si>
    <t>2/27/2024</t>
  </si>
  <si>
    <t>Ann</t>
  </si>
  <si>
    <t>8/16/2024</t>
  </si>
  <si>
    <t>Valerie</t>
  </si>
  <si>
    <t>5/16/2023</t>
  </si>
  <si>
    <t>Carrie</t>
  </si>
  <si>
    <t>9/19/2024</t>
  </si>
  <si>
    <t>Randall</t>
  </si>
  <si>
    <t>5/23/2023</t>
  </si>
  <si>
    <t>Victor</t>
  </si>
  <si>
    <t>11/18/2023</t>
  </si>
  <si>
    <t>Richard</t>
  </si>
  <si>
    <t>2/26/2024</t>
  </si>
  <si>
    <t>Tyler</t>
  </si>
  <si>
    <t>Johnny</t>
  </si>
  <si>
    <t>Jesus</t>
  </si>
  <si>
    <t>3/23/2024</t>
  </si>
  <si>
    <t>Jill</t>
  </si>
  <si>
    <t>Andrea</t>
  </si>
  <si>
    <t>Sara</t>
  </si>
  <si>
    <t>9/23/2024</t>
  </si>
  <si>
    <t>Tammy</t>
  </si>
  <si>
    <t>8/29/2023</t>
  </si>
  <si>
    <t>Sandra</t>
  </si>
  <si>
    <t>12/26/2023</t>
  </si>
  <si>
    <t>4/25/2024</t>
  </si>
  <si>
    <t>4/24/2023</t>
  </si>
  <si>
    <t>Alicia</t>
  </si>
  <si>
    <t>Margaret</t>
  </si>
  <si>
    <t>8/30/2023</t>
  </si>
  <si>
    <t>Renee</t>
  </si>
  <si>
    <t>1/29/2024</t>
  </si>
  <si>
    <t>Wayne</t>
  </si>
  <si>
    <t>Rhonda</t>
  </si>
  <si>
    <t>Darrell</t>
  </si>
  <si>
    <t>2/24/2023</t>
  </si>
  <si>
    <t>Diana</t>
  </si>
  <si>
    <t>Christina</t>
  </si>
  <si>
    <t>6/26/2023</t>
  </si>
  <si>
    <t>Darlene</t>
  </si>
  <si>
    <t>1/18/2023</t>
  </si>
  <si>
    <t>Janet</t>
  </si>
  <si>
    <t>10/15/2023</t>
  </si>
  <si>
    <t>Ethan</t>
  </si>
  <si>
    <t>11/17/2024</t>
  </si>
  <si>
    <t>Phyllis</t>
  </si>
  <si>
    <t>6/21/2024</t>
  </si>
  <si>
    <t>Joel</t>
  </si>
  <si>
    <t>9/24/2024</t>
  </si>
  <si>
    <t>Craig</t>
  </si>
  <si>
    <t>7/26/2023</t>
  </si>
  <si>
    <t>5/29/2023</t>
  </si>
  <si>
    <t>10/23/2023</t>
  </si>
  <si>
    <t>Jordan</t>
  </si>
  <si>
    <t>4/22/2023</t>
  </si>
  <si>
    <t>Victoria</t>
  </si>
  <si>
    <t>2/21/2023</t>
  </si>
  <si>
    <t>10/28/2024</t>
  </si>
  <si>
    <t>Rachel</t>
  </si>
  <si>
    <t>Tina</t>
  </si>
  <si>
    <t>Vincent</t>
  </si>
  <si>
    <t>7/28/2024</t>
  </si>
  <si>
    <t>Cindy</t>
  </si>
  <si>
    <t>Gary</t>
  </si>
  <si>
    <t>7/28/2023</t>
  </si>
  <si>
    <t>Lindsey</t>
  </si>
  <si>
    <t>4/17/2023</t>
  </si>
  <si>
    <t>2/15/2023</t>
  </si>
  <si>
    <t>Gabriel</t>
  </si>
  <si>
    <t>1/19/2024</t>
  </si>
  <si>
    <t>7/21/2023</t>
  </si>
  <si>
    <t>Heidi</t>
  </si>
  <si>
    <t>10/29/2024</t>
  </si>
  <si>
    <t>1/13/2024</t>
  </si>
  <si>
    <t>9/27/2024</t>
  </si>
  <si>
    <t>Darren</t>
  </si>
  <si>
    <t>Bethany</t>
  </si>
  <si>
    <t>1/28/2023</t>
  </si>
  <si>
    <t>Beth</t>
  </si>
  <si>
    <t>3/14/2024</t>
  </si>
  <si>
    <t>5/17/2024</t>
  </si>
  <si>
    <t>1/24/2023</t>
  </si>
  <si>
    <t>Allen</t>
  </si>
  <si>
    <t>5/31/2023</t>
  </si>
  <si>
    <t>9/25/2024</t>
  </si>
  <si>
    <t>Veronica</t>
  </si>
  <si>
    <t>12/22/2023</t>
  </si>
  <si>
    <t>12/28/2023</t>
  </si>
  <si>
    <t>Larry</t>
  </si>
  <si>
    <t>Makayla</t>
  </si>
  <si>
    <t>3/18/2023</t>
  </si>
  <si>
    <t>5/26/2023</t>
  </si>
  <si>
    <t>10/14/2024</t>
  </si>
  <si>
    <t>Angelica</t>
  </si>
  <si>
    <t>8/19/2024</t>
  </si>
  <si>
    <t>Timothy</t>
  </si>
  <si>
    <t>3/20/2023</t>
  </si>
  <si>
    <t>1/25/2023</t>
  </si>
  <si>
    <t>Karen</t>
  </si>
  <si>
    <t>Anna</t>
  </si>
  <si>
    <t>9/29/2023</t>
  </si>
  <si>
    <t>4/13/2024</t>
  </si>
  <si>
    <t>Felicia</t>
  </si>
  <si>
    <t>12/27/2022</t>
  </si>
  <si>
    <t>Stacey</t>
  </si>
  <si>
    <t>7/21/2024</t>
  </si>
  <si>
    <t>Alison</t>
  </si>
  <si>
    <t>Harold</t>
  </si>
  <si>
    <t>9/16/2024</t>
  </si>
  <si>
    <t>1/16/2024</t>
  </si>
  <si>
    <t>Rick</t>
  </si>
  <si>
    <t>1/26/2023</t>
  </si>
  <si>
    <t>Troy</t>
  </si>
  <si>
    <t>5/21/2023</t>
  </si>
  <si>
    <t>4/21/2024</t>
  </si>
  <si>
    <t>8/29/2024</t>
  </si>
  <si>
    <t>11/30/2023</t>
  </si>
  <si>
    <t>Judy</t>
  </si>
  <si>
    <t>1/18/2024</t>
  </si>
  <si>
    <t>7/27/2024</t>
  </si>
  <si>
    <t>4/17/2024</t>
  </si>
  <si>
    <t>7/23/2024</t>
  </si>
  <si>
    <t>4/19/2024</t>
  </si>
  <si>
    <t>9/19/2023</t>
  </si>
  <si>
    <t>7/30/2024</t>
  </si>
  <si>
    <t>8/28/2023</t>
  </si>
  <si>
    <t>6/30/2024</t>
  </si>
  <si>
    <t>Jeffrey</t>
  </si>
  <si>
    <t>6/20/2024</t>
  </si>
  <si>
    <t>4/22/2024</t>
  </si>
  <si>
    <t>8/28/2024</t>
  </si>
  <si>
    <t>12/20/2022</t>
  </si>
  <si>
    <t>Meghan</t>
  </si>
  <si>
    <t>1/25/2024</t>
  </si>
  <si>
    <t>Calvin</t>
  </si>
  <si>
    <t>8/22/2024</t>
  </si>
  <si>
    <t>10/27/2023</t>
  </si>
  <si>
    <t>4/21/2023</t>
  </si>
  <si>
    <t>12/30/2023</t>
  </si>
  <si>
    <t>Sheri</t>
  </si>
  <si>
    <t>Tommy</t>
  </si>
  <si>
    <t>2/19/2024</t>
  </si>
  <si>
    <t>Trevor</t>
  </si>
  <si>
    <t>Dana</t>
  </si>
  <si>
    <t>10/13/2024</t>
  </si>
  <si>
    <t>Jasmine</t>
  </si>
  <si>
    <t>Chelsea</t>
  </si>
  <si>
    <t>9/18/2024</t>
  </si>
  <si>
    <t>Kristy</t>
  </si>
  <si>
    <t>Terri</t>
  </si>
  <si>
    <t>5/17/2023</t>
  </si>
  <si>
    <t>9/13/2024</t>
  </si>
  <si>
    <t>Madison</t>
  </si>
  <si>
    <t>Alyssa</t>
  </si>
  <si>
    <t>Carlos</t>
  </si>
  <si>
    <t>1/21/2024</t>
  </si>
  <si>
    <t>Debra</t>
  </si>
  <si>
    <t>5/25/2023</t>
  </si>
  <si>
    <t>Bianca</t>
  </si>
  <si>
    <t>Joann</t>
  </si>
  <si>
    <t>12/13/2023</t>
  </si>
  <si>
    <t>Gail</t>
  </si>
  <si>
    <t>Travis</t>
  </si>
  <si>
    <t>7/13/2024</t>
  </si>
  <si>
    <t>Reginald</t>
  </si>
  <si>
    <t>Ian</t>
  </si>
  <si>
    <t>3/21/2024</t>
  </si>
  <si>
    <t>Claudia</t>
  </si>
  <si>
    <t>8/26/2023</t>
  </si>
  <si>
    <t>Kristina</t>
  </si>
  <si>
    <t>9/28/2023</t>
  </si>
  <si>
    <t>Desiree</t>
  </si>
  <si>
    <t>Audrey</t>
  </si>
  <si>
    <t>1/15/2023</t>
  </si>
  <si>
    <t>8/25/2023</t>
  </si>
  <si>
    <t>Pamela</t>
  </si>
  <si>
    <t>4/20/2023</t>
  </si>
  <si>
    <t>6/22/2024</t>
  </si>
  <si>
    <t>6/15/2023</t>
  </si>
  <si>
    <t>Jane</t>
  </si>
  <si>
    <t>10/31/2023</t>
  </si>
  <si>
    <t>Norma</t>
  </si>
  <si>
    <t>12/14/2023</t>
  </si>
  <si>
    <t>4/23/2024</t>
  </si>
  <si>
    <t>1/29/2023</t>
  </si>
  <si>
    <t>Wendy</t>
  </si>
  <si>
    <t>Marie</t>
  </si>
  <si>
    <t>Cory</t>
  </si>
  <si>
    <t>11/13/2023</t>
  </si>
  <si>
    <t>2/24/2024</t>
  </si>
  <si>
    <t>Cameron</t>
  </si>
  <si>
    <t>5/29/2024</t>
  </si>
  <si>
    <t>3/21/2023</t>
  </si>
  <si>
    <t>Jerry</t>
  </si>
  <si>
    <t>3/20/2024</t>
  </si>
  <si>
    <t>Brittney</t>
  </si>
  <si>
    <t>Thomas</t>
  </si>
  <si>
    <t>3/22/2024</t>
  </si>
  <si>
    <t>Bryan</t>
  </si>
  <si>
    <t>Walter</t>
  </si>
  <si>
    <t>Samuel</t>
  </si>
  <si>
    <t>Dylan</t>
  </si>
  <si>
    <t>10/22/2024</t>
  </si>
  <si>
    <t>Heather</t>
  </si>
  <si>
    <t>3/29/2023</t>
  </si>
  <si>
    <t>Marisa</t>
  </si>
  <si>
    <t>6/16/2024</t>
  </si>
  <si>
    <t>Tracy</t>
  </si>
  <si>
    <t>5/18/2023</t>
  </si>
  <si>
    <t>Angel</t>
  </si>
  <si>
    <t>1/17/2023</t>
  </si>
  <si>
    <t>5/27/2023</t>
  </si>
  <si>
    <t>Caitlin</t>
  </si>
  <si>
    <t>4/14/2024</t>
  </si>
  <si>
    <t>Johnathan</t>
  </si>
  <si>
    <t>2/26/2023</t>
  </si>
  <si>
    <t>Mariah</t>
  </si>
  <si>
    <t>Jerome</t>
  </si>
  <si>
    <t>Devon</t>
  </si>
  <si>
    <t>12/15/2023</t>
  </si>
  <si>
    <t>Antonio</t>
  </si>
  <si>
    <t>3/17/2023</t>
  </si>
  <si>
    <t>3/31/2024</t>
  </si>
  <si>
    <t>9/18/2023</t>
  </si>
  <si>
    <t>9/13/2023</t>
  </si>
  <si>
    <t>4/24/2024</t>
  </si>
  <si>
    <t>Billy</t>
  </si>
  <si>
    <t>10/24/2024</t>
  </si>
  <si>
    <t>Kelsey</t>
  </si>
  <si>
    <t>2/28/2024</t>
  </si>
  <si>
    <t>11/20/2023</t>
  </si>
  <si>
    <t>7/15/2024</t>
  </si>
  <si>
    <t>10/18/2024</t>
  </si>
  <si>
    <t>Erica</t>
  </si>
  <si>
    <t>Donna</t>
  </si>
  <si>
    <t>6/23/2023</t>
  </si>
  <si>
    <t>5/19/2023</t>
  </si>
  <si>
    <t>Paige</t>
  </si>
  <si>
    <t>Todd</t>
  </si>
  <si>
    <t>1/17/2024</t>
  </si>
  <si>
    <t>7/29/2023</t>
  </si>
  <si>
    <t>5/14/2024</t>
  </si>
  <si>
    <t>8/23/2023</t>
  </si>
  <si>
    <t>Sherry</t>
  </si>
  <si>
    <t>8/31/2023</t>
  </si>
  <si>
    <t>4/29/2024</t>
  </si>
  <si>
    <t>Erika</t>
  </si>
  <si>
    <t>Keith</t>
  </si>
  <si>
    <t>7/19/2024</t>
  </si>
  <si>
    <t>Jimmy</t>
  </si>
  <si>
    <t>6/14/2023</t>
  </si>
  <si>
    <t>12/21/2023</t>
  </si>
  <si>
    <t>Adam</t>
  </si>
  <si>
    <t>Miranda</t>
  </si>
  <si>
    <t>4/14/2023</t>
  </si>
  <si>
    <t>6/26/2024</t>
  </si>
  <si>
    <t>Sierra</t>
  </si>
  <si>
    <t>Andre</t>
  </si>
  <si>
    <t>Jocelyn</t>
  </si>
  <si>
    <t>4/25/2023</t>
  </si>
  <si>
    <t>Kara</t>
  </si>
  <si>
    <t>9/22/2024</t>
  </si>
  <si>
    <t>Krista</t>
  </si>
  <si>
    <t>12/20/2023</t>
  </si>
  <si>
    <t>Eugene</t>
  </si>
  <si>
    <t>2/15/2024</t>
  </si>
  <si>
    <t>Abigail</t>
  </si>
  <si>
    <t>Hayden</t>
  </si>
  <si>
    <t>9/26/2023</t>
  </si>
  <si>
    <t>12/23/2022</t>
  </si>
  <si>
    <t>9/23/2023</t>
  </si>
  <si>
    <t>Carla</t>
  </si>
  <si>
    <t>Shane</t>
  </si>
  <si>
    <t>Brooke</t>
  </si>
  <si>
    <t>Stefanie</t>
  </si>
  <si>
    <t>Jeffery</t>
  </si>
  <si>
    <t>10/30/2023</t>
  </si>
  <si>
    <t>Xavier</t>
  </si>
  <si>
    <t>Kelly</t>
  </si>
  <si>
    <t>Anita</t>
  </si>
  <si>
    <t>Nicolas</t>
  </si>
  <si>
    <t>6/27/2023</t>
  </si>
  <si>
    <t>Hector</t>
  </si>
  <si>
    <t>Jack</t>
  </si>
  <si>
    <t>Julian</t>
  </si>
  <si>
    <t>Jason</t>
  </si>
  <si>
    <t>2/17/2024</t>
  </si>
  <si>
    <t>2/13/2023</t>
  </si>
  <si>
    <t>9/16/2023</t>
  </si>
  <si>
    <t>Jonathon</t>
  </si>
  <si>
    <t>7/24/2024</t>
  </si>
  <si>
    <t>Grace</t>
  </si>
  <si>
    <t>10/19/2024</t>
  </si>
  <si>
    <t>11/13/2024</t>
  </si>
  <si>
    <t>Melvin</t>
  </si>
  <si>
    <t>12/16/2023</t>
  </si>
  <si>
    <t>3/22/2023</t>
  </si>
  <si>
    <t>Kurt</t>
  </si>
  <si>
    <t>6/30/2023</t>
  </si>
  <si>
    <t>Glenda</t>
  </si>
  <si>
    <t>7/25/2024</t>
  </si>
  <si>
    <t>Duane</t>
  </si>
  <si>
    <t>Cody</t>
  </si>
  <si>
    <t>5/25/2024</t>
  </si>
  <si>
    <t>Tanya</t>
  </si>
  <si>
    <t>10/25/2024</t>
  </si>
  <si>
    <t>5/28/2023</t>
  </si>
  <si>
    <t>Claire</t>
  </si>
  <si>
    <t>11/15/2023</t>
  </si>
  <si>
    <t>1/16/2023</t>
  </si>
  <si>
    <t>Caroline</t>
  </si>
  <si>
    <t>Benjamin</t>
  </si>
  <si>
    <t>Yolanda</t>
  </si>
  <si>
    <t>Peter</t>
  </si>
  <si>
    <t>5/23/2024</t>
  </si>
  <si>
    <t>7/14/2024</t>
  </si>
  <si>
    <t>9/21/2023</t>
  </si>
  <si>
    <t>7/25/2023</t>
  </si>
  <si>
    <t>Norman</t>
  </si>
  <si>
    <t>2/16/2023</t>
  </si>
  <si>
    <t>Katrina</t>
  </si>
  <si>
    <t>Shannon</t>
  </si>
  <si>
    <t>2/21/2024</t>
  </si>
  <si>
    <t>8/23/2024</t>
  </si>
  <si>
    <t>7/19/2023</t>
  </si>
  <si>
    <t>Suzanne</t>
  </si>
  <si>
    <t>6/25/2024</t>
  </si>
  <si>
    <t>8/24/2023</t>
  </si>
  <si>
    <t>8/20/2024</t>
  </si>
  <si>
    <t>Jaclyn</t>
  </si>
  <si>
    <t>Deborah</t>
  </si>
  <si>
    <t>Allison</t>
  </si>
  <si>
    <t>Christian</t>
  </si>
  <si>
    <t>6/28/2024</t>
  </si>
  <si>
    <t>1/27/2024</t>
  </si>
  <si>
    <t>5/28/2024</t>
  </si>
  <si>
    <t>Lindsay</t>
  </si>
  <si>
    <t>4/28/2023</t>
  </si>
  <si>
    <t>Breanna</t>
  </si>
  <si>
    <t>8/14/2024</t>
  </si>
  <si>
    <t>Marvin</t>
  </si>
  <si>
    <t>4/29/2023</t>
  </si>
  <si>
    <t>10/16/2024</t>
  </si>
  <si>
    <t>Michele</t>
  </si>
  <si>
    <t>1/30/2023</t>
  </si>
  <si>
    <t>Edward</t>
  </si>
  <si>
    <t>Leslie</t>
  </si>
  <si>
    <t>Donald</t>
  </si>
  <si>
    <t>6/19/2024</t>
  </si>
  <si>
    <t>Grant</t>
  </si>
  <si>
    <t>Sydney</t>
  </si>
  <si>
    <t>10/26/2023</t>
  </si>
  <si>
    <t>Shawna</t>
  </si>
  <si>
    <t>4/16/2023</t>
  </si>
  <si>
    <t>6/25/2023</t>
  </si>
  <si>
    <t>Chad</t>
  </si>
  <si>
    <t>2/18/2023</t>
  </si>
  <si>
    <t>Marissa</t>
  </si>
  <si>
    <t>6/16/2023</t>
  </si>
  <si>
    <t>Mason</t>
  </si>
  <si>
    <t>Alvin</t>
  </si>
  <si>
    <t>7/22/2023</t>
  </si>
  <si>
    <t>8/27/2023</t>
  </si>
  <si>
    <t>Yvonne</t>
  </si>
  <si>
    <t>Gene</t>
  </si>
  <si>
    <t>1/13/2023</t>
  </si>
  <si>
    <t>Nina</t>
  </si>
  <si>
    <t>Stacy</t>
  </si>
  <si>
    <t>8/13/2023</t>
  </si>
  <si>
    <t>9/28/2024</t>
  </si>
  <si>
    <t>Kristen</t>
  </si>
  <si>
    <t>11/29/2023</t>
  </si>
  <si>
    <t>Laura</t>
  </si>
  <si>
    <t>6/21/2023</t>
  </si>
  <si>
    <t>Jeremiah</t>
  </si>
  <si>
    <t>Leon</t>
  </si>
  <si>
    <t>5/27/2024</t>
  </si>
  <si>
    <t>Tracey</t>
  </si>
  <si>
    <t>12/23/2023</t>
  </si>
  <si>
    <t>4/30/2024</t>
  </si>
  <si>
    <t>Helen</t>
  </si>
  <si>
    <t>4/16/2024</t>
  </si>
  <si>
    <t>12/17/2023</t>
  </si>
  <si>
    <t>Kyle</t>
  </si>
  <si>
    <t>Alexandria</t>
  </si>
  <si>
    <t>Spencer</t>
  </si>
  <si>
    <t>5/30/2023</t>
  </si>
  <si>
    <t>Gregg</t>
  </si>
  <si>
    <t>11/22/2023</t>
  </si>
  <si>
    <t>4/26/2024</t>
  </si>
  <si>
    <t>11/25/2023</t>
  </si>
  <si>
    <t>Grand Total</t>
  </si>
  <si>
    <t>Subscription Plan</t>
  </si>
  <si>
    <t>No. of users</t>
  </si>
  <si>
    <t>Solution 1</t>
  </si>
  <si>
    <t>Monthly Revenue</t>
  </si>
  <si>
    <t>Movies vs Series per user</t>
  </si>
  <si>
    <t>Average Watch hours per user</t>
  </si>
  <si>
    <t>18-24Action</t>
  </si>
  <si>
    <t>18-24Comedy</t>
  </si>
  <si>
    <t>18-24Documentary</t>
  </si>
  <si>
    <t>18-24Drama</t>
  </si>
  <si>
    <t>18-24Horror</t>
  </si>
  <si>
    <t>18-24Romance</t>
  </si>
  <si>
    <t>18-24Sci-Fi</t>
  </si>
  <si>
    <t>25-34Action</t>
  </si>
  <si>
    <t>25-34Comedy</t>
  </si>
  <si>
    <t>25-34Documentary</t>
  </si>
  <si>
    <t>25-34Drama</t>
  </si>
  <si>
    <t>25-34Horror</t>
  </si>
  <si>
    <t>25-34Romance</t>
  </si>
  <si>
    <t>25-34Sci-Fi</t>
  </si>
  <si>
    <t>35-44Action</t>
  </si>
  <si>
    <t>45-54Action</t>
  </si>
  <si>
    <t>55+Action</t>
  </si>
  <si>
    <t>35-44Horror</t>
  </si>
  <si>
    <t>55+Documentary</t>
  </si>
  <si>
    <t>55+Comedy</t>
  </si>
  <si>
    <t>35-44Drama</t>
  </si>
  <si>
    <t>45-54Drama</t>
  </si>
  <si>
    <t>35-44Romance</t>
  </si>
  <si>
    <t>55+Horror</t>
  </si>
  <si>
    <t>55+Sci-Fi</t>
  </si>
  <si>
    <t>55+Romance</t>
  </si>
  <si>
    <t>35-44Sci-Fi</t>
  </si>
  <si>
    <t>45-54Comedy</t>
  </si>
  <si>
    <t>45-54Romance</t>
  </si>
  <si>
    <t>35-44Documentary</t>
  </si>
  <si>
    <t>45-54Documentary</t>
  </si>
  <si>
    <t>35-44Comedy</t>
  </si>
  <si>
    <t>55+Drama</t>
  </si>
  <si>
    <t>45-54Horror</t>
  </si>
  <si>
    <t>45-54Sci-Fi</t>
  </si>
  <si>
    <t>A</t>
  </si>
  <si>
    <t>b</t>
  </si>
  <si>
    <t>Unique Data</t>
  </si>
  <si>
    <t>Devices used</t>
  </si>
  <si>
    <t>Usage Trends</t>
  </si>
  <si>
    <t>Primay Watch Time</t>
  </si>
  <si>
    <t>Total Viewers</t>
  </si>
  <si>
    <t>Impact on Recommended Content in Percentage</t>
  </si>
  <si>
    <t>Inactive</t>
  </si>
  <si>
    <t>Status</t>
  </si>
  <si>
    <t>Count</t>
  </si>
  <si>
    <t>Row Labels</t>
  </si>
  <si>
    <t>Column Labels</t>
  </si>
  <si>
    <t>a</t>
  </si>
  <si>
    <t>AustraliaCredit Card</t>
  </si>
  <si>
    <t>AustraliaCryptocurrency</t>
  </si>
  <si>
    <t>AustraliaDebit Card</t>
  </si>
  <si>
    <t>AustraliaPayPal</t>
  </si>
  <si>
    <t>CanadaCredit Card</t>
  </si>
  <si>
    <t>CanadaCryptocurrency</t>
  </si>
  <si>
    <t>CanadaDebit Card</t>
  </si>
  <si>
    <t>CanadaPayPal</t>
  </si>
  <si>
    <t>FranceCredit Card</t>
  </si>
  <si>
    <t>FranceCryptocurrency</t>
  </si>
  <si>
    <t>FranceDebit Card</t>
  </si>
  <si>
    <t>FrancePayPal</t>
  </si>
  <si>
    <t>GermanyCredit Card</t>
  </si>
  <si>
    <t>GermanyCryptocurrency</t>
  </si>
  <si>
    <t>GermanyDebit Card</t>
  </si>
  <si>
    <t>GermanyPayPal</t>
  </si>
  <si>
    <t>IndiaCredit Card</t>
  </si>
  <si>
    <t>IndiaCryptocurrency</t>
  </si>
  <si>
    <t>IndiaDebit Card</t>
  </si>
  <si>
    <t>IndiaPayPal</t>
  </si>
  <si>
    <t>UKCredit Card</t>
  </si>
  <si>
    <t>UKCryptocurrency</t>
  </si>
  <si>
    <t>UKDebit Card</t>
  </si>
  <si>
    <t>UKPayPal</t>
  </si>
  <si>
    <t>USACredit Card</t>
  </si>
  <si>
    <t>USACryptocurrency</t>
  </si>
  <si>
    <t>USADebit Card</t>
  </si>
  <si>
    <t>USAPayPal</t>
  </si>
  <si>
    <t>Sum of b</t>
  </si>
  <si>
    <t>Count of Monthly_Price</t>
  </si>
  <si>
    <t>Sum of Watch_Hours</t>
  </si>
  <si>
    <t xml:space="preserve">Distribution of users across different price tiers. </t>
  </si>
  <si>
    <t>Monthly revenue based on different subscription plans.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</si>
</sst>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14" fontId="0" fillId="0" borderId="0" xfId="0" applyNumberFormat="1"/>
    <xf numFmtId="0" fontId="16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10" xfId="0" applyFont="1" applyBorder="1"/>
    <xf numFmtId="0" fontId="0" fillId="0" borderId="10" xfId="0" applyBorder="1"/>
    <xf numFmtId="0" fontId="16" fillId="0" borderId="11" xfId="0" applyFont="1" applyBorder="1"/>
    <xf numFmtId="0" fontId="16" fillId="0" borderId="17" xfId="0" applyFont="1" applyBorder="1" applyAlignment="1">
      <alignment horizontal="left"/>
    </xf>
    <xf numFmtId="0" fontId="16" fillId="0" borderId="12" xfId="0" applyFont="1" applyBorder="1"/>
    <xf numFmtId="0" fontId="0" fillId="0" borderId="15" xfId="0" applyBorder="1"/>
    <xf numFmtId="0" fontId="0" fillId="0" borderId="16" xfId="0" applyBorder="1"/>
    <xf numFmtId="0" fontId="16" fillId="0" borderId="16" xfId="0" applyFont="1" applyBorder="1"/>
    <xf numFmtId="0" fontId="0" fillId="0" borderId="11" xfId="0" pivotButton="1" applyBorder="1"/>
    <xf numFmtId="2" fontId="0" fillId="0" borderId="13" xfId="0" applyNumberFormat="1" applyBorder="1" applyAlignment="1">
      <alignment horizontal="left"/>
    </xf>
    <xf numFmtId="2" fontId="0" fillId="0" borderId="15" xfId="0" applyNumberFormat="1" applyBorder="1" applyAlignment="1">
      <alignment horizontal="left"/>
    </xf>
    <xf numFmtId="0" fontId="16" fillId="0" borderId="18" xfId="0" applyFont="1" applyBorder="1"/>
    <xf numFmtId="2" fontId="16" fillId="0" borderId="10" xfId="0" applyNumberFormat="1" applyFont="1" applyBorder="1"/>
    <xf numFmtId="14" fontId="0" fillId="0" borderId="10" xfId="0" applyNumberFormat="1" applyBorder="1"/>
    <xf numFmtId="2" fontId="0" fillId="0" borderId="10" xfId="0" applyNumberFormat="1" applyBorder="1"/>
    <xf numFmtId="0" fontId="16" fillId="33" borderId="0" xfId="0" applyFont="1" applyFill="1"/>
    <xf numFmtId="0" fontId="0" fillId="33" borderId="0" xfId="0" applyFill="1"/>
    <xf numFmtId="0" fontId="16" fillId="33" borderId="10" xfId="0" applyFont="1" applyFill="1" applyBorder="1"/>
    <xf numFmtId="0" fontId="16" fillId="0" borderId="17" xfId="0" applyFont="1" applyBorder="1"/>
    <xf numFmtId="0" fontId="18" fillId="33" borderId="12" xfId="0" applyFont="1" applyFill="1" applyBorder="1"/>
    <xf numFmtId="0" fontId="0" fillId="0" borderId="13" xfId="0" applyBorder="1"/>
    <xf numFmtId="0" fontId="16" fillId="33" borderId="14" xfId="0" applyFont="1" applyFill="1" applyBorder="1"/>
    <xf numFmtId="0" fontId="0" fillId="0" borderId="18" xfId="0" applyBorder="1"/>
    <xf numFmtId="0" fontId="18" fillId="0" borderId="18" xfId="0" applyFont="1" applyBorder="1"/>
    <xf numFmtId="0" fontId="16" fillId="0" borderId="19" xfId="0" applyFont="1" applyBorder="1"/>
    <xf numFmtId="0" fontId="0" fillId="0" borderId="20" xfId="0" applyBorder="1"/>
    <xf numFmtId="9" fontId="0" fillId="34" borderId="0" xfId="1" applyFont="1" applyFill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16" fillId="0" borderId="21" xfId="0" applyFont="1" applyFill="1" applyBorder="1"/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0" xfId="0" applyNumberFormat="1"/>
    <xf numFmtId="0" fontId="0" fillId="33" borderId="0" xfId="0" applyNumberFormat="1" applyFill="1"/>
    <xf numFmtId="0" fontId="18" fillId="0" borderId="0" xfId="0" applyFont="1" applyAlignment="1">
      <alignment wrapText="1"/>
    </xf>
    <xf numFmtId="0" fontId="16" fillId="0" borderId="14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026.072327083333" createdVersion="3" refreshedVersion="3" minRefreshableVersion="3" recordCount="1000">
  <cacheSource type="worksheet">
    <worksheetSource ref="A1:E1001" sheet="Sol 1"/>
  </cacheSource>
  <cacheFields count="5">
    <cacheField name="User_ID" numFmtId="0">
      <sharedItems containsSemiMixedTypes="0" containsString="0" containsNumber="1" containsInteger="1" minValue="1003" maxValue="9996"/>
    </cacheField>
    <cacheField name="User_Name" numFmtId="0">
      <sharedItems/>
    </cacheField>
    <cacheField name="Join_Date" numFmtId="14">
      <sharedItems containsDate="1" containsMixedTypes="1" minDate="2023-01-01T00:00:00" maxDate="2024-12-13T00:00:00"/>
    </cacheField>
    <cacheField name="Last_Login" numFmtId="14">
      <sharedItems containsDate="1" containsMixedTypes="1" minDate="2024-01-12T00:00:00" maxDate="2024-12-13T00:00:00"/>
    </cacheField>
    <cacheField name="Monthly_Price" numFmtId="2">
      <sharedItems containsSemiMixedTypes="0" containsString="0" containsNumber="1" minValue="7.99" maxValue="15.99" count="3">
        <n v="7.99"/>
        <n v="11.99"/>
        <n v="15.9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CER" refreshedDate="46026.099234143519" createdVersion="3" refreshedVersion="3" minRefreshableVersion="3" recordCount="1000">
  <cacheSource type="worksheet">
    <worksheetSource ref="C1:D1001" sheet="Sol 3"/>
  </cacheSource>
  <cacheFields count="2">
    <cacheField name="Age_Group" numFmtId="0">
      <sharedItems count="5">
        <s v="35-44"/>
        <s v="25-34"/>
        <s v="18-24"/>
        <s v="45-54"/>
        <s v="55+"/>
      </sharedItems>
    </cacheField>
    <cacheField name="Favorite_Genre" numFmtId="0">
      <sharedItems count="7">
        <s v="Action"/>
        <s v="Drama"/>
        <s v="Sci-Fi"/>
        <s v="Documentary"/>
        <s v="Horror"/>
        <s v="Comedy"/>
        <s v="Romanc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CER" refreshedDate="46026.727010763891" createdVersion="3" refreshedVersion="3" minRefreshableVersion="3" recordCount="1000">
  <cacheSource type="worksheet">
    <worksheetSource ref="C1:D1001" sheet="Sol 5"/>
  </cacheSource>
  <cacheFields count="2">
    <cacheField name="Country" numFmtId="0">
      <sharedItems count="7">
        <s v="USA"/>
        <s v="Canada"/>
        <s v="UK"/>
        <s v="India"/>
        <s v="Australia"/>
        <s v="Germany"/>
        <s v="France"/>
      </sharedItems>
    </cacheField>
    <cacheField name="Payment_Method" numFmtId="0">
      <sharedItems count="4">
        <s v="PayPal"/>
        <s v="Debit Card"/>
        <s v="Credit Card"/>
        <s v="Cryptocurrency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CER" refreshedDate="46026.734156134262" createdVersion="3" refreshedVersion="3" minRefreshableVersion="3" recordCount="29">
  <cacheSource type="worksheet">
    <worksheetSource ref="R2:U31" sheet="Sol 5"/>
  </cacheSource>
  <cacheFields count="4">
    <cacheField name="Country" numFmtId="0">
      <sharedItems count="8">
        <s v="Australia"/>
        <s v="Canada"/>
        <s v="France"/>
        <s v="Germany"/>
        <s v="India"/>
        <s v="UK"/>
        <s v="USA"/>
        <s v="Grand Total"/>
      </sharedItems>
    </cacheField>
    <cacheField name="Payment_Method" numFmtId="0">
      <sharedItems containsBlank="1" count="5">
        <s v="Credit Card"/>
        <s v="Cryptocurrency"/>
        <s v="Debit Card"/>
        <s v="PayPal"/>
        <m/>
      </sharedItems>
    </cacheField>
    <cacheField name="a" numFmtId="0">
      <sharedItems containsBlank="1"/>
    </cacheField>
    <cacheField name="b" numFmtId="0">
      <sharedItems containsString="0" containsBlank="1" containsNumber="1" containsInteger="1" minValue="22" maxValue="48" count="20">
        <n v="22"/>
        <n v="44"/>
        <n v="38"/>
        <n v="36"/>
        <n v="34"/>
        <n v="27"/>
        <n v="42"/>
        <n v="39"/>
        <n v="41"/>
        <n v="31"/>
        <n v="40"/>
        <n v="35"/>
        <n v="43"/>
        <n v="37"/>
        <n v="25"/>
        <n v="29"/>
        <n v="23"/>
        <n v="33"/>
        <n v="48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CER" refreshedDate="46026.739464236111" createdVersion="3" refreshedVersion="3" minRefreshableVersion="3" recordCount="1000">
  <cacheSource type="worksheet">
    <worksheetSource ref="C1:E1001" sheet="Sol 5"/>
  </cacheSource>
  <cacheFields count="3">
    <cacheField name="Country" numFmtId="0">
      <sharedItems count="7">
        <s v="USA"/>
        <s v="Canada"/>
        <s v="UK"/>
        <s v="India"/>
        <s v="Australia"/>
        <s v="Germany"/>
        <s v="France"/>
      </sharedItems>
    </cacheField>
    <cacheField name="Payment_Method" numFmtId="0">
      <sharedItems/>
    </cacheField>
    <cacheField name="Monthly_Price" numFmtId="0">
      <sharedItems containsSemiMixedTypes="0" containsString="0" containsNumber="1" minValue="7.99" maxValue="15.99" count="3">
        <n v="7.99"/>
        <n v="11.99"/>
        <n v="15.99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CER" refreshedDate="46026.746321643521" createdVersion="3" refreshedVersion="3" minRefreshableVersion="3" recordCount="1000">
  <cacheSource type="worksheet">
    <worksheetSource ref="G1:H1001" sheet="Sol 5"/>
  </cacheSource>
  <cacheFields count="2">
    <cacheField name="Watch_Hours" numFmtId="0">
      <sharedItems containsSemiMixedTypes="0" containsString="0" containsNumber="1" containsInteger="1" minValue="10" maxValue="500"/>
    </cacheField>
    <cacheField name="Language_Preference" numFmtId="0">
      <sharedItems count="6">
        <s v="Hindi"/>
        <s v="German"/>
        <s v="Mandarin"/>
        <s v="Spanish"/>
        <s v="English"/>
        <s v="Frenc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2518"/>
    <s v="Amber"/>
    <s v="5/15/2023"/>
    <s v="12/13/2024"/>
    <x v="0"/>
  </r>
  <r>
    <n v="6430"/>
    <s v="Patrick"/>
    <d v="2023-03-04T00:00:00"/>
    <s v="12/15/2024"/>
    <x v="0"/>
  </r>
  <r>
    <n v="1798"/>
    <s v="Robert"/>
    <d v="2023-02-08T00:00:00"/>
    <s v="12/14/2024"/>
    <x v="1"/>
  </r>
  <r>
    <n v="5255"/>
    <s v="Cole"/>
    <s v="1/31/2023"/>
    <d v="2024-02-12T00:00:00"/>
    <x v="2"/>
  </r>
  <r>
    <n v="2854"/>
    <s v="Jamie"/>
    <d v="2023-06-06T00:00:00"/>
    <s v="12/15/2024"/>
    <x v="1"/>
  </r>
  <r>
    <n v="6735"/>
    <s v="Mary"/>
    <s v="9/17/2023"/>
    <s v="11/19/2024"/>
    <x v="2"/>
  </r>
  <r>
    <n v="2995"/>
    <s v="Theodore"/>
    <s v="8/25/2024"/>
    <d v="2024-10-12T00:00:00"/>
    <x v="0"/>
  </r>
  <r>
    <n v="5120"/>
    <s v="Olivia"/>
    <s v="5/31/2024"/>
    <s v="12/14/2024"/>
    <x v="2"/>
  </r>
  <r>
    <n v="6063"/>
    <s v="Patricia"/>
    <s v="6/17/2023"/>
    <s v="12/17/2024"/>
    <x v="2"/>
  </r>
  <r>
    <n v="6896"/>
    <s v="Linda"/>
    <d v="2023-02-12T00:00:00"/>
    <s v="12/14/2024"/>
    <x v="0"/>
  </r>
  <r>
    <n v="8447"/>
    <s v="Nichole"/>
    <s v="3/28/2023"/>
    <s v="11/22/2024"/>
    <x v="1"/>
  </r>
  <r>
    <n v="1433"/>
    <s v="Frances"/>
    <d v="2024-02-03T00:00:00"/>
    <s v="11/20/2024"/>
    <x v="2"/>
  </r>
  <r>
    <n v="4511"/>
    <s v="Maurice"/>
    <s v="3/27/2023"/>
    <s v="11/25/2024"/>
    <x v="0"/>
  </r>
  <r>
    <n v="9966"/>
    <s v="Jennifer"/>
    <s v="9/15/2024"/>
    <s v="11/30/2024"/>
    <x v="0"/>
  </r>
  <r>
    <n v="7093"/>
    <s v="Cheryl"/>
    <d v="2023-07-06T00:00:00"/>
    <d v="2024-11-12T00:00:00"/>
    <x v="0"/>
  </r>
  <r>
    <n v="4351"/>
    <s v="Kathy"/>
    <s v="5/18/2024"/>
    <s v="11/30/2024"/>
    <x v="1"/>
  </r>
  <r>
    <n v="6007"/>
    <s v="Cassie"/>
    <s v="2/14/2023"/>
    <s v="12/17/2024"/>
    <x v="0"/>
  </r>
  <r>
    <n v="9710"/>
    <s v="Charles"/>
    <d v="2023-02-06T00:00:00"/>
    <s v="11/27/2024"/>
    <x v="0"/>
  </r>
  <r>
    <n v="9034"/>
    <s v="William"/>
    <s v="9/20/2023"/>
    <s v="12/18/2024"/>
    <x v="2"/>
  </r>
  <r>
    <n v="6197"/>
    <s v="Tiffany"/>
    <d v="2023-03-07T00:00:00"/>
    <s v="11/28/2024"/>
    <x v="2"/>
  </r>
  <r>
    <n v="2820"/>
    <s v="Mark"/>
    <s v="7/15/2023"/>
    <d v="2024-01-12T00:00:00"/>
    <x v="0"/>
  </r>
  <r>
    <n v="1101"/>
    <s v="Mary"/>
    <s v="6/13/2024"/>
    <s v="11/23/2024"/>
    <x v="2"/>
  </r>
  <r>
    <n v="1650"/>
    <s v="Charles"/>
    <s v="8/25/2024"/>
    <s v="11/23/2024"/>
    <x v="2"/>
  </r>
  <r>
    <n v="4884"/>
    <s v="Anne"/>
    <s v="11/19/2023"/>
    <s v="11/25/2024"/>
    <x v="2"/>
  </r>
  <r>
    <n v="8321"/>
    <s v="Carol"/>
    <s v="9/22/2023"/>
    <s v="11/23/2024"/>
    <x v="1"/>
  </r>
  <r>
    <n v="2381"/>
    <s v="Cynthia"/>
    <s v="5/15/2024"/>
    <s v="12/15/2024"/>
    <x v="0"/>
  </r>
  <r>
    <n v="9507"/>
    <s v="Destiny"/>
    <s v="6/19/2023"/>
    <s v="11/19/2024"/>
    <x v="1"/>
  </r>
  <r>
    <n v="2851"/>
    <s v="Brittany"/>
    <s v="5/22/2024"/>
    <s v="11/23/2024"/>
    <x v="2"/>
  </r>
  <r>
    <n v="4083"/>
    <s v="Amy"/>
    <s v="1/30/2024"/>
    <d v="2024-10-12T00:00:00"/>
    <x v="1"/>
  </r>
  <r>
    <n v="4608"/>
    <s v="Kimberly"/>
    <s v="3/28/2024"/>
    <s v="11/28/2024"/>
    <x v="1"/>
  </r>
  <r>
    <n v="4815"/>
    <s v="Ariel"/>
    <d v="2024-02-07T00:00:00"/>
    <s v="11/20/2024"/>
    <x v="0"/>
  </r>
  <r>
    <n v="9597"/>
    <s v="Lauren"/>
    <d v="2024-06-12T00:00:00"/>
    <d v="2024-02-12T00:00:00"/>
    <x v="1"/>
  </r>
  <r>
    <n v="6566"/>
    <s v="Joshua"/>
    <s v="6/22/2023"/>
    <s v="12/17/2024"/>
    <x v="1"/>
  </r>
  <r>
    <n v="1419"/>
    <s v="Megan"/>
    <d v="2023-03-07T00:00:00"/>
    <s v="12/16/2024"/>
    <x v="1"/>
  </r>
  <r>
    <n v="9470"/>
    <s v="Stephanie"/>
    <s v="11/28/2023"/>
    <s v="12/15/2024"/>
    <x v="0"/>
  </r>
  <r>
    <n v="4989"/>
    <s v="Terrence"/>
    <d v="2024-10-01T00:00:00"/>
    <d v="2024-10-12T00:00:00"/>
    <x v="0"/>
  </r>
  <r>
    <n v="9389"/>
    <s v="Julia"/>
    <d v="2024-03-10T00:00:00"/>
    <s v="11/21/2024"/>
    <x v="2"/>
  </r>
  <r>
    <n v="7728"/>
    <s v="Derrick"/>
    <s v="9/15/2023"/>
    <s v="12/13/2024"/>
    <x v="1"/>
  </r>
  <r>
    <n v="7943"/>
    <s v="Nathan"/>
    <d v="2024-01-10T00:00:00"/>
    <d v="2024-01-12T00:00:00"/>
    <x v="2"/>
  </r>
  <r>
    <n v="2490"/>
    <s v="Matthew"/>
    <s v="8/18/2023"/>
    <s v="11/19/2024"/>
    <x v="1"/>
  </r>
  <r>
    <n v="5042"/>
    <s v="Ashley"/>
    <s v="2/16/2024"/>
    <s v="11/23/2024"/>
    <x v="2"/>
  </r>
  <r>
    <n v="3620"/>
    <s v="Kerri"/>
    <d v="2024-07-08T00:00:00"/>
    <d v="2024-07-12T00:00:00"/>
    <x v="2"/>
  </r>
  <r>
    <n v="8976"/>
    <s v="Jessica"/>
    <s v="9/17/2024"/>
    <d v="2024-12-12T00:00:00"/>
    <x v="0"/>
  </r>
  <r>
    <n v="1570"/>
    <s v="Matthew"/>
    <s v="7/18/2023"/>
    <s v="11/22/2024"/>
    <x v="1"/>
  </r>
  <r>
    <n v="7709"/>
    <s v="Phillip"/>
    <d v="2023-04-04T00:00:00"/>
    <d v="2024-01-12T00:00:00"/>
    <x v="1"/>
  </r>
  <r>
    <n v="9503"/>
    <s v="Elizabeth"/>
    <d v="2024-11-04T00:00:00"/>
    <d v="2024-05-12T00:00:00"/>
    <x v="1"/>
  </r>
  <r>
    <n v="9564"/>
    <s v="Lisa"/>
    <s v="4/26/2023"/>
    <d v="2024-04-12T00:00:00"/>
    <x v="2"/>
  </r>
  <r>
    <n v="8934"/>
    <s v="Natalie"/>
    <s v="3/25/2023"/>
    <d v="2024-05-12T00:00:00"/>
    <x v="0"/>
  </r>
  <r>
    <n v="1222"/>
    <s v="Autumn"/>
    <d v="2023-01-09T00:00:00"/>
    <d v="2024-08-12T00:00:00"/>
    <x v="2"/>
  </r>
  <r>
    <n v="5762"/>
    <s v="James"/>
    <s v="3/28/2024"/>
    <d v="2024-02-12T00:00:00"/>
    <x v="1"/>
  </r>
  <r>
    <n v="4066"/>
    <s v="Jessica"/>
    <s v="3/26/2023"/>
    <d v="2024-12-12T00:00:00"/>
    <x v="1"/>
  </r>
  <r>
    <n v="6469"/>
    <s v="Charles"/>
    <s v="6/18/2024"/>
    <s v="11/24/2024"/>
    <x v="1"/>
  </r>
  <r>
    <n v="1364"/>
    <s v="Michael"/>
    <s v="7/27/2023"/>
    <d v="2024-02-12T00:00:00"/>
    <x v="1"/>
  </r>
  <r>
    <n v="4197"/>
    <s v="Jessica"/>
    <s v="10/31/2024"/>
    <s v="12/13/2024"/>
    <x v="2"/>
  </r>
  <r>
    <n v="9700"/>
    <s v="Molly"/>
    <s v="12/26/2022"/>
    <s v="11/30/2024"/>
    <x v="2"/>
  </r>
  <r>
    <n v="5644"/>
    <s v="Joshua"/>
    <d v="2024-06-04T00:00:00"/>
    <d v="2024-03-12T00:00:00"/>
    <x v="1"/>
  </r>
  <r>
    <n v="5420"/>
    <s v="Lance"/>
    <s v="12/31/2022"/>
    <d v="2024-01-12T00:00:00"/>
    <x v="1"/>
  </r>
  <r>
    <n v="7560"/>
    <s v="Lori"/>
    <s v="12/24/2022"/>
    <d v="2024-03-12T00:00:00"/>
    <x v="0"/>
  </r>
  <r>
    <n v="9644"/>
    <s v="Mark"/>
    <d v="2024-08-09T00:00:00"/>
    <s v="11/25/2024"/>
    <x v="0"/>
  </r>
  <r>
    <n v="7239"/>
    <s v="Jeremy"/>
    <s v="12/19/2023"/>
    <s v="11/29/2024"/>
    <x v="2"/>
  </r>
  <r>
    <n v="6415"/>
    <s v="Scott"/>
    <d v="2023-12-10T00:00:00"/>
    <s v="11/19/2024"/>
    <x v="1"/>
  </r>
  <r>
    <n v="9020"/>
    <s v="Sabrina"/>
    <d v="2023-03-02T00:00:00"/>
    <d v="2024-03-12T00:00:00"/>
    <x v="1"/>
  </r>
  <r>
    <n v="2324"/>
    <s v="Zachary"/>
    <s v="11/24/2024"/>
    <d v="2024-11-12T00:00:00"/>
    <x v="0"/>
  </r>
  <r>
    <n v="1354"/>
    <s v="Levi"/>
    <s v="6/24/2023"/>
    <d v="2024-07-12T00:00:00"/>
    <x v="0"/>
  </r>
  <r>
    <n v="4019"/>
    <s v="Christine"/>
    <s v="12/29/2023"/>
    <d v="2024-06-12T00:00:00"/>
    <x v="2"/>
  </r>
  <r>
    <n v="6178"/>
    <s v="Emily"/>
    <d v="2023-01-03T00:00:00"/>
    <d v="2024-09-12T00:00:00"/>
    <x v="1"/>
  </r>
  <r>
    <n v="8673"/>
    <s v="Derrick"/>
    <s v="12/29/2023"/>
    <d v="2024-11-12T00:00:00"/>
    <x v="0"/>
  </r>
  <r>
    <n v="8250"/>
    <s v="Jonathan"/>
    <s v="3/15/2024"/>
    <s v="11/29/2024"/>
    <x v="2"/>
  </r>
  <r>
    <n v="1609"/>
    <s v="David"/>
    <s v="4/13/2023"/>
    <s v="12/17/2024"/>
    <x v="0"/>
  </r>
  <r>
    <n v="3806"/>
    <s v="Gina"/>
    <s v="2/19/2023"/>
    <d v="2024-12-12T00:00:00"/>
    <x v="2"/>
  </r>
  <r>
    <n v="7973"/>
    <s v="Kristin"/>
    <d v="2024-01-10T00:00:00"/>
    <d v="2024-03-12T00:00:00"/>
    <x v="0"/>
  </r>
  <r>
    <n v="7948"/>
    <s v="Douglas"/>
    <s v="11/26/2023"/>
    <s v="11/23/2024"/>
    <x v="2"/>
  </r>
  <r>
    <n v="3195"/>
    <s v="Nicole"/>
    <s v="10/13/2023"/>
    <s v="12/17/2024"/>
    <x v="1"/>
  </r>
  <r>
    <n v="6285"/>
    <s v="Chloe"/>
    <s v="7/31/2023"/>
    <s v="11/30/2024"/>
    <x v="1"/>
  </r>
  <r>
    <n v="4303"/>
    <s v="David"/>
    <d v="2023-06-09T00:00:00"/>
    <s v="12/17/2024"/>
    <x v="0"/>
  </r>
  <r>
    <n v="7751"/>
    <s v="Kevin"/>
    <d v="2024-08-07T00:00:00"/>
    <s v="11/23/2024"/>
    <x v="1"/>
  </r>
  <r>
    <n v="7813"/>
    <s v="Nicholas"/>
    <s v="7/20/2024"/>
    <s v="11/21/2024"/>
    <x v="2"/>
  </r>
  <r>
    <n v="9028"/>
    <s v="Terry"/>
    <d v="2023-06-12T00:00:00"/>
    <s v="11/28/2024"/>
    <x v="2"/>
  </r>
  <r>
    <n v="6109"/>
    <s v="Garrett"/>
    <s v="10/25/2023"/>
    <d v="2024-06-12T00:00:00"/>
    <x v="2"/>
  </r>
  <r>
    <n v="2565"/>
    <s v="Jose"/>
    <s v="9/15/2024"/>
    <s v="12/18/2024"/>
    <x v="0"/>
  </r>
  <r>
    <n v="7551"/>
    <s v="Courtney"/>
    <s v="12/31/2023"/>
    <d v="2024-02-12T00:00:00"/>
    <x v="2"/>
  </r>
  <r>
    <n v="6398"/>
    <s v="Kim"/>
    <s v="8/20/2023"/>
    <d v="2024-07-12T00:00:00"/>
    <x v="0"/>
  </r>
  <r>
    <n v="4982"/>
    <s v="Katherine"/>
    <s v="11/19/2023"/>
    <d v="2024-12-12T00:00:00"/>
    <x v="1"/>
  </r>
  <r>
    <n v="8108"/>
    <s v="Lynn"/>
    <s v="10/20/2024"/>
    <s v="11/30/2024"/>
    <x v="1"/>
  </r>
  <r>
    <n v="6779"/>
    <s v="Leah"/>
    <s v="7/22/2024"/>
    <d v="2024-03-12T00:00:00"/>
    <x v="0"/>
  </r>
  <r>
    <n v="1169"/>
    <s v="Michael"/>
    <s v="8/21/2024"/>
    <d v="2024-03-12T00:00:00"/>
    <x v="1"/>
  </r>
  <r>
    <n v="5067"/>
    <s v="Kayla"/>
    <s v="8/31/2024"/>
    <s v="11/27/2024"/>
    <x v="0"/>
  </r>
  <r>
    <n v="5299"/>
    <s v="Katelyn"/>
    <s v="4/30/2023"/>
    <d v="2024-02-12T00:00:00"/>
    <x v="0"/>
  </r>
  <r>
    <n v="3978"/>
    <s v="Jessica"/>
    <s v="5/15/2024"/>
    <s v="11/28/2024"/>
    <x v="0"/>
  </r>
  <r>
    <n v="8634"/>
    <s v="Maria"/>
    <d v="2023-02-08T00:00:00"/>
    <s v="12/13/2024"/>
    <x v="2"/>
  </r>
  <r>
    <n v="9635"/>
    <s v="Justin"/>
    <s v="12/18/2023"/>
    <s v="11/26/2024"/>
    <x v="1"/>
  </r>
  <r>
    <n v="1776"/>
    <s v="Susan"/>
    <s v="10/22/2023"/>
    <s v="11/20/2024"/>
    <x v="2"/>
  </r>
  <r>
    <n v="9703"/>
    <s v="Mark"/>
    <s v="2/29/2024"/>
    <d v="2024-12-12T00:00:00"/>
    <x v="1"/>
  </r>
  <r>
    <n v="3498"/>
    <s v="Sue"/>
    <d v="2023-11-09T00:00:00"/>
    <d v="2024-01-12T00:00:00"/>
    <x v="2"/>
  </r>
  <r>
    <n v="4260"/>
    <s v="Jean"/>
    <s v="6/24/2024"/>
    <s v="12/16/2024"/>
    <x v="0"/>
  </r>
  <r>
    <n v="7152"/>
    <s v="James"/>
    <d v="2023-05-02T00:00:00"/>
    <d v="2024-04-12T00:00:00"/>
    <x v="1"/>
  </r>
  <r>
    <n v="2457"/>
    <s v="David"/>
    <s v="10/21/2023"/>
    <s v="11/26/2024"/>
    <x v="0"/>
  </r>
  <r>
    <n v="8530"/>
    <s v="Ebony"/>
    <s v="3/25/2023"/>
    <d v="2024-04-12T00:00:00"/>
    <x v="1"/>
  </r>
  <r>
    <n v="9131"/>
    <s v="Derek"/>
    <d v="2023-03-08T00:00:00"/>
    <s v="11/27/2024"/>
    <x v="0"/>
  </r>
  <r>
    <n v="9770"/>
    <s v="John"/>
    <s v="10/28/2023"/>
    <s v="11/24/2024"/>
    <x v="0"/>
  </r>
  <r>
    <n v="8095"/>
    <s v="Rebecca"/>
    <s v="4/15/2023"/>
    <d v="2024-11-12T00:00:00"/>
    <x v="0"/>
  </r>
  <r>
    <n v="3763"/>
    <s v="Juan"/>
    <s v="12/19/2022"/>
    <d v="2024-06-12T00:00:00"/>
    <x v="1"/>
  </r>
  <r>
    <n v="4346"/>
    <s v="Gabrielle"/>
    <s v="2/14/2024"/>
    <d v="2024-12-12T00:00:00"/>
    <x v="2"/>
  </r>
  <r>
    <n v="5866"/>
    <s v="Nicholas"/>
    <d v="2024-01-06T00:00:00"/>
    <s v="11/26/2024"/>
    <x v="0"/>
  </r>
  <r>
    <n v="5865"/>
    <s v="Samantha"/>
    <s v="7/23/2023"/>
    <s v="11/24/2024"/>
    <x v="1"/>
  </r>
  <r>
    <n v="9398"/>
    <s v="Jesse"/>
    <s v="10/30/2024"/>
    <d v="2024-11-12T00:00:00"/>
    <x v="0"/>
  </r>
  <r>
    <n v="9695"/>
    <s v="Aaron"/>
    <d v="2023-08-12T00:00:00"/>
    <s v="12/18/2024"/>
    <x v="0"/>
  </r>
  <r>
    <n v="8805"/>
    <s v="Maurice"/>
    <d v="2024-06-07T00:00:00"/>
    <d v="2024-06-12T00:00:00"/>
    <x v="2"/>
  </r>
  <r>
    <n v="8353"/>
    <s v="Lisa"/>
    <s v="6/20/2023"/>
    <s v="11/19/2024"/>
    <x v="2"/>
  </r>
  <r>
    <n v="3178"/>
    <s v="Melissa"/>
    <s v="3/19/2024"/>
    <d v="2024-11-12T00:00:00"/>
    <x v="0"/>
  </r>
  <r>
    <n v="4917"/>
    <s v="Erin"/>
    <s v="2/19/2023"/>
    <s v="11/20/2024"/>
    <x v="1"/>
  </r>
  <r>
    <n v="8878"/>
    <s v="Dale"/>
    <s v="2/29/2024"/>
    <s v="11/21/2024"/>
    <x v="0"/>
  </r>
  <r>
    <n v="3810"/>
    <s v="Gregory"/>
    <s v="2/17/2023"/>
    <d v="2024-04-12T00:00:00"/>
    <x v="2"/>
  </r>
  <r>
    <n v="9353"/>
    <s v="Sarah"/>
    <d v="2023-06-08T00:00:00"/>
    <s v="11/26/2024"/>
    <x v="0"/>
  </r>
  <r>
    <n v="1672"/>
    <s v="Carmen"/>
    <s v="12/21/2022"/>
    <s v="11/28/2024"/>
    <x v="2"/>
  </r>
  <r>
    <n v="6650"/>
    <s v="April"/>
    <d v="2024-03-03T00:00:00"/>
    <s v="11/26/2024"/>
    <x v="1"/>
  </r>
  <r>
    <n v="2581"/>
    <s v="Anthony"/>
    <s v="4/13/2023"/>
    <d v="2024-02-12T00:00:00"/>
    <x v="2"/>
  </r>
  <r>
    <n v="6860"/>
    <s v="Brett"/>
    <d v="2024-11-02T00:00:00"/>
    <s v="12/16/2024"/>
    <x v="0"/>
  </r>
  <r>
    <n v="4584"/>
    <s v="Matthew"/>
    <s v="9/26/2024"/>
    <s v="12/14/2024"/>
    <x v="0"/>
  </r>
  <r>
    <n v="3354"/>
    <s v="Lisa"/>
    <d v="2023-01-10T00:00:00"/>
    <s v="11/22/2024"/>
    <x v="1"/>
  </r>
  <r>
    <n v="4668"/>
    <s v="Carly"/>
    <s v="12/17/2024"/>
    <d v="2024-09-12T00:00:00"/>
    <x v="1"/>
  </r>
  <r>
    <n v="6684"/>
    <s v="Dennis"/>
    <s v="9/17/2024"/>
    <d v="2024-11-12T00:00:00"/>
    <x v="1"/>
  </r>
  <r>
    <n v="8058"/>
    <s v="Alexandra"/>
    <d v="2023-02-04T00:00:00"/>
    <s v="12/14/2024"/>
    <x v="2"/>
  </r>
  <r>
    <n v="3035"/>
    <s v="Michael"/>
    <s v="4/26/2023"/>
    <s v="11/24/2024"/>
    <x v="2"/>
  </r>
  <r>
    <n v="2146"/>
    <s v="Ryan"/>
    <d v="2024-11-07T00:00:00"/>
    <s v="11/22/2024"/>
    <x v="1"/>
  </r>
  <r>
    <n v="5761"/>
    <s v="Tony"/>
    <s v="1/20/2024"/>
    <d v="2024-08-12T00:00:00"/>
    <x v="2"/>
  </r>
  <r>
    <n v="5256"/>
    <s v="Daniel"/>
    <s v="11/18/2024"/>
    <d v="2024-02-12T00:00:00"/>
    <x v="2"/>
  </r>
  <r>
    <n v="5995"/>
    <s v="Melissa"/>
    <s v="6/17/2023"/>
    <s v="11/27/2024"/>
    <x v="2"/>
  </r>
  <r>
    <n v="4155"/>
    <s v="Jacob"/>
    <d v="2023-07-03T00:00:00"/>
    <d v="2024-06-12T00:00:00"/>
    <x v="1"/>
  </r>
  <r>
    <n v="1851"/>
    <s v="Jennifer"/>
    <d v="2023-03-10T00:00:00"/>
    <d v="2024-11-12T00:00:00"/>
    <x v="1"/>
  </r>
  <r>
    <n v="8068"/>
    <s v="Carolyn"/>
    <s v="12/14/2024"/>
    <s v="11/23/2024"/>
    <x v="2"/>
  </r>
  <r>
    <n v="8425"/>
    <s v="Patrick"/>
    <s v="11/14/2024"/>
    <s v="11/28/2024"/>
    <x v="0"/>
  </r>
  <r>
    <n v="4706"/>
    <s v="Sabrina"/>
    <d v="2023-08-02T00:00:00"/>
    <d v="2024-06-12T00:00:00"/>
    <x v="1"/>
  </r>
  <r>
    <n v="7544"/>
    <s v="Denise"/>
    <d v="2023-01-09T00:00:00"/>
    <s v="11/25/2024"/>
    <x v="2"/>
  </r>
  <r>
    <n v="4029"/>
    <s v="Cassandra"/>
    <s v="10/15/2024"/>
    <s v="11/24/2024"/>
    <x v="1"/>
  </r>
  <r>
    <n v="6117"/>
    <s v="Elizabeth"/>
    <s v="5/30/2024"/>
    <s v="11/27/2024"/>
    <x v="0"/>
  </r>
  <r>
    <n v="1408"/>
    <s v="Dustin"/>
    <s v="1/23/2023"/>
    <s v="11/20/2024"/>
    <x v="1"/>
  </r>
  <r>
    <n v="8396"/>
    <s v="Mary"/>
    <s v="2/16/2024"/>
    <d v="2024-11-12T00:00:00"/>
    <x v="0"/>
  </r>
  <r>
    <n v="6806"/>
    <s v="Crystal"/>
    <s v="12/18/2023"/>
    <s v="11/23/2024"/>
    <x v="0"/>
  </r>
  <r>
    <n v="3496"/>
    <s v="Gregory"/>
    <s v="11/24/2023"/>
    <d v="2024-11-12T00:00:00"/>
    <x v="1"/>
  </r>
  <r>
    <n v="7840"/>
    <s v="Barbara"/>
    <d v="2024-02-02T00:00:00"/>
    <d v="2024-11-12T00:00:00"/>
    <x v="2"/>
  </r>
  <r>
    <n v="2099"/>
    <s v="Michael"/>
    <s v="7/20/2024"/>
    <s v="11/23/2024"/>
    <x v="1"/>
  </r>
  <r>
    <n v="6518"/>
    <s v="Kathryn"/>
    <s v="11/21/2024"/>
    <d v="2024-07-12T00:00:00"/>
    <x v="0"/>
  </r>
  <r>
    <n v="1976"/>
    <s v="Brett"/>
    <s v="10/20/2024"/>
    <s v="12/16/2024"/>
    <x v="1"/>
  </r>
  <r>
    <n v="8777"/>
    <s v="Christopher"/>
    <d v="2024-11-02T00:00:00"/>
    <s v="11/27/2024"/>
    <x v="1"/>
  </r>
  <r>
    <n v="1576"/>
    <s v="Jeremy"/>
    <s v="3/19/2023"/>
    <s v="11/20/2024"/>
    <x v="1"/>
  </r>
  <r>
    <n v="7979"/>
    <s v="Martin"/>
    <d v="2023-03-05T00:00:00"/>
    <s v="11/27/2024"/>
    <x v="1"/>
  </r>
  <r>
    <n v="6300"/>
    <s v="Taylor"/>
    <s v="9/20/2023"/>
    <d v="2024-09-12T00:00:00"/>
    <x v="2"/>
  </r>
  <r>
    <n v="1003"/>
    <s v="Vickie"/>
    <d v="2024-12-12T00:00:00"/>
    <s v="11/22/2024"/>
    <x v="1"/>
  </r>
  <r>
    <n v="8238"/>
    <s v="Betty"/>
    <d v="2024-12-01T00:00:00"/>
    <s v="11/28/2024"/>
    <x v="0"/>
  </r>
  <r>
    <n v="8261"/>
    <s v="James"/>
    <s v="12/25/2022"/>
    <d v="2024-04-12T00:00:00"/>
    <x v="0"/>
  </r>
  <r>
    <n v="7729"/>
    <s v="Brittany"/>
    <s v="2/20/2023"/>
    <d v="2024-11-12T00:00:00"/>
    <x v="1"/>
  </r>
  <r>
    <n v="8616"/>
    <s v="John"/>
    <d v="2024-01-12T00:00:00"/>
    <d v="2024-04-12T00:00:00"/>
    <x v="1"/>
  </r>
  <r>
    <n v="9734"/>
    <s v="Destiny"/>
    <s v="11/24/2024"/>
    <s v="12/14/2024"/>
    <x v="2"/>
  </r>
  <r>
    <n v="2086"/>
    <s v="Amanda"/>
    <d v="2023-12-05T00:00:00"/>
    <s v="11/19/2024"/>
    <x v="0"/>
  </r>
  <r>
    <n v="8721"/>
    <s v="Stephen"/>
    <s v="2/23/2023"/>
    <d v="2024-01-12T00:00:00"/>
    <x v="2"/>
  </r>
  <r>
    <n v="1075"/>
    <s v="Dawn"/>
    <d v="2023-05-05T00:00:00"/>
    <s v="11/28/2024"/>
    <x v="0"/>
  </r>
  <r>
    <n v="2690"/>
    <s v="Jonathan"/>
    <d v="2023-05-09T00:00:00"/>
    <s v="11/29/2024"/>
    <x v="2"/>
  </r>
  <r>
    <n v="7654"/>
    <s v="Amy"/>
    <s v="12/19/2023"/>
    <s v="11/27/2024"/>
    <x v="1"/>
  </r>
  <r>
    <n v="7577"/>
    <s v="Paul"/>
    <s v="10/17/2024"/>
    <d v="2024-03-12T00:00:00"/>
    <x v="2"/>
  </r>
  <r>
    <n v="9814"/>
    <s v="Kenneth"/>
    <d v="2024-11-08T00:00:00"/>
    <s v="11/27/2024"/>
    <x v="1"/>
  </r>
  <r>
    <n v="5423"/>
    <s v="Jamie"/>
    <s v="9/30/2024"/>
    <s v="11/19/2024"/>
    <x v="0"/>
  </r>
  <r>
    <n v="2660"/>
    <s v="Bruce"/>
    <s v="12/30/2022"/>
    <d v="2024-04-12T00:00:00"/>
    <x v="1"/>
  </r>
  <r>
    <n v="4206"/>
    <s v="Kevin"/>
    <d v="2024-04-04T00:00:00"/>
    <d v="2024-06-12T00:00:00"/>
    <x v="1"/>
  </r>
  <r>
    <n v="5269"/>
    <s v="Jamie"/>
    <d v="2023-06-03T00:00:00"/>
    <d v="2024-04-12T00:00:00"/>
    <x v="1"/>
  </r>
  <r>
    <n v="7922"/>
    <s v="Andrew"/>
    <s v="2/19/2023"/>
    <s v="12/18/2024"/>
    <x v="0"/>
  </r>
  <r>
    <n v="7829"/>
    <s v="Brandon"/>
    <s v="10/18/2023"/>
    <s v="12/18/2024"/>
    <x v="0"/>
  </r>
  <r>
    <n v="1715"/>
    <s v="Ryan"/>
    <s v="6/17/2024"/>
    <d v="2024-04-12T00:00:00"/>
    <x v="0"/>
  </r>
  <r>
    <n v="2639"/>
    <s v="Steven"/>
    <s v="6/18/2024"/>
    <d v="2024-07-12T00:00:00"/>
    <x v="1"/>
  </r>
  <r>
    <n v="1801"/>
    <s v="Christine"/>
    <s v="1/14/2024"/>
    <s v="12/13/2024"/>
    <x v="1"/>
  </r>
  <r>
    <n v="9163"/>
    <s v="Martin"/>
    <d v="2023-04-04T00:00:00"/>
    <s v="11/27/2024"/>
    <x v="1"/>
  </r>
  <r>
    <n v="1284"/>
    <s v="Michael"/>
    <d v="2024-04-12T00:00:00"/>
    <d v="2024-01-12T00:00:00"/>
    <x v="0"/>
  </r>
  <r>
    <n v="8774"/>
    <s v="Hunter"/>
    <d v="2023-03-11T00:00:00"/>
    <d v="2024-08-12T00:00:00"/>
    <x v="2"/>
  </r>
  <r>
    <n v="3866"/>
    <s v="Catherine"/>
    <d v="2024-01-02T00:00:00"/>
    <s v="11/28/2024"/>
    <x v="2"/>
  </r>
  <r>
    <n v="4477"/>
    <s v="Christopher"/>
    <s v="4/28/2024"/>
    <s v="11/23/2024"/>
    <x v="0"/>
  </r>
  <r>
    <n v="4829"/>
    <s v="Jeff"/>
    <s v="9/21/2024"/>
    <s v="12/17/2024"/>
    <x v="1"/>
  </r>
  <r>
    <n v="1257"/>
    <s v="Daniel"/>
    <d v="2023-08-02T00:00:00"/>
    <d v="2024-08-12T00:00:00"/>
    <x v="0"/>
  </r>
  <r>
    <n v="1897"/>
    <s v="Cathy"/>
    <s v="3/19/2023"/>
    <s v="12/16/2024"/>
    <x v="1"/>
  </r>
  <r>
    <n v="3603"/>
    <s v="Sylvia"/>
    <d v="2023-04-04T00:00:00"/>
    <s v="11/20/2024"/>
    <x v="0"/>
  </r>
  <r>
    <n v="9256"/>
    <s v="Daniel"/>
    <d v="2023-07-02T00:00:00"/>
    <s v="11/22/2024"/>
    <x v="0"/>
  </r>
  <r>
    <n v="9469"/>
    <s v="William"/>
    <d v="2023-10-06T00:00:00"/>
    <s v="11/25/2024"/>
    <x v="1"/>
  </r>
  <r>
    <n v="7136"/>
    <s v="Jessica"/>
    <s v="5/19/2024"/>
    <s v="12/14/2024"/>
    <x v="0"/>
  </r>
  <r>
    <n v="2321"/>
    <s v="Joseph"/>
    <s v="2/20/2024"/>
    <s v="12/14/2024"/>
    <x v="2"/>
  </r>
  <r>
    <n v="4243"/>
    <s v="Christopher"/>
    <s v="3/13/2023"/>
    <s v="11/29/2024"/>
    <x v="2"/>
  </r>
  <r>
    <n v="8015"/>
    <s v="Laurie"/>
    <s v="10/28/2023"/>
    <s v="12/18/2024"/>
    <x v="0"/>
  </r>
  <r>
    <n v="3440"/>
    <s v="William"/>
    <s v="2/25/2023"/>
    <s v="11/22/2024"/>
    <x v="0"/>
  </r>
  <r>
    <n v="9914"/>
    <s v="Courtney"/>
    <s v="10/17/2023"/>
    <d v="2024-08-12T00:00:00"/>
    <x v="1"/>
  </r>
  <r>
    <n v="5045"/>
    <s v="Ashley"/>
    <s v="8/25/2024"/>
    <s v="11/21/2024"/>
    <x v="1"/>
  </r>
  <r>
    <n v="1379"/>
    <s v="Erin"/>
    <s v="4/19/2023"/>
    <d v="2024-05-12T00:00:00"/>
    <x v="1"/>
  </r>
  <r>
    <n v="6099"/>
    <s v="Danielle"/>
    <s v="2/23/2024"/>
    <s v="11/27/2024"/>
    <x v="1"/>
  </r>
  <r>
    <n v="4696"/>
    <s v="Alexander"/>
    <s v="6/18/2023"/>
    <d v="2024-04-12T00:00:00"/>
    <x v="2"/>
  </r>
  <r>
    <n v="4808"/>
    <s v="Amanda"/>
    <s v="3/26/2024"/>
    <s v="11/27/2024"/>
    <x v="0"/>
  </r>
  <r>
    <n v="3633"/>
    <s v="Randy"/>
    <s v="12/18/2024"/>
    <d v="2024-10-12T00:00:00"/>
    <x v="0"/>
  </r>
  <r>
    <n v="4979"/>
    <s v="Tony"/>
    <s v="11/16/2024"/>
    <s v="11/24/2024"/>
    <x v="2"/>
  </r>
  <r>
    <n v="2214"/>
    <s v="Michelle"/>
    <s v="10/21/2024"/>
    <s v="11/24/2024"/>
    <x v="0"/>
  </r>
  <r>
    <n v="6606"/>
    <s v="Danielle"/>
    <s v="1/26/2024"/>
    <s v="11/29/2024"/>
    <x v="2"/>
  </r>
  <r>
    <n v="4246"/>
    <s v="Jacob"/>
    <s v="9/24/2023"/>
    <s v="12/15/2024"/>
    <x v="0"/>
  </r>
  <r>
    <n v="2836"/>
    <s v="Samantha"/>
    <d v="2024-07-02T00:00:00"/>
    <s v="12/17/2024"/>
    <x v="0"/>
  </r>
  <r>
    <n v="6963"/>
    <s v="Chris"/>
    <d v="2023-06-07T00:00:00"/>
    <s v="11/29/2024"/>
    <x v="2"/>
  </r>
  <r>
    <n v="2243"/>
    <s v="Sherri"/>
    <s v="7/17/2024"/>
    <d v="2024-02-12T00:00:00"/>
    <x v="1"/>
  </r>
  <r>
    <n v="5081"/>
    <s v="Angela"/>
    <s v="10/27/2024"/>
    <s v="11/20/2024"/>
    <x v="1"/>
  </r>
  <r>
    <n v="4171"/>
    <s v="John"/>
    <d v="2024-04-07T00:00:00"/>
    <s v="12/14/2024"/>
    <x v="1"/>
  </r>
  <r>
    <n v="7399"/>
    <s v="Katherine"/>
    <s v="8/13/2024"/>
    <d v="2024-09-12T00:00:00"/>
    <x v="1"/>
  </r>
  <r>
    <n v="1110"/>
    <s v="April"/>
    <d v="2024-05-05T00:00:00"/>
    <d v="2024-04-12T00:00:00"/>
    <x v="1"/>
  </r>
  <r>
    <n v="5630"/>
    <s v="Francis"/>
    <d v="2023-04-12T00:00:00"/>
    <s v="11/24/2024"/>
    <x v="0"/>
  </r>
  <r>
    <n v="9430"/>
    <s v="Katie"/>
    <d v="2023-03-11T00:00:00"/>
    <s v="11/21/2024"/>
    <x v="0"/>
  </r>
  <r>
    <n v="7436"/>
    <s v="Natasha"/>
    <s v="2/22/2024"/>
    <s v="12/17/2024"/>
    <x v="2"/>
  </r>
  <r>
    <n v="2147"/>
    <s v="Julie"/>
    <d v="2024-12-01T00:00:00"/>
    <d v="2024-11-12T00:00:00"/>
    <x v="1"/>
  </r>
  <r>
    <n v="3264"/>
    <s v="Brittany"/>
    <s v="5/14/2023"/>
    <d v="2024-09-12T00:00:00"/>
    <x v="1"/>
  </r>
  <r>
    <n v="1214"/>
    <s v="Jaime"/>
    <d v="2023-08-06T00:00:00"/>
    <d v="2024-11-12T00:00:00"/>
    <x v="1"/>
  </r>
  <r>
    <n v="6050"/>
    <s v="Emma"/>
    <d v="2024-08-08T00:00:00"/>
    <s v="11/23/2024"/>
    <x v="1"/>
  </r>
  <r>
    <n v="7395"/>
    <s v="Stephanie"/>
    <s v="11/26/2023"/>
    <d v="2024-05-12T00:00:00"/>
    <x v="1"/>
  </r>
  <r>
    <n v="3904"/>
    <s v="John"/>
    <s v="6/18/2024"/>
    <d v="2024-09-12T00:00:00"/>
    <x v="1"/>
  </r>
  <r>
    <n v="6545"/>
    <s v="Elizabeth"/>
    <s v="6/13/2024"/>
    <d v="2024-08-12T00:00:00"/>
    <x v="0"/>
  </r>
  <r>
    <n v="3131"/>
    <s v="James"/>
    <d v="2023-11-06T00:00:00"/>
    <s v="11/21/2024"/>
    <x v="2"/>
  </r>
  <r>
    <n v="8589"/>
    <s v="Kayla"/>
    <s v="1/19/2023"/>
    <s v="11/20/2024"/>
    <x v="1"/>
  </r>
  <r>
    <n v="2908"/>
    <s v="Anthony"/>
    <s v="9/26/2024"/>
    <s v="11/22/2024"/>
    <x v="1"/>
  </r>
  <r>
    <n v="5209"/>
    <s v="Melissa"/>
    <d v="2023-10-05T00:00:00"/>
    <s v="11/19/2024"/>
    <x v="1"/>
  </r>
  <r>
    <n v="2319"/>
    <s v="Natalie"/>
    <d v="2023-01-06T00:00:00"/>
    <s v="11/20/2024"/>
    <x v="2"/>
  </r>
  <r>
    <n v="9026"/>
    <s v="Courtney"/>
    <d v="2024-03-05T00:00:00"/>
    <s v="11/22/2024"/>
    <x v="1"/>
  </r>
  <r>
    <n v="2723"/>
    <s v="Briana"/>
    <d v="2023-01-09T00:00:00"/>
    <s v="11/24/2024"/>
    <x v="2"/>
  </r>
  <r>
    <n v="5487"/>
    <s v="Lisa"/>
    <s v="3/25/2024"/>
    <s v="12/16/2024"/>
    <x v="0"/>
  </r>
  <r>
    <n v="4656"/>
    <s v="Kayla"/>
    <s v="5/22/2023"/>
    <s v="11/29/2024"/>
    <x v="0"/>
  </r>
  <r>
    <n v="5718"/>
    <s v="Bradley"/>
    <s v="6/14/2024"/>
    <s v="11/28/2024"/>
    <x v="2"/>
  </r>
  <r>
    <n v="1215"/>
    <s v="Devin"/>
    <s v="8/17/2023"/>
    <s v="11/27/2024"/>
    <x v="0"/>
  </r>
  <r>
    <n v="3427"/>
    <s v="Eric"/>
    <d v="2023-10-12T00:00:00"/>
    <d v="2024-07-12T00:00:00"/>
    <x v="2"/>
  </r>
  <r>
    <n v="2428"/>
    <s v="Brian"/>
    <s v="2/27/2024"/>
    <s v="11/21/2024"/>
    <x v="0"/>
  </r>
  <r>
    <n v="1947"/>
    <s v="Ann"/>
    <d v="2024-01-09T00:00:00"/>
    <s v="11/24/2024"/>
    <x v="1"/>
  </r>
  <r>
    <n v="5036"/>
    <s v="Andrew"/>
    <s v="8/16/2024"/>
    <s v="11/29/2024"/>
    <x v="2"/>
  </r>
  <r>
    <n v="5857"/>
    <s v="Jennifer"/>
    <d v="2024-05-12T00:00:00"/>
    <s v="12/15/2024"/>
    <x v="2"/>
  </r>
  <r>
    <n v="8770"/>
    <s v="Mark"/>
    <d v="2023-12-08T00:00:00"/>
    <s v="11/21/2024"/>
    <x v="0"/>
  </r>
  <r>
    <n v="4118"/>
    <s v="Valerie"/>
    <s v="5/16/2023"/>
    <s v="11/19/2024"/>
    <x v="1"/>
  </r>
  <r>
    <n v="7162"/>
    <s v="Carrie"/>
    <s v="8/21/2024"/>
    <s v="12/14/2024"/>
    <x v="2"/>
  </r>
  <r>
    <n v="9278"/>
    <s v="Joseph"/>
    <s v="9/19/2024"/>
    <s v="12/14/2024"/>
    <x v="0"/>
  </r>
  <r>
    <n v="5406"/>
    <s v="Randall"/>
    <d v="2024-12-10T00:00:00"/>
    <d v="2024-07-12T00:00:00"/>
    <x v="0"/>
  </r>
  <r>
    <n v="4641"/>
    <s v="Danielle"/>
    <d v="2024-12-09T00:00:00"/>
    <d v="2024-08-12T00:00:00"/>
    <x v="2"/>
  </r>
  <r>
    <n v="3969"/>
    <s v="Katie"/>
    <s v="5/23/2023"/>
    <d v="2024-12-12T00:00:00"/>
    <x v="2"/>
  </r>
  <r>
    <n v="3078"/>
    <s v="Victor"/>
    <s v="6/24/2023"/>
    <s v="12/14/2024"/>
    <x v="0"/>
  </r>
  <r>
    <n v="2808"/>
    <s v="Jonathan"/>
    <d v="2023-12-11T00:00:00"/>
    <s v="12/14/2024"/>
    <x v="2"/>
  </r>
  <r>
    <n v="7484"/>
    <s v="Bradley"/>
    <d v="2024-08-12T00:00:00"/>
    <s v="11/21/2024"/>
    <x v="1"/>
  </r>
  <r>
    <n v="2396"/>
    <s v="Christopher"/>
    <d v="2023-02-12T00:00:00"/>
    <s v="11/25/2024"/>
    <x v="1"/>
  </r>
  <r>
    <n v="2472"/>
    <s v="Angela"/>
    <s v="11/18/2023"/>
    <s v="11/25/2024"/>
    <x v="0"/>
  </r>
  <r>
    <n v="7939"/>
    <s v="Richard"/>
    <d v="2023-08-09T00:00:00"/>
    <s v="11/25/2024"/>
    <x v="1"/>
  </r>
  <r>
    <n v="8269"/>
    <s v="Jennifer"/>
    <s v="2/26/2024"/>
    <s v="12/17/2024"/>
    <x v="0"/>
  </r>
  <r>
    <n v="9073"/>
    <s v="Tiffany"/>
    <d v="2023-11-07T00:00:00"/>
    <d v="2024-09-12T00:00:00"/>
    <x v="2"/>
  </r>
  <r>
    <n v="9879"/>
    <s v="Jessica"/>
    <d v="2023-02-02T00:00:00"/>
    <d v="2024-04-12T00:00:00"/>
    <x v="0"/>
  </r>
  <r>
    <n v="3822"/>
    <s v="Tyler"/>
    <d v="2023-03-08T00:00:00"/>
    <d v="2024-04-12T00:00:00"/>
    <x v="2"/>
  </r>
  <r>
    <n v="9183"/>
    <s v="William"/>
    <s v="4/26/2023"/>
    <d v="2024-09-12T00:00:00"/>
    <x v="2"/>
  </r>
  <r>
    <n v="8674"/>
    <s v="Johnny"/>
    <d v="2023-01-01T00:00:00"/>
    <s v="11/20/2024"/>
    <x v="2"/>
  </r>
  <r>
    <n v="2481"/>
    <s v="Jesus"/>
    <s v="3/23/2024"/>
    <s v="11/20/2024"/>
    <x v="0"/>
  </r>
  <r>
    <n v="8729"/>
    <s v="Jill"/>
    <d v="2024-09-01T00:00:00"/>
    <s v="12/13/2024"/>
    <x v="0"/>
  </r>
  <r>
    <n v="5534"/>
    <s v="Andrea"/>
    <d v="2023-04-03T00:00:00"/>
    <s v="12/13/2024"/>
    <x v="0"/>
  </r>
  <r>
    <n v="9785"/>
    <s v="Jacob"/>
    <d v="2024-04-01T00:00:00"/>
    <s v="12/18/2024"/>
    <x v="1"/>
  </r>
  <r>
    <n v="9609"/>
    <s v="Eric"/>
    <d v="2023-03-09T00:00:00"/>
    <s v="11/27/2024"/>
    <x v="1"/>
  </r>
  <r>
    <n v="2829"/>
    <s v="Sara"/>
    <s v="9/23/2024"/>
    <d v="2024-09-12T00:00:00"/>
    <x v="2"/>
  </r>
  <r>
    <n v="1714"/>
    <s v="Tammy"/>
    <s v="8/29/2023"/>
    <s v="11/26/2024"/>
    <x v="1"/>
  </r>
  <r>
    <n v="4475"/>
    <s v="Sandra"/>
    <s v="12/26/2023"/>
    <d v="2024-12-12T00:00:00"/>
    <x v="0"/>
  </r>
  <r>
    <n v="9820"/>
    <s v="James"/>
    <s v="10/21/2024"/>
    <s v="11/27/2024"/>
    <x v="0"/>
  </r>
  <r>
    <n v="3261"/>
    <s v="David"/>
    <s v="12/31/2022"/>
    <s v="12/13/2024"/>
    <x v="1"/>
  </r>
  <r>
    <n v="6130"/>
    <s v="Michael"/>
    <s v="4/25/2024"/>
    <s v="12/16/2024"/>
    <x v="1"/>
  </r>
  <r>
    <n v="9399"/>
    <s v="Kristin"/>
    <s v="4/24/2023"/>
    <s v="11/28/2024"/>
    <x v="0"/>
  </r>
  <r>
    <n v="6047"/>
    <s v="Paul"/>
    <s v="11/23/2024"/>
    <d v="2024-02-12T00:00:00"/>
    <x v="2"/>
  </r>
  <r>
    <n v="7789"/>
    <s v="Amy"/>
    <s v="7/27/2023"/>
    <s v="11/24/2024"/>
    <x v="0"/>
  </r>
  <r>
    <n v="6111"/>
    <s v="Emily"/>
    <d v="2023-11-11T00:00:00"/>
    <s v="12/13/2024"/>
    <x v="1"/>
  </r>
  <r>
    <n v="4968"/>
    <s v="Alicia"/>
    <d v="2024-11-04T00:00:00"/>
    <s v="11/26/2024"/>
    <x v="0"/>
  </r>
  <r>
    <n v="2739"/>
    <s v="Margaret"/>
    <s v="4/24/2023"/>
    <s v="11/20/2024"/>
    <x v="2"/>
  </r>
  <r>
    <n v="6974"/>
    <s v="Linda"/>
    <s v="8/30/2023"/>
    <s v="11/28/2024"/>
    <x v="1"/>
  </r>
  <r>
    <n v="1784"/>
    <s v="Sarah"/>
    <d v="2023-11-06T00:00:00"/>
    <s v="12/16/2024"/>
    <x v="2"/>
  </r>
  <r>
    <n v="8077"/>
    <s v="Megan"/>
    <d v="2024-03-06T00:00:00"/>
    <s v="12/18/2024"/>
    <x v="1"/>
  </r>
  <r>
    <n v="2727"/>
    <s v="Renee"/>
    <s v="1/29/2024"/>
    <d v="2024-08-12T00:00:00"/>
    <x v="0"/>
  </r>
  <r>
    <n v="7661"/>
    <s v="Wayne"/>
    <s v="8/20/2023"/>
    <s v="12/14/2024"/>
    <x v="1"/>
  </r>
  <r>
    <n v="5083"/>
    <s v="Lisa"/>
    <s v="11/24/2024"/>
    <s v="11/23/2024"/>
    <x v="2"/>
  </r>
  <r>
    <n v="7275"/>
    <s v="Rhonda"/>
    <d v="2024-05-09T00:00:00"/>
    <d v="2024-07-12T00:00:00"/>
    <x v="1"/>
  </r>
  <r>
    <n v="7316"/>
    <s v="Darrell"/>
    <s v="2/24/2023"/>
    <s v="12/15/2024"/>
    <x v="1"/>
  </r>
  <r>
    <n v="4497"/>
    <s v="Diana"/>
    <d v="2023-03-01T00:00:00"/>
    <s v="12/15/2024"/>
    <x v="2"/>
  </r>
  <r>
    <n v="8685"/>
    <s v="Matthew"/>
    <d v="2024-09-03T00:00:00"/>
    <s v="11/20/2024"/>
    <x v="1"/>
  </r>
  <r>
    <n v="8583"/>
    <s v="Brittany"/>
    <s v="11/16/2024"/>
    <s v="11/27/2024"/>
    <x v="2"/>
  </r>
  <r>
    <n v="1062"/>
    <s v="David"/>
    <d v="2024-03-10T00:00:00"/>
    <s v="12/13/2024"/>
    <x v="0"/>
  </r>
  <r>
    <n v="2593"/>
    <s v="Stephanie"/>
    <s v="12/21/2022"/>
    <d v="2024-11-12T00:00:00"/>
    <x v="0"/>
  </r>
  <r>
    <n v="3951"/>
    <s v="Christina"/>
    <s v="6/26/2023"/>
    <d v="2024-06-12T00:00:00"/>
    <x v="1"/>
  </r>
  <r>
    <n v="8580"/>
    <s v="Darlene"/>
    <d v="2024-02-06T00:00:00"/>
    <d v="2024-10-12T00:00:00"/>
    <x v="2"/>
  </r>
  <r>
    <n v="4372"/>
    <s v="Michael"/>
    <s v="1/18/2023"/>
    <d v="2024-05-12T00:00:00"/>
    <x v="2"/>
  </r>
  <r>
    <n v="4463"/>
    <s v="Janet"/>
    <s v="10/15/2023"/>
    <s v="11/24/2024"/>
    <x v="2"/>
  </r>
  <r>
    <n v="7498"/>
    <s v="Ethan"/>
    <d v="2023-09-02T00:00:00"/>
    <s v="11/24/2024"/>
    <x v="1"/>
  </r>
  <r>
    <n v="9618"/>
    <s v="Jesse"/>
    <s v="11/17/2024"/>
    <s v="11/30/2024"/>
    <x v="1"/>
  </r>
  <r>
    <n v="1813"/>
    <s v="Phyllis"/>
    <s v="6/21/2024"/>
    <s v="11/29/2024"/>
    <x v="1"/>
  </r>
  <r>
    <n v="3009"/>
    <s v="Joel"/>
    <s v="9/24/2024"/>
    <s v="12/13/2024"/>
    <x v="2"/>
  </r>
  <r>
    <n v="8210"/>
    <s v="Cynthia"/>
    <d v="2023-05-01T00:00:00"/>
    <s v="11/22/2024"/>
    <x v="2"/>
  </r>
  <r>
    <n v="8439"/>
    <s v="Craig"/>
    <s v="7/26/2023"/>
    <s v="11/21/2024"/>
    <x v="1"/>
  </r>
  <r>
    <n v="8310"/>
    <s v="Eric"/>
    <s v="5/29/2023"/>
    <d v="2024-11-12T00:00:00"/>
    <x v="1"/>
  </r>
  <r>
    <n v="6369"/>
    <s v="Jessica"/>
    <s v="10/23/2023"/>
    <s v="11/27/2024"/>
    <x v="0"/>
  </r>
  <r>
    <n v="5721"/>
    <s v="Jordan"/>
    <d v="2023-11-06T00:00:00"/>
    <d v="2024-12-12T00:00:00"/>
    <x v="2"/>
  </r>
  <r>
    <n v="4204"/>
    <s v="Scott"/>
    <d v="2023-12-11T00:00:00"/>
    <s v="12/14/2024"/>
    <x v="1"/>
  </r>
  <r>
    <n v="5666"/>
    <s v="Christopher"/>
    <s v="4/22/2023"/>
    <s v="11/20/2024"/>
    <x v="0"/>
  </r>
  <r>
    <n v="5943"/>
    <s v="Victoria"/>
    <s v="12/18/2023"/>
    <d v="2024-07-12T00:00:00"/>
    <x v="0"/>
  </r>
  <r>
    <n v="3202"/>
    <s v="Mary"/>
    <s v="2/23/2024"/>
    <d v="2024-04-12T00:00:00"/>
    <x v="1"/>
  </r>
  <r>
    <n v="4512"/>
    <s v="Jacob"/>
    <s v="2/21/2023"/>
    <s v="11/30/2024"/>
    <x v="1"/>
  </r>
  <r>
    <n v="2075"/>
    <s v="Ann"/>
    <s v="10/28/2024"/>
    <d v="2024-09-12T00:00:00"/>
    <x v="0"/>
  </r>
  <r>
    <n v="4057"/>
    <s v="Rachel"/>
    <d v="2024-10-05T00:00:00"/>
    <s v="11/28/2024"/>
    <x v="2"/>
  </r>
  <r>
    <n v="5537"/>
    <s v="Justin"/>
    <d v="2024-12-09T00:00:00"/>
    <s v="11/19/2024"/>
    <x v="1"/>
  </r>
  <r>
    <n v="9520"/>
    <s v="Tina"/>
    <d v="2023-05-08T00:00:00"/>
    <d v="2024-01-12T00:00:00"/>
    <x v="1"/>
  </r>
  <r>
    <n v="1081"/>
    <s v="Vincent"/>
    <s v="7/28/2024"/>
    <s v="11/29/2024"/>
    <x v="2"/>
  </r>
  <r>
    <n v="7621"/>
    <s v="Tina"/>
    <d v="2023-06-09T00:00:00"/>
    <d v="2024-06-12T00:00:00"/>
    <x v="0"/>
  </r>
  <r>
    <n v="4558"/>
    <s v="Leah"/>
    <s v="1/18/2023"/>
    <s v="11/20/2024"/>
    <x v="1"/>
  </r>
  <r>
    <n v="6628"/>
    <s v="Richard"/>
    <s v="3/28/2023"/>
    <s v="12/15/2024"/>
    <x v="1"/>
  </r>
  <r>
    <n v="7643"/>
    <s v="Cindy"/>
    <d v="2024-10-07T00:00:00"/>
    <d v="2024-03-12T00:00:00"/>
    <x v="2"/>
  </r>
  <r>
    <n v="4709"/>
    <s v="Gary"/>
    <s v="9/22/2023"/>
    <s v="11/24/2024"/>
    <x v="1"/>
  </r>
  <r>
    <n v="8408"/>
    <s v="Emily"/>
    <s v="7/28/2023"/>
    <d v="2024-12-12T00:00:00"/>
    <x v="0"/>
  </r>
  <r>
    <n v="3530"/>
    <s v="Lindsey"/>
    <d v="2024-10-10T00:00:00"/>
    <d v="2024-06-12T00:00:00"/>
    <x v="2"/>
  </r>
  <r>
    <n v="3779"/>
    <s v="Brandon"/>
    <s v="6/21/2024"/>
    <s v="12/15/2024"/>
    <x v="1"/>
  </r>
  <r>
    <n v="8564"/>
    <s v="Lynn"/>
    <s v="4/17/2023"/>
    <d v="2024-01-12T00:00:00"/>
    <x v="0"/>
  </r>
  <r>
    <n v="8731"/>
    <s v="Jonathan"/>
    <s v="12/31/2023"/>
    <d v="2024-02-12T00:00:00"/>
    <x v="2"/>
  </r>
  <r>
    <n v="5000"/>
    <s v="Natalie"/>
    <s v="2/15/2023"/>
    <s v="11/24/2024"/>
    <x v="2"/>
  </r>
  <r>
    <n v="3882"/>
    <s v="Michelle"/>
    <d v="2024-01-12T00:00:00"/>
    <s v="12/15/2024"/>
    <x v="2"/>
  </r>
  <r>
    <n v="4551"/>
    <s v="Gabriel"/>
    <s v="1/19/2024"/>
    <s v="11/19/2024"/>
    <x v="1"/>
  </r>
  <r>
    <n v="7970"/>
    <s v="Scott"/>
    <s v="7/21/2023"/>
    <s v="11/19/2024"/>
    <x v="2"/>
  </r>
  <r>
    <n v="2466"/>
    <s v="Heidi"/>
    <s v="10/29/2024"/>
    <d v="2024-03-12T00:00:00"/>
    <x v="1"/>
  </r>
  <r>
    <n v="1303"/>
    <s v="Ashley"/>
    <s v="6/17/2023"/>
    <d v="2024-04-12T00:00:00"/>
    <x v="1"/>
  </r>
  <r>
    <n v="9832"/>
    <s v="Danielle"/>
    <s v="12/21/2022"/>
    <s v="11/21/2024"/>
    <x v="0"/>
  </r>
  <r>
    <n v="3618"/>
    <s v="Paul"/>
    <d v="2024-03-02T00:00:00"/>
    <d v="2024-03-12T00:00:00"/>
    <x v="1"/>
  </r>
  <r>
    <n v="7424"/>
    <s v="Lisa"/>
    <d v="2023-08-08T00:00:00"/>
    <s v="12/13/2024"/>
    <x v="0"/>
  </r>
  <r>
    <n v="8414"/>
    <s v="Lisa"/>
    <s v="1/13/2024"/>
    <s v="11/22/2024"/>
    <x v="1"/>
  </r>
  <r>
    <n v="5688"/>
    <s v="Ashley"/>
    <s v="9/27/2024"/>
    <s v="11/30/2024"/>
    <x v="0"/>
  </r>
  <r>
    <n v="2062"/>
    <s v="Darren"/>
    <s v="6/24/2024"/>
    <s v="11/24/2024"/>
    <x v="2"/>
  </r>
  <r>
    <n v="5031"/>
    <s v="Bethany"/>
    <d v="2023-04-08T00:00:00"/>
    <s v="11/27/2024"/>
    <x v="0"/>
  </r>
  <r>
    <n v="1162"/>
    <s v="Steven"/>
    <s v="1/28/2023"/>
    <s v="11/29/2024"/>
    <x v="2"/>
  </r>
  <r>
    <n v="6564"/>
    <s v="James"/>
    <s v="10/23/2023"/>
    <d v="2024-07-12T00:00:00"/>
    <x v="1"/>
  </r>
  <r>
    <n v="9298"/>
    <s v="Christine"/>
    <d v="2024-02-06T00:00:00"/>
    <d v="2024-04-12T00:00:00"/>
    <x v="1"/>
  </r>
  <r>
    <n v="4216"/>
    <s v="Beth"/>
    <s v="3/14/2024"/>
    <s v="11/19/2024"/>
    <x v="1"/>
  </r>
  <r>
    <n v="3677"/>
    <s v="Rebecca"/>
    <d v="2023-08-03T00:00:00"/>
    <s v="11/29/2024"/>
    <x v="0"/>
  </r>
  <r>
    <n v="8453"/>
    <s v="Eric"/>
    <s v="5/17/2024"/>
    <s v="11/27/2024"/>
    <x v="1"/>
  </r>
  <r>
    <n v="6231"/>
    <s v="Nicole"/>
    <s v="1/24/2023"/>
    <d v="2024-07-12T00:00:00"/>
    <x v="2"/>
  </r>
  <r>
    <n v="1481"/>
    <s v="Mary"/>
    <s v="2/20/2023"/>
    <d v="2024-01-12T00:00:00"/>
    <x v="0"/>
  </r>
  <r>
    <n v="7400"/>
    <s v="Allen"/>
    <d v="2024-09-05T00:00:00"/>
    <s v="12/15/2024"/>
    <x v="1"/>
  </r>
  <r>
    <n v="7447"/>
    <s v="Stephanie"/>
    <s v="5/31/2023"/>
    <s v="11/20/2024"/>
    <x v="0"/>
  </r>
  <r>
    <n v="4597"/>
    <s v="Sarah"/>
    <d v="2024-10-08T00:00:00"/>
    <s v="12/13/2024"/>
    <x v="0"/>
  </r>
  <r>
    <n v="3173"/>
    <s v="Aaron"/>
    <s v="9/25/2024"/>
    <d v="2024-09-12T00:00:00"/>
    <x v="0"/>
  </r>
  <r>
    <n v="9514"/>
    <s v="Veronica"/>
    <d v="2023-06-06T00:00:00"/>
    <d v="2024-10-12T00:00:00"/>
    <x v="0"/>
  </r>
  <r>
    <n v="4985"/>
    <s v="Michael"/>
    <d v="2023-11-08T00:00:00"/>
    <d v="2024-01-12T00:00:00"/>
    <x v="0"/>
  </r>
  <r>
    <n v="4486"/>
    <s v="Craig"/>
    <d v="2024-05-01T00:00:00"/>
    <s v="12/13/2024"/>
    <x v="0"/>
  </r>
  <r>
    <n v="8756"/>
    <s v="Jessica"/>
    <s v="12/22/2023"/>
    <d v="2024-09-12T00:00:00"/>
    <x v="0"/>
  </r>
  <r>
    <n v="9121"/>
    <s v="Denise"/>
    <s v="6/18/2023"/>
    <d v="2024-12-12T00:00:00"/>
    <x v="0"/>
  </r>
  <r>
    <n v="6471"/>
    <s v="Jennifer"/>
    <s v="12/28/2023"/>
    <s v="11/25/2024"/>
    <x v="0"/>
  </r>
  <r>
    <n v="6601"/>
    <s v="Larry"/>
    <s v="5/23/2023"/>
    <s v="12/18/2024"/>
    <x v="0"/>
  </r>
  <r>
    <n v="4340"/>
    <s v="Makayla"/>
    <s v="3/18/2023"/>
    <d v="2024-07-12T00:00:00"/>
    <x v="2"/>
  </r>
  <r>
    <n v="5112"/>
    <s v="Juan"/>
    <d v="2024-05-11T00:00:00"/>
    <s v="12/14/2024"/>
    <x v="2"/>
  </r>
  <r>
    <n v="5700"/>
    <s v="Gregory"/>
    <s v="5/26/2023"/>
    <d v="2024-09-12T00:00:00"/>
    <x v="1"/>
  </r>
  <r>
    <n v="8617"/>
    <s v="Ashley"/>
    <s v="10/14/2024"/>
    <d v="2024-11-12T00:00:00"/>
    <x v="2"/>
  </r>
  <r>
    <n v="9149"/>
    <s v="Angelica"/>
    <d v="2023-05-01T00:00:00"/>
    <s v="12/17/2024"/>
    <x v="2"/>
  </r>
  <r>
    <n v="8651"/>
    <s v="Dawn"/>
    <s v="8/19/2024"/>
    <s v="11/26/2024"/>
    <x v="2"/>
  </r>
  <r>
    <n v="1495"/>
    <s v="Timothy"/>
    <s v="8/19/2024"/>
    <s v="11/22/2024"/>
    <x v="2"/>
  </r>
  <r>
    <n v="7359"/>
    <s v="Kevin"/>
    <s v="3/20/2023"/>
    <s v="12/17/2024"/>
    <x v="2"/>
  </r>
  <r>
    <n v="6525"/>
    <s v="Paul"/>
    <s v="1/25/2023"/>
    <s v="11/22/2024"/>
    <x v="2"/>
  </r>
  <r>
    <n v="7207"/>
    <s v="Christina"/>
    <s v="8/19/2024"/>
    <s v="12/17/2024"/>
    <x v="0"/>
  </r>
  <r>
    <n v="2361"/>
    <s v="Karen"/>
    <s v="3/18/2023"/>
    <s v="11/25/2024"/>
    <x v="2"/>
  </r>
  <r>
    <n v="8766"/>
    <s v="Anna"/>
    <s v="9/29/2023"/>
    <s v="11/27/2024"/>
    <x v="2"/>
  </r>
  <r>
    <n v="7236"/>
    <s v="Mary"/>
    <s v="4/13/2024"/>
    <d v="2024-10-12T00:00:00"/>
    <x v="0"/>
  </r>
  <r>
    <n v="8605"/>
    <s v="Jessica"/>
    <s v="5/31/2023"/>
    <d v="2024-01-12T00:00:00"/>
    <x v="1"/>
  </r>
  <r>
    <n v="1055"/>
    <s v="Taylor"/>
    <s v="2/20/2023"/>
    <d v="2024-12-12T00:00:00"/>
    <x v="2"/>
  </r>
  <r>
    <n v="7986"/>
    <s v="Douglas"/>
    <s v="1/23/2023"/>
    <d v="2024-10-12T00:00:00"/>
    <x v="2"/>
  </r>
  <r>
    <n v="6170"/>
    <s v="Sarah"/>
    <s v="6/21/2024"/>
    <s v="11/22/2024"/>
    <x v="2"/>
  </r>
  <r>
    <n v="7172"/>
    <s v="Felicia"/>
    <d v="2023-09-07T00:00:00"/>
    <s v="11/22/2024"/>
    <x v="1"/>
  </r>
  <r>
    <n v="7408"/>
    <s v="Aaron"/>
    <s v="12/27/2022"/>
    <s v="11/24/2024"/>
    <x v="2"/>
  </r>
  <r>
    <n v="7274"/>
    <s v="Joseph"/>
    <d v="2023-12-04T00:00:00"/>
    <d v="2024-06-12T00:00:00"/>
    <x v="1"/>
  </r>
  <r>
    <n v="6001"/>
    <s v="Vickie"/>
    <d v="2024-02-09T00:00:00"/>
    <s v="11/28/2024"/>
    <x v="2"/>
  </r>
  <r>
    <n v="9418"/>
    <s v="Stacey"/>
    <s v="7/21/2024"/>
    <s v="11/26/2024"/>
    <x v="0"/>
  </r>
  <r>
    <n v="9354"/>
    <s v="Timothy"/>
    <s v="7/21/2023"/>
    <s v="11/30/2024"/>
    <x v="1"/>
  </r>
  <r>
    <n v="8122"/>
    <s v="Alison"/>
    <d v="2024-11-09T00:00:00"/>
    <s v="11/29/2024"/>
    <x v="2"/>
  </r>
  <r>
    <n v="1765"/>
    <s v="Harold"/>
    <s v="9/16/2024"/>
    <s v="11/24/2024"/>
    <x v="1"/>
  </r>
  <r>
    <n v="5352"/>
    <s v="Andrew"/>
    <s v="1/16/2024"/>
    <s v="12/14/2024"/>
    <x v="2"/>
  </r>
  <r>
    <n v="7578"/>
    <s v="Stephanie"/>
    <d v="2023-03-10T00:00:00"/>
    <d v="2024-03-12T00:00:00"/>
    <x v="1"/>
  </r>
  <r>
    <n v="8912"/>
    <s v="Scott"/>
    <d v="2024-05-09T00:00:00"/>
    <s v="11/21/2024"/>
    <x v="2"/>
  </r>
  <r>
    <n v="6641"/>
    <s v="Ashley"/>
    <s v="7/20/2024"/>
    <d v="2024-08-12T00:00:00"/>
    <x v="0"/>
  </r>
  <r>
    <n v="9664"/>
    <s v="Rick"/>
    <d v="2023-11-07T00:00:00"/>
    <s v="11/22/2024"/>
    <x v="1"/>
  </r>
  <r>
    <n v="9134"/>
    <s v="Stephanie"/>
    <s v="1/26/2023"/>
    <s v="11/19/2024"/>
    <x v="2"/>
  </r>
  <r>
    <n v="6663"/>
    <s v="Douglas"/>
    <s v="5/19/2024"/>
    <d v="2024-07-12T00:00:00"/>
    <x v="0"/>
  </r>
  <r>
    <n v="9800"/>
    <s v="Troy"/>
    <s v="12/31/2022"/>
    <d v="2024-05-12T00:00:00"/>
    <x v="2"/>
  </r>
  <r>
    <n v="2363"/>
    <s v="Cindy"/>
    <s v="5/21/2023"/>
    <d v="2024-01-12T00:00:00"/>
    <x v="0"/>
  </r>
  <r>
    <n v="4875"/>
    <s v="Christopher"/>
    <s v="4/21/2024"/>
    <s v="11/23/2024"/>
    <x v="0"/>
  </r>
  <r>
    <n v="8961"/>
    <s v="Nathan"/>
    <d v="2023-09-07T00:00:00"/>
    <d v="2024-07-12T00:00:00"/>
    <x v="1"/>
  </r>
  <r>
    <n v="1539"/>
    <s v="Linda"/>
    <s v="8/29/2024"/>
    <s v="11/29/2024"/>
    <x v="2"/>
  </r>
  <r>
    <n v="4037"/>
    <s v="Tina"/>
    <s v="11/30/2023"/>
    <s v="12/14/2024"/>
    <x v="1"/>
  </r>
  <r>
    <n v="4239"/>
    <s v="Christopher"/>
    <s v="11/18/2024"/>
    <s v="11/23/2024"/>
    <x v="0"/>
  </r>
  <r>
    <n v="4364"/>
    <s v="Victor"/>
    <s v="10/27/2024"/>
    <d v="2024-01-12T00:00:00"/>
    <x v="0"/>
  </r>
  <r>
    <n v="8946"/>
    <s v="Judy"/>
    <s v="5/18/2024"/>
    <s v="12/14/2024"/>
    <x v="2"/>
  </r>
  <r>
    <n v="5911"/>
    <s v="Stephanie"/>
    <d v="2024-02-01T00:00:00"/>
    <d v="2024-10-12T00:00:00"/>
    <x v="0"/>
  </r>
  <r>
    <n v="8033"/>
    <s v="Rhonda"/>
    <s v="1/18/2024"/>
    <s v="11/28/2024"/>
    <x v="2"/>
  </r>
  <r>
    <n v="6603"/>
    <s v="Amanda"/>
    <s v="1/30/2024"/>
    <d v="2024-07-12T00:00:00"/>
    <x v="1"/>
  </r>
  <r>
    <n v="9630"/>
    <s v="William"/>
    <d v="2023-01-06T00:00:00"/>
    <s v="11/26/2024"/>
    <x v="0"/>
  </r>
  <r>
    <n v="1691"/>
    <s v="Elizabeth"/>
    <d v="2023-04-09T00:00:00"/>
    <d v="2024-07-12T00:00:00"/>
    <x v="1"/>
  </r>
  <r>
    <n v="5590"/>
    <s v="Jennifer"/>
    <s v="7/27/2024"/>
    <s v="12/15/2024"/>
    <x v="0"/>
  </r>
  <r>
    <n v="8645"/>
    <s v="Daniel"/>
    <s v="4/17/2024"/>
    <s v="11/29/2024"/>
    <x v="1"/>
  </r>
  <r>
    <n v="7663"/>
    <s v="David"/>
    <d v="2024-05-05T00:00:00"/>
    <s v="11/28/2024"/>
    <x v="0"/>
  </r>
  <r>
    <n v="2647"/>
    <s v="John"/>
    <s v="7/23/2024"/>
    <s v="12/17/2024"/>
    <x v="0"/>
  </r>
  <r>
    <n v="6539"/>
    <s v="Katherine"/>
    <s v="4/19/2024"/>
    <d v="2024-01-12T00:00:00"/>
    <x v="1"/>
  </r>
  <r>
    <n v="3472"/>
    <s v="James"/>
    <s v="9/19/2023"/>
    <s v="11/23/2024"/>
    <x v="0"/>
  </r>
  <r>
    <n v="4314"/>
    <s v="Alicia"/>
    <d v="2023-10-07T00:00:00"/>
    <s v="12/15/2024"/>
    <x v="0"/>
  </r>
  <r>
    <n v="6739"/>
    <s v="Richard"/>
    <s v="7/30/2024"/>
    <d v="2024-01-12T00:00:00"/>
    <x v="1"/>
  </r>
  <r>
    <n v="6368"/>
    <s v="Robert"/>
    <s v="8/28/2023"/>
    <s v="12/14/2024"/>
    <x v="1"/>
  </r>
  <r>
    <n v="7309"/>
    <s v="Emily"/>
    <s v="6/30/2024"/>
    <s v="11/19/2024"/>
    <x v="2"/>
  </r>
  <r>
    <n v="3976"/>
    <s v="Catherine"/>
    <d v="2023-07-11T00:00:00"/>
    <d v="2024-03-12T00:00:00"/>
    <x v="0"/>
  </r>
  <r>
    <n v="7230"/>
    <s v="Jeffrey"/>
    <s v="6/20/2024"/>
    <s v="12/13/2024"/>
    <x v="1"/>
  </r>
  <r>
    <n v="8888"/>
    <s v="Eric"/>
    <s v="4/22/2024"/>
    <s v="12/13/2024"/>
    <x v="2"/>
  </r>
  <r>
    <n v="1194"/>
    <s v="Richard"/>
    <s v="10/20/2024"/>
    <d v="2024-02-12T00:00:00"/>
    <x v="0"/>
  </r>
  <r>
    <n v="6983"/>
    <s v="Jennifer"/>
    <s v="8/28/2024"/>
    <d v="2024-07-12T00:00:00"/>
    <x v="1"/>
  </r>
  <r>
    <n v="1413"/>
    <s v="Charles"/>
    <s v="12/20/2022"/>
    <s v="11/30/2024"/>
    <x v="1"/>
  </r>
  <r>
    <n v="9509"/>
    <s v="Samantha"/>
    <s v="7/28/2024"/>
    <s v="11/26/2024"/>
    <x v="1"/>
  </r>
  <r>
    <n v="6330"/>
    <s v="Meghan"/>
    <s v="1/25/2024"/>
    <d v="2024-04-12T00:00:00"/>
    <x v="0"/>
  </r>
  <r>
    <n v="2504"/>
    <s v="Calvin"/>
    <s v="8/22/2024"/>
    <s v="12/15/2024"/>
    <x v="1"/>
  </r>
  <r>
    <n v="6593"/>
    <s v="Richard"/>
    <s v="8/13/2024"/>
    <d v="2024-07-12T00:00:00"/>
    <x v="1"/>
  </r>
  <r>
    <n v="9537"/>
    <s v="Richard"/>
    <s v="2/20/2024"/>
    <s v="11/20/2024"/>
    <x v="1"/>
  </r>
  <r>
    <n v="9628"/>
    <s v="Maria"/>
    <s v="10/27/2023"/>
    <d v="2024-11-12T00:00:00"/>
    <x v="0"/>
  </r>
  <r>
    <n v="4024"/>
    <s v="Sarah"/>
    <s v="4/21/2023"/>
    <d v="2024-07-12T00:00:00"/>
    <x v="0"/>
  </r>
  <r>
    <n v="5321"/>
    <s v="Joseph"/>
    <s v="12/30/2023"/>
    <d v="2024-10-12T00:00:00"/>
    <x v="0"/>
  </r>
  <r>
    <n v="3926"/>
    <s v="Sheri"/>
    <s v="11/20/2024"/>
    <s v="11/25/2024"/>
    <x v="0"/>
  </r>
  <r>
    <n v="8738"/>
    <s v="Ashley"/>
    <s v="9/21/2024"/>
    <s v="11/29/2024"/>
    <x v="0"/>
  </r>
  <r>
    <n v="2701"/>
    <s v="Victor"/>
    <d v="2024-05-05T00:00:00"/>
    <d v="2024-01-12T00:00:00"/>
    <x v="1"/>
  </r>
  <r>
    <n v="5339"/>
    <s v="Tommy"/>
    <s v="2/19/2024"/>
    <s v="12/14/2024"/>
    <x v="2"/>
  </r>
  <r>
    <n v="1612"/>
    <s v="Trevor"/>
    <s v="5/23/2023"/>
    <d v="2024-04-12T00:00:00"/>
    <x v="0"/>
  </r>
  <r>
    <n v="5407"/>
    <s v="William"/>
    <s v="10/13/2023"/>
    <d v="2024-04-12T00:00:00"/>
    <x v="0"/>
  </r>
  <r>
    <n v="8225"/>
    <s v="Darrell"/>
    <d v="2024-08-05T00:00:00"/>
    <s v="11/24/2024"/>
    <x v="2"/>
  </r>
  <r>
    <n v="4714"/>
    <s v="Dana"/>
    <s v="10/13/2024"/>
    <s v="11/20/2024"/>
    <x v="1"/>
  </r>
  <r>
    <n v="3826"/>
    <s v="Richard"/>
    <d v="2024-02-10T00:00:00"/>
    <s v="12/16/2024"/>
    <x v="1"/>
  </r>
  <r>
    <n v="3781"/>
    <s v="Jasmine"/>
    <s v="12/17/2024"/>
    <s v="11/29/2024"/>
    <x v="2"/>
  </r>
  <r>
    <n v="5635"/>
    <s v="Chelsea"/>
    <s v="10/18/2023"/>
    <s v="11/24/2024"/>
    <x v="0"/>
  </r>
  <r>
    <n v="2291"/>
    <s v="Courtney"/>
    <d v="2023-12-04T00:00:00"/>
    <d v="2024-01-12T00:00:00"/>
    <x v="0"/>
  </r>
  <r>
    <n v="3119"/>
    <s v="Stacey"/>
    <s v="9/18/2024"/>
    <s v="12/13/2024"/>
    <x v="0"/>
  </r>
  <r>
    <n v="5280"/>
    <s v="Kristy"/>
    <s v="3/25/2023"/>
    <s v="11/29/2024"/>
    <x v="0"/>
  </r>
  <r>
    <n v="2546"/>
    <s v="Terri"/>
    <s v="5/17/2023"/>
    <d v="2024-03-12T00:00:00"/>
    <x v="2"/>
  </r>
  <r>
    <n v="5975"/>
    <s v="Jessica"/>
    <s v="9/24/2023"/>
    <s v="12/17/2024"/>
    <x v="0"/>
  </r>
  <r>
    <n v="9113"/>
    <s v="Aaron"/>
    <s v="9/13/2024"/>
    <s v="11/30/2024"/>
    <x v="0"/>
  </r>
  <r>
    <n v="6250"/>
    <s v="Madison"/>
    <d v="2024-08-07T00:00:00"/>
    <s v="11/22/2024"/>
    <x v="2"/>
  </r>
  <r>
    <n v="6190"/>
    <s v="Alyssa"/>
    <s v="11/17/2024"/>
    <d v="2024-08-12T00:00:00"/>
    <x v="0"/>
  </r>
  <r>
    <n v="5713"/>
    <s v="Carlos"/>
    <s v="4/17/2024"/>
    <s v="11/24/2024"/>
    <x v="0"/>
  </r>
  <r>
    <n v="1932"/>
    <s v="Scott"/>
    <s v="1/21/2024"/>
    <s v="12/17/2024"/>
    <x v="0"/>
  </r>
  <r>
    <n v="6527"/>
    <s v="Debra"/>
    <s v="5/25/2023"/>
    <s v="11/23/2024"/>
    <x v="0"/>
  </r>
  <r>
    <n v="9363"/>
    <s v="Ashley"/>
    <d v="2024-05-10T00:00:00"/>
    <s v="11/23/2024"/>
    <x v="1"/>
  </r>
  <r>
    <n v="5019"/>
    <s v="Elizabeth"/>
    <d v="2024-02-10T00:00:00"/>
    <d v="2024-12-12T00:00:00"/>
    <x v="2"/>
  </r>
  <r>
    <n v="9258"/>
    <s v="Bianca"/>
    <s v="2/26/2024"/>
    <d v="2024-06-12T00:00:00"/>
    <x v="2"/>
  </r>
  <r>
    <n v="7512"/>
    <s v="Joann"/>
    <s v="12/13/2023"/>
    <s v="11/24/2024"/>
    <x v="1"/>
  </r>
  <r>
    <n v="8195"/>
    <s v="Gail"/>
    <s v="4/17/2023"/>
    <s v="11/20/2024"/>
    <x v="1"/>
  </r>
  <r>
    <n v="8242"/>
    <s v="Daniel"/>
    <s v="12/19/2022"/>
    <d v="2024-04-12T00:00:00"/>
    <x v="1"/>
  </r>
  <r>
    <n v="2220"/>
    <s v="Felicia"/>
    <s v="10/21/2023"/>
    <s v="11/28/2024"/>
    <x v="2"/>
  </r>
  <r>
    <n v="9308"/>
    <s v="Jennifer"/>
    <s v="9/30/2024"/>
    <s v="11/25/2024"/>
    <x v="1"/>
  </r>
  <r>
    <n v="3437"/>
    <s v="Susan"/>
    <s v="1/24/2023"/>
    <d v="2024-05-12T00:00:00"/>
    <x v="0"/>
  </r>
  <r>
    <n v="8305"/>
    <s v="Ashley"/>
    <s v="1/26/2023"/>
    <d v="2024-06-12T00:00:00"/>
    <x v="1"/>
  </r>
  <r>
    <n v="6773"/>
    <s v="Jeffrey"/>
    <d v="2024-06-02T00:00:00"/>
    <s v="11/29/2024"/>
    <x v="0"/>
  </r>
  <r>
    <n v="3010"/>
    <s v="Amanda"/>
    <d v="2024-03-11T00:00:00"/>
    <s v="11/24/2024"/>
    <x v="1"/>
  </r>
  <r>
    <n v="3622"/>
    <s v="Paul"/>
    <s v="8/16/2024"/>
    <d v="2024-09-12T00:00:00"/>
    <x v="0"/>
  </r>
  <r>
    <n v="6006"/>
    <s v="Mark"/>
    <d v="2024-07-09T00:00:00"/>
    <s v="11/19/2024"/>
    <x v="1"/>
  </r>
  <r>
    <n v="1338"/>
    <s v="Lisa"/>
    <s v="3/26/2023"/>
    <d v="2024-02-12T00:00:00"/>
    <x v="2"/>
  </r>
  <r>
    <n v="6722"/>
    <s v="Matthew"/>
    <d v="2023-08-05T00:00:00"/>
    <s v="11/27/2024"/>
    <x v="2"/>
  </r>
  <r>
    <n v="5871"/>
    <s v="Travis"/>
    <s v="7/13/2024"/>
    <d v="2024-04-12T00:00:00"/>
    <x v="0"/>
  </r>
  <r>
    <n v="9290"/>
    <s v="Reginald"/>
    <d v="2023-09-11T00:00:00"/>
    <d v="2024-08-12T00:00:00"/>
    <x v="2"/>
  </r>
  <r>
    <n v="8567"/>
    <s v="Jennifer"/>
    <s v="5/18/2024"/>
    <s v="12/13/2024"/>
    <x v="0"/>
  </r>
  <r>
    <n v="5253"/>
    <s v="Debra"/>
    <d v="2023-07-12T00:00:00"/>
    <s v="11/24/2024"/>
    <x v="1"/>
  </r>
  <r>
    <n v="8172"/>
    <s v="Ian"/>
    <s v="3/21/2024"/>
    <s v="12/17/2024"/>
    <x v="1"/>
  </r>
  <r>
    <n v="2154"/>
    <s v="Cassie"/>
    <d v="2023-11-12T00:00:00"/>
    <d v="2024-05-12T00:00:00"/>
    <x v="0"/>
  </r>
  <r>
    <n v="5013"/>
    <s v="Claudia"/>
    <s v="8/26/2023"/>
    <s v="11/24/2024"/>
    <x v="2"/>
  </r>
  <r>
    <n v="4211"/>
    <s v="Kristina"/>
    <d v="2024-07-10T00:00:00"/>
    <d v="2024-01-12T00:00:00"/>
    <x v="0"/>
  </r>
  <r>
    <n v="4408"/>
    <s v="Melissa"/>
    <s v="9/28/2023"/>
    <s v="11/30/2024"/>
    <x v="0"/>
  </r>
  <r>
    <n v="8473"/>
    <s v="Desiree"/>
    <s v="2/25/2023"/>
    <d v="2024-12-12T00:00:00"/>
    <x v="1"/>
  </r>
  <r>
    <n v="7510"/>
    <s v="Audrey"/>
    <s v="1/15/2023"/>
    <s v="11/29/2024"/>
    <x v="0"/>
  </r>
  <r>
    <n v="5376"/>
    <s v="John"/>
    <d v="2023-07-04T00:00:00"/>
    <s v="11/26/2024"/>
    <x v="0"/>
  </r>
  <r>
    <n v="8005"/>
    <s v="Ryan"/>
    <d v="2023-08-03T00:00:00"/>
    <s v="12/14/2024"/>
    <x v="0"/>
  </r>
  <r>
    <n v="7439"/>
    <s v="Kim"/>
    <s v="8/25/2023"/>
    <d v="2024-05-12T00:00:00"/>
    <x v="2"/>
  </r>
  <r>
    <n v="3699"/>
    <s v="Lindsey"/>
    <s v="5/26/2023"/>
    <s v="11/24/2024"/>
    <x v="2"/>
  </r>
  <r>
    <n v="3162"/>
    <s v="Michael"/>
    <s v="12/19/2022"/>
    <s v="12/13/2024"/>
    <x v="2"/>
  </r>
  <r>
    <n v="8798"/>
    <s v="Pamela"/>
    <s v="4/20/2023"/>
    <s v="12/15/2024"/>
    <x v="2"/>
  </r>
  <r>
    <n v="6400"/>
    <s v="Jonathan"/>
    <s v="2/27/2024"/>
    <s v="12/14/2024"/>
    <x v="1"/>
  </r>
  <r>
    <n v="9404"/>
    <s v="Michael"/>
    <d v="2023-10-09T00:00:00"/>
    <d v="2024-03-12T00:00:00"/>
    <x v="2"/>
  </r>
  <r>
    <n v="8151"/>
    <s v="Mark"/>
    <s v="6/22/2024"/>
    <s v="11/24/2024"/>
    <x v="1"/>
  </r>
  <r>
    <n v="7742"/>
    <s v="James"/>
    <s v="9/27/2024"/>
    <s v="11/22/2024"/>
    <x v="1"/>
  </r>
  <r>
    <n v="4553"/>
    <s v="Janet"/>
    <s v="6/15/2023"/>
    <s v="11/27/2024"/>
    <x v="0"/>
  </r>
  <r>
    <n v="6919"/>
    <s v="Jane"/>
    <s v="2/25/2023"/>
    <s v="11/24/2024"/>
    <x v="0"/>
  </r>
  <r>
    <n v="7168"/>
    <s v="Tammy"/>
    <d v="2024-10-01T00:00:00"/>
    <s v="11/21/2024"/>
    <x v="1"/>
  </r>
  <r>
    <n v="6474"/>
    <s v="Christopher"/>
    <s v="10/31/2023"/>
    <s v="11/19/2024"/>
    <x v="2"/>
  </r>
  <r>
    <n v="4242"/>
    <s v="Robert"/>
    <d v="2023-06-11T00:00:00"/>
    <s v="12/15/2024"/>
    <x v="0"/>
  </r>
  <r>
    <n v="3395"/>
    <s v="Michael"/>
    <s v="3/26/2024"/>
    <s v="11/29/2024"/>
    <x v="0"/>
  </r>
  <r>
    <n v="8694"/>
    <s v="Norma"/>
    <s v="12/14/2023"/>
    <d v="2024-03-12T00:00:00"/>
    <x v="2"/>
  </r>
  <r>
    <n v="7150"/>
    <s v="Matthew"/>
    <s v="4/13/2023"/>
    <d v="2024-07-12T00:00:00"/>
    <x v="0"/>
  </r>
  <r>
    <n v="4111"/>
    <s v="Tyler"/>
    <s v="4/23/2024"/>
    <s v="11/27/2024"/>
    <x v="1"/>
  </r>
  <r>
    <n v="3532"/>
    <s v="Richard"/>
    <s v="1/29/2023"/>
    <s v="12/15/2024"/>
    <x v="0"/>
  </r>
  <r>
    <n v="5375"/>
    <s v="Wendy"/>
    <s v="12/31/2022"/>
    <s v="11/30/2024"/>
    <x v="2"/>
  </r>
  <r>
    <n v="8881"/>
    <s v="Taylor"/>
    <s v="9/16/2024"/>
    <s v="11/24/2024"/>
    <x v="1"/>
  </r>
  <r>
    <n v="1235"/>
    <s v="William"/>
    <s v="10/31/2023"/>
    <s v="11/27/2024"/>
    <x v="2"/>
  </r>
  <r>
    <n v="2533"/>
    <s v="Danielle"/>
    <d v="2023-03-11T00:00:00"/>
    <s v="11/23/2024"/>
    <x v="2"/>
  </r>
  <r>
    <n v="2734"/>
    <s v="Bruce"/>
    <d v="2024-06-06T00:00:00"/>
    <d v="2024-01-12T00:00:00"/>
    <x v="1"/>
  </r>
  <r>
    <n v="4129"/>
    <s v="Erin"/>
    <s v="12/31/2023"/>
    <s v="11/25/2024"/>
    <x v="1"/>
  </r>
  <r>
    <n v="3762"/>
    <s v="Michelle"/>
    <s v="12/28/2023"/>
    <s v="11/30/2024"/>
    <x v="1"/>
  </r>
  <r>
    <n v="4341"/>
    <s v="Marie"/>
    <d v="2023-01-06T00:00:00"/>
    <d v="2024-07-12T00:00:00"/>
    <x v="1"/>
  </r>
  <r>
    <n v="6638"/>
    <s v="Cory"/>
    <d v="2023-02-10T00:00:00"/>
    <d v="2024-11-12T00:00:00"/>
    <x v="1"/>
  </r>
  <r>
    <n v="5861"/>
    <s v="Angela"/>
    <d v="2023-08-05T00:00:00"/>
    <d v="2024-03-12T00:00:00"/>
    <x v="2"/>
  </r>
  <r>
    <n v="8815"/>
    <s v="Brian"/>
    <s v="11/13/2023"/>
    <d v="2024-01-12T00:00:00"/>
    <x v="0"/>
  </r>
  <r>
    <n v="8793"/>
    <s v="Lisa"/>
    <s v="5/18/2024"/>
    <s v="11/21/2024"/>
    <x v="0"/>
  </r>
  <r>
    <n v="3469"/>
    <s v="Kimberly"/>
    <d v="2023-06-08T00:00:00"/>
    <s v="12/18/2024"/>
    <x v="0"/>
  </r>
  <r>
    <n v="3654"/>
    <s v="James"/>
    <s v="2/24/2024"/>
    <s v="12/14/2024"/>
    <x v="2"/>
  </r>
  <r>
    <n v="9555"/>
    <s v="Brian"/>
    <d v="2024-02-08T00:00:00"/>
    <s v="11/22/2024"/>
    <x v="1"/>
  </r>
  <r>
    <n v="4028"/>
    <s v="Juan"/>
    <d v="2024-04-05T00:00:00"/>
    <d v="2024-09-12T00:00:00"/>
    <x v="0"/>
  </r>
  <r>
    <n v="9499"/>
    <s v="Kevin"/>
    <s v="4/17/2023"/>
    <s v="12/14/2024"/>
    <x v="1"/>
  </r>
  <r>
    <n v="8628"/>
    <s v="Lori"/>
    <s v="12/26/2022"/>
    <s v="11/29/2024"/>
    <x v="1"/>
  </r>
  <r>
    <n v="9942"/>
    <s v="Michael"/>
    <d v="2023-04-08T00:00:00"/>
    <s v="11/20/2024"/>
    <x v="2"/>
  </r>
  <r>
    <n v="4044"/>
    <s v="Cameron"/>
    <d v="2023-04-06T00:00:00"/>
    <s v="11/23/2024"/>
    <x v="2"/>
  </r>
  <r>
    <n v="8143"/>
    <s v="Mark"/>
    <s v="5/29/2024"/>
    <d v="2024-11-12T00:00:00"/>
    <x v="0"/>
  </r>
  <r>
    <n v="3984"/>
    <s v="Daniel"/>
    <s v="3/21/2023"/>
    <d v="2024-01-12T00:00:00"/>
    <x v="2"/>
  </r>
  <r>
    <n v="9294"/>
    <s v="Jerry"/>
    <s v="2/20/2023"/>
    <s v="11/21/2024"/>
    <x v="1"/>
  </r>
  <r>
    <n v="4769"/>
    <s v="Michael"/>
    <d v="2024-06-03T00:00:00"/>
    <s v="12/17/2024"/>
    <x v="0"/>
  </r>
  <r>
    <n v="8864"/>
    <s v="Michael"/>
    <s v="3/20/2024"/>
    <s v="11/29/2024"/>
    <x v="1"/>
  </r>
  <r>
    <n v="1857"/>
    <s v="Brittney"/>
    <d v="2024-04-06T00:00:00"/>
    <s v="11/23/2024"/>
    <x v="2"/>
  </r>
  <r>
    <n v="5566"/>
    <s v="Brian"/>
    <s v="12/18/2023"/>
    <d v="2024-07-12T00:00:00"/>
    <x v="1"/>
  </r>
  <r>
    <n v="1373"/>
    <s v="Elizabeth"/>
    <s v="3/13/2023"/>
    <d v="2024-12-12T00:00:00"/>
    <x v="0"/>
  </r>
  <r>
    <n v="6345"/>
    <s v="Thomas"/>
    <d v="2023-01-01T00:00:00"/>
    <d v="2024-09-12T00:00:00"/>
    <x v="0"/>
  </r>
  <r>
    <n v="3234"/>
    <s v="Jessica"/>
    <d v="2024-01-01T00:00:00"/>
    <d v="2024-07-12T00:00:00"/>
    <x v="1"/>
  </r>
  <r>
    <n v="6998"/>
    <s v="Joshua"/>
    <s v="3/22/2024"/>
    <d v="2024-02-12T00:00:00"/>
    <x v="0"/>
  </r>
  <r>
    <n v="5809"/>
    <s v="Melissa"/>
    <s v="9/13/2024"/>
    <s v="11/19/2024"/>
    <x v="0"/>
  </r>
  <r>
    <n v="6522"/>
    <s v="Bryan"/>
    <d v="2023-10-09T00:00:00"/>
    <s v="11/27/2024"/>
    <x v="1"/>
  </r>
  <r>
    <n v="3892"/>
    <s v="Amanda"/>
    <s v="7/21/2023"/>
    <d v="2024-03-12T00:00:00"/>
    <x v="0"/>
  </r>
  <r>
    <n v="4427"/>
    <s v="Walter"/>
    <s v="6/17/2023"/>
    <s v="11/28/2024"/>
    <x v="0"/>
  </r>
  <r>
    <n v="8145"/>
    <s v="Samuel"/>
    <d v="2023-10-02T00:00:00"/>
    <s v="11/21/2024"/>
    <x v="2"/>
  </r>
  <r>
    <n v="1150"/>
    <s v="John"/>
    <s v="10/23/2023"/>
    <s v="11/29/2024"/>
    <x v="1"/>
  </r>
  <r>
    <n v="7366"/>
    <s v="Dylan"/>
    <s v="6/22/2024"/>
    <s v="12/15/2024"/>
    <x v="0"/>
  </r>
  <r>
    <n v="3004"/>
    <s v="Joseph"/>
    <s v="10/22/2024"/>
    <s v="12/18/2024"/>
    <x v="1"/>
  </r>
  <r>
    <n v="9934"/>
    <s v="Heather"/>
    <s v="12/28/2023"/>
    <s v="12/16/2024"/>
    <x v="2"/>
  </r>
  <r>
    <n v="1228"/>
    <s v="Cassandra"/>
    <s v="3/29/2023"/>
    <s v="12/14/2024"/>
    <x v="0"/>
  </r>
  <r>
    <n v="5806"/>
    <s v="Marisa"/>
    <d v="2024-01-08T00:00:00"/>
    <s v="12/15/2024"/>
    <x v="0"/>
  </r>
  <r>
    <n v="7538"/>
    <s v="Samantha"/>
    <d v="2024-12-05T00:00:00"/>
    <s v="11/26/2024"/>
    <x v="0"/>
  </r>
  <r>
    <n v="1035"/>
    <s v="Katherine"/>
    <s v="2/16/2024"/>
    <s v="11/22/2024"/>
    <x v="1"/>
  </r>
  <r>
    <n v="8399"/>
    <s v="Diana"/>
    <d v="2023-05-03T00:00:00"/>
    <d v="2024-03-12T00:00:00"/>
    <x v="1"/>
  </r>
  <r>
    <n v="1912"/>
    <s v="Stephen"/>
    <s v="7/28/2023"/>
    <s v="12/14/2024"/>
    <x v="1"/>
  </r>
  <r>
    <n v="6604"/>
    <s v="Lisa"/>
    <s v="6/16/2024"/>
    <s v="11/22/2024"/>
    <x v="2"/>
  </r>
  <r>
    <n v="8952"/>
    <s v="Kristin"/>
    <d v="2023-08-02T00:00:00"/>
    <s v="11/22/2024"/>
    <x v="1"/>
  </r>
  <r>
    <n v="2549"/>
    <s v="Autumn"/>
    <s v="8/16/2024"/>
    <s v="11/26/2024"/>
    <x v="1"/>
  </r>
  <r>
    <n v="8954"/>
    <s v="Melissa"/>
    <s v="11/13/2023"/>
    <s v="11/27/2024"/>
    <x v="2"/>
  </r>
  <r>
    <n v="1922"/>
    <s v="Tiffany"/>
    <d v="2024-01-12T00:00:00"/>
    <d v="2024-03-12T00:00:00"/>
    <x v="1"/>
  </r>
  <r>
    <n v="9861"/>
    <s v="Ashley"/>
    <d v="2023-07-12T00:00:00"/>
    <s v="12/16/2024"/>
    <x v="2"/>
  </r>
  <r>
    <n v="4383"/>
    <s v="Tracy"/>
    <d v="2024-08-09T00:00:00"/>
    <s v="11/30/2024"/>
    <x v="2"/>
  </r>
  <r>
    <n v="4328"/>
    <s v="Amy"/>
    <s v="5/18/2023"/>
    <s v="11/24/2024"/>
    <x v="1"/>
  </r>
  <r>
    <n v="4622"/>
    <s v="Nicholas"/>
    <s v="11/20/2024"/>
    <s v="12/15/2024"/>
    <x v="0"/>
  </r>
  <r>
    <n v="7828"/>
    <s v="Angel"/>
    <d v="2023-08-04T00:00:00"/>
    <d v="2024-02-12T00:00:00"/>
    <x v="0"/>
  </r>
  <r>
    <n v="1393"/>
    <s v="Ryan"/>
    <s v="1/17/2023"/>
    <d v="2024-03-12T00:00:00"/>
    <x v="0"/>
  </r>
  <r>
    <n v="9239"/>
    <s v="Daniel"/>
    <s v="11/25/2024"/>
    <s v="11/21/2024"/>
    <x v="2"/>
  </r>
  <r>
    <n v="1636"/>
    <s v="Elizabeth"/>
    <s v="5/27/2023"/>
    <d v="2024-06-12T00:00:00"/>
    <x v="1"/>
  </r>
  <r>
    <n v="4401"/>
    <s v="Caitlin"/>
    <s v="4/14/2024"/>
    <s v="12/15/2024"/>
    <x v="2"/>
  </r>
  <r>
    <n v="7135"/>
    <s v="Johnathan"/>
    <d v="2023-12-12T00:00:00"/>
    <s v="12/17/2024"/>
    <x v="2"/>
  </r>
  <r>
    <n v="8923"/>
    <s v="Douglas"/>
    <d v="2024-11-12T00:00:00"/>
    <d v="2024-10-12T00:00:00"/>
    <x v="1"/>
  </r>
  <r>
    <n v="9748"/>
    <s v="Sherri"/>
    <d v="2023-12-12T00:00:00"/>
    <d v="2024-07-12T00:00:00"/>
    <x v="2"/>
  </r>
  <r>
    <n v="7046"/>
    <s v="Eric"/>
    <s v="2/26/2023"/>
    <d v="2024-10-12T00:00:00"/>
    <x v="2"/>
  </r>
  <r>
    <n v="9688"/>
    <s v="Mariah"/>
    <s v="1/16/2024"/>
    <d v="2024-04-12T00:00:00"/>
    <x v="0"/>
  </r>
  <r>
    <n v="6720"/>
    <s v="Michael"/>
    <d v="2023-08-07T00:00:00"/>
    <s v="12/13/2024"/>
    <x v="2"/>
  </r>
  <r>
    <n v="2766"/>
    <s v="Jerome"/>
    <d v="2023-08-01T00:00:00"/>
    <s v="11/25/2024"/>
    <x v="0"/>
  </r>
  <r>
    <n v="3847"/>
    <s v="Cynthia"/>
    <d v="2024-05-03T00:00:00"/>
    <s v="11/23/2024"/>
    <x v="1"/>
  </r>
  <r>
    <n v="8554"/>
    <s v="James"/>
    <d v="2023-02-12T00:00:00"/>
    <s v="11/21/2024"/>
    <x v="2"/>
  </r>
  <r>
    <n v="6569"/>
    <s v="Patrick"/>
    <s v="10/31/2023"/>
    <s v="11/25/2024"/>
    <x v="0"/>
  </r>
  <r>
    <n v="6391"/>
    <s v="Daniel"/>
    <d v="2024-11-05T00:00:00"/>
    <s v="11/24/2024"/>
    <x v="2"/>
  </r>
  <r>
    <n v="4883"/>
    <s v="Devon"/>
    <d v="2024-07-02T00:00:00"/>
    <d v="2024-09-12T00:00:00"/>
    <x v="2"/>
  </r>
  <r>
    <n v="4530"/>
    <s v="Rebecca"/>
    <s v="12/15/2023"/>
    <s v="11/26/2024"/>
    <x v="0"/>
  </r>
  <r>
    <n v="6531"/>
    <s v="Amanda"/>
    <d v="2023-07-02T00:00:00"/>
    <d v="2024-12-12T00:00:00"/>
    <x v="1"/>
  </r>
  <r>
    <n v="9701"/>
    <s v="Antonio"/>
    <s v="3/17/2023"/>
    <s v="11/26/2024"/>
    <x v="0"/>
  </r>
  <r>
    <n v="4702"/>
    <s v="Christina"/>
    <s v="3/31/2024"/>
    <d v="2024-11-12T00:00:00"/>
    <x v="0"/>
  </r>
  <r>
    <n v="3163"/>
    <s v="Gary"/>
    <d v="2024-12-07T00:00:00"/>
    <s v="11/30/2024"/>
    <x v="1"/>
  </r>
  <r>
    <n v="8719"/>
    <s v="Joshua"/>
    <s v="9/18/2023"/>
    <s v="11/26/2024"/>
    <x v="2"/>
  </r>
  <r>
    <n v="1282"/>
    <s v="Amy"/>
    <d v="2024-10-12T00:00:00"/>
    <s v="11/27/2024"/>
    <x v="2"/>
  </r>
  <r>
    <n v="4538"/>
    <s v="Andrew"/>
    <s v="9/13/2023"/>
    <s v="12/14/2024"/>
    <x v="2"/>
  </r>
  <r>
    <n v="9538"/>
    <s v="Amanda"/>
    <s v="1/25/2023"/>
    <s v="11/30/2024"/>
    <x v="2"/>
  </r>
  <r>
    <n v="5109"/>
    <s v="David"/>
    <s v="4/24/2024"/>
    <s v="12/13/2024"/>
    <x v="1"/>
  </r>
  <r>
    <n v="7947"/>
    <s v="Billy"/>
    <d v="2023-11-11T00:00:00"/>
    <s v="12/17/2024"/>
    <x v="2"/>
  </r>
  <r>
    <n v="7546"/>
    <s v="Elizabeth"/>
    <s v="10/24/2024"/>
    <d v="2024-10-12T00:00:00"/>
    <x v="0"/>
  </r>
  <r>
    <n v="4213"/>
    <s v="Kelsey"/>
    <d v="2023-08-12T00:00:00"/>
    <s v="11/23/2024"/>
    <x v="0"/>
  </r>
  <r>
    <n v="3135"/>
    <s v="Angela"/>
    <d v="2024-07-06T00:00:00"/>
    <s v="11/24/2024"/>
    <x v="0"/>
  </r>
  <r>
    <n v="9916"/>
    <s v="Wendy"/>
    <s v="2/28/2024"/>
    <s v="11/21/2024"/>
    <x v="0"/>
  </r>
  <r>
    <n v="2784"/>
    <s v="Matthew"/>
    <s v="11/20/2023"/>
    <s v="12/13/2024"/>
    <x v="0"/>
  </r>
  <r>
    <n v="5916"/>
    <s v="Lisa"/>
    <s v="9/18/2024"/>
    <d v="2024-09-12T00:00:00"/>
    <x v="2"/>
  </r>
  <r>
    <n v="1674"/>
    <s v="Jonathan"/>
    <s v="7/15/2024"/>
    <s v="12/15/2024"/>
    <x v="1"/>
  </r>
  <r>
    <n v="2095"/>
    <s v="Richard"/>
    <s v="8/13/2024"/>
    <s v="11/29/2024"/>
    <x v="1"/>
  </r>
  <r>
    <n v="9594"/>
    <s v="Matthew"/>
    <s v="10/18/2024"/>
    <d v="2024-03-12T00:00:00"/>
    <x v="0"/>
  </r>
  <r>
    <n v="6750"/>
    <s v="Amber"/>
    <s v="7/28/2023"/>
    <d v="2024-02-12T00:00:00"/>
    <x v="0"/>
  </r>
  <r>
    <n v="7235"/>
    <s v="Zachary"/>
    <d v="2023-03-01T00:00:00"/>
    <s v="11/29/2024"/>
    <x v="0"/>
  </r>
  <r>
    <n v="3910"/>
    <s v="Carolyn"/>
    <s v="12/31/2023"/>
    <d v="2024-08-12T00:00:00"/>
    <x v="1"/>
  </r>
  <r>
    <n v="8190"/>
    <s v="Erica"/>
    <s v="8/29/2024"/>
    <d v="2024-09-12T00:00:00"/>
    <x v="1"/>
  </r>
  <r>
    <n v="5315"/>
    <s v="Donna"/>
    <s v="6/23/2023"/>
    <s v="11/19/2024"/>
    <x v="0"/>
  </r>
  <r>
    <n v="7503"/>
    <s v="James"/>
    <s v="5/19/2023"/>
    <d v="2024-03-12T00:00:00"/>
    <x v="2"/>
  </r>
  <r>
    <n v="5788"/>
    <s v="Nicole"/>
    <d v="2023-05-05T00:00:00"/>
    <s v="11/23/2024"/>
    <x v="1"/>
  </r>
  <r>
    <n v="7030"/>
    <s v="Paige"/>
    <s v="3/19/2024"/>
    <s v="11/23/2024"/>
    <x v="2"/>
  </r>
  <r>
    <n v="6619"/>
    <s v="Cindy"/>
    <s v="6/17/2024"/>
    <s v="12/16/2024"/>
    <x v="2"/>
  </r>
  <r>
    <n v="6319"/>
    <s v="Todd"/>
    <d v="2023-03-03T00:00:00"/>
    <s v="12/16/2024"/>
    <x v="0"/>
  </r>
  <r>
    <n v="6268"/>
    <s v="Alexander"/>
    <s v="1/17/2024"/>
    <s v="11/26/2024"/>
    <x v="2"/>
  </r>
  <r>
    <n v="5016"/>
    <s v="Beth"/>
    <s v="7/29/2023"/>
    <d v="2024-11-12T00:00:00"/>
    <x v="1"/>
  </r>
  <r>
    <n v="3888"/>
    <s v="Emily"/>
    <s v="5/18/2023"/>
    <s v="12/14/2024"/>
    <x v="2"/>
  </r>
  <r>
    <n v="9918"/>
    <s v="Melissa"/>
    <s v="5/14/2024"/>
    <d v="2024-12-12T00:00:00"/>
    <x v="1"/>
  </r>
  <r>
    <n v="7305"/>
    <s v="John"/>
    <d v="2023-02-03T00:00:00"/>
    <d v="2024-02-12T00:00:00"/>
    <x v="0"/>
  </r>
  <r>
    <n v="5719"/>
    <s v="Wendy"/>
    <s v="8/23/2023"/>
    <s v="12/16/2024"/>
    <x v="1"/>
  </r>
  <r>
    <n v="2334"/>
    <s v="Jeffrey"/>
    <s v="2/26/2024"/>
    <s v="11/24/2024"/>
    <x v="1"/>
  </r>
  <r>
    <n v="1006"/>
    <s v="Sherry"/>
    <s v="8/31/2023"/>
    <s v="11/29/2024"/>
    <x v="1"/>
  </r>
  <r>
    <n v="6719"/>
    <s v="Cynthia"/>
    <s v="1/19/2023"/>
    <s v="11/25/2024"/>
    <x v="2"/>
  </r>
  <r>
    <n v="6138"/>
    <s v="Patricia"/>
    <d v="2024-09-01T00:00:00"/>
    <s v="11/23/2024"/>
    <x v="2"/>
  </r>
  <r>
    <n v="1255"/>
    <s v="Kimberly"/>
    <d v="2023-07-05T00:00:00"/>
    <d v="2024-10-12T00:00:00"/>
    <x v="1"/>
  </r>
  <r>
    <n v="5528"/>
    <s v="David"/>
    <s v="3/21/2024"/>
    <d v="2024-10-12T00:00:00"/>
    <x v="1"/>
  </r>
  <r>
    <n v="2517"/>
    <s v="Michael"/>
    <s v="4/29/2024"/>
    <d v="2024-01-12T00:00:00"/>
    <x v="0"/>
  </r>
  <r>
    <n v="9593"/>
    <s v="Erika"/>
    <d v="2023-12-10T00:00:00"/>
    <s v="11/24/2024"/>
    <x v="2"/>
  </r>
  <r>
    <n v="7507"/>
    <s v="Rachel"/>
    <d v="2024-06-03T00:00:00"/>
    <d v="2024-10-12T00:00:00"/>
    <x v="1"/>
  </r>
  <r>
    <n v="2884"/>
    <s v="Heather"/>
    <s v="11/30/2023"/>
    <s v="12/15/2024"/>
    <x v="2"/>
  </r>
  <r>
    <n v="6374"/>
    <s v="Terri"/>
    <d v="2023-07-07T00:00:00"/>
    <s v="11/19/2024"/>
    <x v="2"/>
  </r>
  <r>
    <n v="6888"/>
    <s v="Jose"/>
    <d v="2024-08-05T00:00:00"/>
    <d v="2024-03-12T00:00:00"/>
    <x v="2"/>
  </r>
  <r>
    <n v="2788"/>
    <s v="Keith"/>
    <d v="2023-09-02T00:00:00"/>
    <d v="2024-06-12T00:00:00"/>
    <x v="2"/>
  </r>
  <r>
    <n v="7892"/>
    <s v="Nathan"/>
    <d v="2024-02-05T00:00:00"/>
    <s v="11/25/2024"/>
    <x v="0"/>
  </r>
  <r>
    <n v="4576"/>
    <s v="Matthew"/>
    <s v="7/19/2024"/>
    <s v="12/16/2024"/>
    <x v="2"/>
  </r>
  <r>
    <n v="8901"/>
    <s v="Jimmy"/>
    <d v="2024-09-01T00:00:00"/>
    <s v="11/29/2024"/>
    <x v="1"/>
  </r>
  <r>
    <n v="5147"/>
    <s v="Ashley"/>
    <s v="6/14/2023"/>
    <s v="12/14/2024"/>
    <x v="0"/>
  </r>
  <r>
    <n v="8646"/>
    <s v="Steven"/>
    <s v="12/21/2023"/>
    <d v="2024-06-12T00:00:00"/>
    <x v="0"/>
  </r>
  <r>
    <n v="8343"/>
    <s v="Ashley"/>
    <d v="2024-02-11T00:00:00"/>
    <s v="12/17/2024"/>
    <x v="0"/>
  </r>
  <r>
    <n v="9332"/>
    <s v="Robert"/>
    <s v="5/29/2023"/>
    <s v="12/18/2024"/>
    <x v="2"/>
  </r>
  <r>
    <n v="7398"/>
    <s v="Valerie"/>
    <s v="12/15/2023"/>
    <s v="12/15/2024"/>
    <x v="1"/>
  </r>
  <r>
    <n v="3572"/>
    <s v="Adam"/>
    <d v="2024-04-04T00:00:00"/>
    <s v="12/15/2024"/>
    <x v="1"/>
  </r>
  <r>
    <n v="4590"/>
    <s v="Tracy"/>
    <s v="6/20/2023"/>
    <d v="2024-03-12T00:00:00"/>
    <x v="1"/>
  </r>
  <r>
    <n v="1831"/>
    <s v="Jennifer"/>
    <d v="2024-12-10T00:00:00"/>
    <d v="2024-11-12T00:00:00"/>
    <x v="0"/>
  </r>
  <r>
    <n v="6899"/>
    <s v="Paul"/>
    <d v="2023-05-04T00:00:00"/>
    <d v="2024-05-12T00:00:00"/>
    <x v="2"/>
  </r>
  <r>
    <n v="1148"/>
    <s v="Jennifer"/>
    <s v="5/30/2024"/>
    <s v="11/28/2024"/>
    <x v="2"/>
  </r>
  <r>
    <n v="3745"/>
    <s v="Angela"/>
    <d v="2024-12-09T00:00:00"/>
    <s v="12/16/2024"/>
    <x v="1"/>
  </r>
  <r>
    <n v="5084"/>
    <s v="Miranda"/>
    <s v="10/25/2023"/>
    <s v="11/22/2024"/>
    <x v="1"/>
  </r>
  <r>
    <n v="7179"/>
    <s v="Michael"/>
    <d v="2023-09-09T00:00:00"/>
    <s v="11/29/2024"/>
    <x v="1"/>
  </r>
  <r>
    <n v="1005"/>
    <s v="Joseph"/>
    <s v="2/21/2023"/>
    <d v="2024-10-12T00:00:00"/>
    <x v="1"/>
  </r>
  <r>
    <n v="6405"/>
    <s v="Adam"/>
    <s v="4/14/2023"/>
    <d v="2024-11-12T00:00:00"/>
    <x v="1"/>
  </r>
  <r>
    <n v="5215"/>
    <s v="Robert"/>
    <s v="4/17/2023"/>
    <s v="12/17/2024"/>
    <x v="0"/>
  </r>
  <r>
    <n v="7525"/>
    <s v="Michelle"/>
    <s v="6/26/2024"/>
    <s v="12/18/2024"/>
    <x v="2"/>
  </r>
  <r>
    <n v="9115"/>
    <s v="Jennifer"/>
    <s v="7/17/2024"/>
    <s v="12/17/2024"/>
    <x v="1"/>
  </r>
  <r>
    <n v="6454"/>
    <s v="Nicholas"/>
    <d v="2024-08-04T00:00:00"/>
    <s v="12/15/2024"/>
    <x v="2"/>
  </r>
  <r>
    <n v="4781"/>
    <s v="Sierra"/>
    <s v="4/25/2024"/>
    <d v="2024-01-12T00:00:00"/>
    <x v="2"/>
  </r>
  <r>
    <n v="5040"/>
    <s v="Andre"/>
    <d v="2023-04-12T00:00:00"/>
    <d v="2024-02-12T00:00:00"/>
    <x v="1"/>
  </r>
  <r>
    <n v="3209"/>
    <s v="Ann"/>
    <s v="11/20/2023"/>
    <s v="11/26/2024"/>
    <x v="0"/>
  </r>
  <r>
    <n v="8703"/>
    <s v="Ryan"/>
    <d v="2024-06-07T00:00:00"/>
    <s v="11/22/2024"/>
    <x v="2"/>
  </r>
  <r>
    <n v="2536"/>
    <s v="Christopher"/>
    <s v="2/26/2024"/>
    <s v="12/14/2024"/>
    <x v="2"/>
  </r>
  <r>
    <n v="2057"/>
    <s v="Jocelyn"/>
    <s v="4/25/2023"/>
    <s v="11/23/2024"/>
    <x v="0"/>
  </r>
  <r>
    <n v="5627"/>
    <s v="Kara"/>
    <d v="2024-07-01T00:00:00"/>
    <d v="2024-05-12T00:00:00"/>
    <x v="1"/>
  </r>
  <r>
    <n v="4763"/>
    <s v="Dustin"/>
    <d v="2024-12-02T00:00:00"/>
    <d v="2024-05-12T00:00:00"/>
    <x v="2"/>
  </r>
  <r>
    <n v="4577"/>
    <s v="Kevin"/>
    <s v="6/22/2024"/>
    <d v="2024-11-12T00:00:00"/>
    <x v="1"/>
  </r>
  <r>
    <n v="5216"/>
    <s v="Tammy"/>
    <s v="9/22/2024"/>
    <s v="11/21/2024"/>
    <x v="2"/>
  </r>
  <r>
    <n v="3941"/>
    <s v="Krista"/>
    <s v="9/16/2024"/>
    <s v="11/29/2024"/>
    <x v="1"/>
  </r>
  <r>
    <n v="4396"/>
    <s v="Jesse"/>
    <d v="2023-02-01T00:00:00"/>
    <s v="12/17/2024"/>
    <x v="2"/>
  </r>
  <r>
    <n v="4865"/>
    <s v="Charles"/>
    <s v="12/20/2023"/>
    <s v="11/28/2024"/>
    <x v="0"/>
  </r>
  <r>
    <n v="2497"/>
    <s v="Diana"/>
    <s v="7/28/2023"/>
    <s v="11/30/2024"/>
    <x v="0"/>
  </r>
  <r>
    <n v="4945"/>
    <s v="Alexander"/>
    <d v="2024-04-05T00:00:00"/>
    <s v="11/22/2024"/>
    <x v="1"/>
  </r>
  <r>
    <n v="5227"/>
    <s v="Eugene"/>
    <s v="2/15/2024"/>
    <d v="2024-06-12T00:00:00"/>
    <x v="0"/>
  </r>
  <r>
    <n v="2150"/>
    <s v="Danielle"/>
    <d v="2024-12-04T00:00:00"/>
    <d v="2024-09-12T00:00:00"/>
    <x v="1"/>
  </r>
  <r>
    <n v="7145"/>
    <s v="Abigail"/>
    <s v="10/28/2024"/>
    <s v="11/22/2024"/>
    <x v="0"/>
  </r>
  <r>
    <n v="2040"/>
    <s v="Hayden"/>
    <d v="2024-11-10T00:00:00"/>
    <s v="11/30/2024"/>
    <x v="0"/>
  </r>
  <r>
    <n v="4191"/>
    <s v="Barbara"/>
    <s v="4/19/2023"/>
    <d v="2024-03-12T00:00:00"/>
    <x v="0"/>
  </r>
  <r>
    <n v="4336"/>
    <s v="Jennifer"/>
    <d v="2023-02-08T00:00:00"/>
    <d v="2024-11-12T00:00:00"/>
    <x v="2"/>
  </r>
  <r>
    <n v="5438"/>
    <s v="Lindsey"/>
    <d v="2023-06-10T00:00:00"/>
    <s v="11/30/2024"/>
    <x v="1"/>
  </r>
  <r>
    <n v="9857"/>
    <s v="April"/>
    <s v="9/26/2023"/>
    <d v="2024-02-12T00:00:00"/>
    <x v="0"/>
  </r>
  <r>
    <n v="4767"/>
    <s v="Charles"/>
    <s v="12/19/2023"/>
    <s v="11/24/2024"/>
    <x v="2"/>
  </r>
  <r>
    <n v="9374"/>
    <s v="John"/>
    <s v="12/17/2024"/>
    <d v="2024-01-12T00:00:00"/>
    <x v="2"/>
  </r>
  <r>
    <n v="3918"/>
    <s v="Jennifer"/>
    <s v="10/17/2023"/>
    <s v="11/28/2024"/>
    <x v="0"/>
  </r>
  <r>
    <n v="9866"/>
    <s v="Matthew"/>
    <d v="2024-12-07T00:00:00"/>
    <s v="12/17/2024"/>
    <x v="1"/>
  </r>
  <r>
    <n v="6389"/>
    <s v="Brittney"/>
    <s v="12/23/2022"/>
    <s v="12/18/2024"/>
    <x v="1"/>
  </r>
  <r>
    <n v="8733"/>
    <s v="Steven"/>
    <d v="2024-06-06T00:00:00"/>
    <s v="12/16/2024"/>
    <x v="2"/>
  </r>
  <r>
    <n v="8105"/>
    <s v="Mary"/>
    <s v="9/23/2023"/>
    <s v="11/26/2024"/>
    <x v="2"/>
  </r>
  <r>
    <n v="3443"/>
    <s v="Kevin"/>
    <d v="2024-01-03T00:00:00"/>
    <d v="2024-05-12T00:00:00"/>
    <x v="2"/>
  </r>
  <r>
    <n v="2664"/>
    <s v="Charles"/>
    <s v="10/15/2023"/>
    <s v="11/27/2024"/>
    <x v="0"/>
  </r>
  <r>
    <n v="1782"/>
    <s v="Carla"/>
    <d v="2023-01-05T00:00:00"/>
    <s v="11/29/2024"/>
    <x v="2"/>
  </r>
  <r>
    <n v="1337"/>
    <s v="Shane"/>
    <s v="4/20/2023"/>
    <s v="12/16/2024"/>
    <x v="0"/>
  </r>
  <r>
    <n v="5901"/>
    <s v="Robert"/>
    <d v="2023-06-04T00:00:00"/>
    <s v="12/18/2024"/>
    <x v="0"/>
  </r>
  <r>
    <n v="2731"/>
    <s v="Brooke"/>
    <d v="2024-11-06T00:00:00"/>
    <s v="12/13/2024"/>
    <x v="2"/>
  </r>
  <r>
    <n v="8307"/>
    <s v="Carmen"/>
    <d v="2024-04-01T00:00:00"/>
    <d v="2024-06-12T00:00:00"/>
    <x v="0"/>
  </r>
  <r>
    <n v="8019"/>
    <s v="Stefanie"/>
    <s v="2/19/2023"/>
    <s v="11/19/2024"/>
    <x v="1"/>
  </r>
  <r>
    <n v="4847"/>
    <s v="Melissa"/>
    <d v="2024-01-12T00:00:00"/>
    <s v="11/30/2024"/>
    <x v="2"/>
  </r>
  <r>
    <n v="9822"/>
    <s v="Justin"/>
    <s v="6/23/2023"/>
    <s v="12/13/2024"/>
    <x v="0"/>
  </r>
  <r>
    <n v="9141"/>
    <s v="Jeffery"/>
    <s v="10/30/2023"/>
    <s v="11/25/2024"/>
    <x v="0"/>
  </r>
  <r>
    <n v="7539"/>
    <s v="Kara"/>
    <d v="2023-01-09T00:00:00"/>
    <d v="2024-08-12T00:00:00"/>
    <x v="0"/>
  </r>
  <r>
    <n v="1390"/>
    <s v="Xavier"/>
    <s v="7/28/2024"/>
    <s v="11/29/2024"/>
    <x v="1"/>
  </r>
  <r>
    <n v="9505"/>
    <s v="Paul"/>
    <s v="6/26/2024"/>
    <d v="2024-04-12T00:00:00"/>
    <x v="2"/>
  </r>
  <r>
    <n v="6741"/>
    <s v="Jacob"/>
    <s v="10/28/2023"/>
    <s v="11/20/2024"/>
    <x v="0"/>
  </r>
  <r>
    <n v="1790"/>
    <s v="Kelly"/>
    <d v="2024-11-03T00:00:00"/>
    <d v="2024-01-12T00:00:00"/>
    <x v="1"/>
  </r>
  <r>
    <n v="6491"/>
    <s v="Anita"/>
    <s v="1/15/2023"/>
    <s v="11/28/2024"/>
    <x v="0"/>
  </r>
  <r>
    <n v="3102"/>
    <s v="Carolyn"/>
    <d v="2024-03-09T00:00:00"/>
    <s v="11/27/2024"/>
    <x v="0"/>
  </r>
  <r>
    <n v="1300"/>
    <s v="Nicolas"/>
    <s v="6/27/2023"/>
    <s v="12/16/2024"/>
    <x v="1"/>
  </r>
  <r>
    <n v="5410"/>
    <s v="Hector"/>
    <d v="2023-06-07T00:00:00"/>
    <d v="2024-01-12T00:00:00"/>
    <x v="2"/>
  </r>
  <r>
    <n v="2714"/>
    <s v="Jack"/>
    <d v="2024-09-12T00:00:00"/>
    <s v="11/28/2024"/>
    <x v="1"/>
  </r>
  <r>
    <n v="4700"/>
    <s v="David"/>
    <s v="11/16/2024"/>
    <d v="2024-04-12T00:00:00"/>
    <x v="0"/>
  </r>
  <r>
    <n v="7589"/>
    <s v="Amanda"/>
    <d v="2023-07-08T00:00:00"/>
    <d v="2024-02-12T00:00:00"/>
    <x v="2"/>
  </r>
  <r>
    <n v="6866"/>
    <s v="Kim"/>
    <s v="5/18/2024"/>
    <s v="11/24/2024"/>
    <x v="1"/>
  </r>
  <r>
    <n v="6960"/>
    <s v="Julian"/>
    <d v="2023-12-11T00:00:00"/>
    <s v="11/26/2024"/>
    <x v="2"/>
  </r>
  <r>
    <n v="5808"/>
    <s v="Jasmine"/>
    <s v="3/22/2024"/>
    <s v="11/19/2024"/>
    <x v="2"/>
  </r>
  <r>
    <n v="5525"/>
    <s v="John"/>
    <d v="2023-05-10T00:00:00"/>
    <d v="2024-06-12T00:00:00"/>
    <x v="2"/>
  </r>
  <r>
    <n v="1272"/>
    <s v="Christopher"/>
    <s v="7/17/2024"/>
    <s v="11/20/2024"/>
    <x v="2"/>
  </r>
  <r>
    <n v="8063"/>
    <s v="Joseph"/>
    <s v="6/27/2023"/>
    <d v="2024-12-12T00:00:00"/>
    <x v="0"/>
  </r>
  <r>
    <n v="1856"/>
    <s v="Jason"/>
    <s v="9/23/2023"/>
    <d v="2024-11-12T00:00:00"/>
    <x v="2"/>
  </r>
  <r>
    <n v="2830"/>
    <s v="Erica"/>
    <d v="2023-03-05T00:00:00"/>
    <d v="2024-08-12T00:00:00"/>
    <x v="1"/>
  </r>
  <r>
    <n v="3287"/>
    <s v="Travis"/>
    <s v="12/20/2023"/>
    <s v="11/21/2024"/>
    <x v="2"/>
  </r>
  <r>
    <n v="5679"/>
    <s v="Karen"/>
    <s v="10/31/2023"/>
    <d v="2024-06-12T00:00:00"/>
    <x v="2"/>
  </r>
  <r>
    <n v="6399"/>
    <s v="Michael"/>
    <d v="2023-01-01T00:00:00"/>
    <d v="2024-05-12T00:00:00"/>
    <x v="1"/>
  </r>
  <r>
    <n v="8753"/>
    <s v="Daniel"/>
    <s v="2/17/2024"/>
    <s v="11/30/2024"/>
    <x v="1"/>
  </r>
  <r>
    <n v="9267"/>
    <s v="Paul"/>
    <d v="2024-07-05T00:00:00"/>
    <s v="11/24/2024"/>
    <x v="2"/>
  </r>
  <r>
    <n v="9846"/>
    <s v="Megan"/>
    <s v="2/13/2023"/>
    <s v="12/13/2024"/>
    <x v="0"/>
  </r>
  <r>
    <n v="2382"/>
    <s v="Todd"/>
    <d v="2024-10-06T00:00:00"/>
    <d v="2024-09-12T00:00:00"/>
    <x v="2"/>
  </r>
  <r>
    <n v="3593"/>
    <s v="Emma"/>
    <s v="9/16/2023"/>
    <s v="11/24/2024"/>
    <x v="0"/>
  </r>
  <r>
    <n v="4097"/>
    <s v="Amanda"/>
    <s v="4/17/2023"/>
    <s v="12/16/2024"/>
    <x v="0"/>
  </r>
  <r>
    <n v="2886"/>
    <s v="Mark"/>
    <s v="6/24/2023"/>
    <s v="11/26/2024"/>
    <x v="2"/>
  </r>
  <r>
    <n v="3255"/>
    <s v="Dylan"/>
    <d v="2024-06-01T00:00:00"/>
    <s v="11/27/2024"/>
    <x v="0"/>
  </r>
  <r>
    <n v="6752"/>
    <s v="Garrett"/>
    <s v="4/24/2024"/>
    <d v="2024-09-12T00:00:00"/>
    <x v="1"/>
  </r>
  <r>
    <n v="7945"/>
    <s v="Jason"/>
    <s v="4/15/2023"/>
    <s v="11/29/2024"/>
    <x v="1"/>
  </r>
  <r>
    <n v="6658"/>
    <s v="Michael"/>
    <d v="2024-01-04T00:00:00"/>
    <d v="2024-05-12T00:00:00"/>
    <x v="0"/>
  </r>
  <r>
    <n v="5468"/>
    <s v="Jonathon"/>
    <d v="2024-02-04T00:00:00"/>
    <s v="11/20/2024"/>
    <x v="1"/>
  </r>
  <r>
    <n v="7451"/>
    <s v="Sarah"/>
    <s v="7/24/2024"/>
    <d v="2024-09-12T00:00:00"/>
    <x v="2"/>
  </r>
  <r>
    <n v="1253"/>
    <s v="Michael"/>
    <d v="2024-09-07T00:00:00"/>
    <d v="2024-05-12T00:00:00"/>
    <x v="1"/>
  </r>
  <r>
    <n v="6746"/>
    <s v="Caitlin"/>
    <d v="2024-02-11T00:00:00"/>
    <s v="11/28/2024"/>
    <x v="0"/>
  </r>
  <r>
    <n v="8089"/>
    <s v="Samantha"/>
    <d v="2024-08-06T00:00:00"/>
    <s v="11/27/2024"/>
    <x v="0"/>
  </r>
  <r>
    <n v="8045"/>
    <s v="Joseph"/>
    <d v="2023-03-11T00:00:00"/>
    <d v="2024-02-12T00:00:00"/>
    <x v="0"/>
  </r>
  <r>
    <n v="9417"/>
    <s v="Joshua"/>
    <s v="10/15/2024"/>
    <s v="11/28/2024"/>
    <x v="1"/>
  </r>
  <r>
    <n v="3217"/>
    <s v="Ashley"/>
    <d v="2024-08-05T00:00:00"/>
    <s v="12/16/2024"/>
    <x v="2"/>
  </r>
  <r>
    <n v="4234"/>
    <s v="Michael"/>
    <d v="2023-08-01T00:00:00"/>
    <s v="11/19/2024"/>
    <x v="2"/>
  </r>
  <r>
    <n v="1118"/>
    <s v="Erin"/>
    <d v="2024-07-02T00:00:00"/>
    <d v="2024-11-12T00:00:00"/>
    <x v="2"/>
  </r>
  <r>
    <n v="4027"/>
    <s v="Jason"/>
    <s v="4/13/2024"/>
    <s v="11/24/2024"/>
    <x v="2"/>
  </r>
  <r>
    <n v="8451"/>
    <s v="Grace"/>
    <d v="2023-02-03T00:00:00"/>
    <s v="11/23/2024"/>
    <x v="1"/>
  </r>
  <r>
    <n v="6647"/>
    <s v="Jennifer"/>
    <s v="10/19/2024"/>
    <s v="11/29/2024"/>
    <x v="2"/>
  </r>
  <r>
    <n v="4002"/>
    <s v="Timothy"/>
    <d v="2024-07-04T00:00:00"/>
    <d v="2024-11-12T00:00:00"/>
    <x v="1"/>
  </r>
  <r>
    <n v="6910"/>
    <s v="Ann"/>
    <d v="2023-03-03T00:00:00"/>
    <s v="11/27/2024"/>
    <x v="0"/>
  </r>
  <r>
    <n v="3164"/>
    <s v="Angela"/>
    <s v="9/22/2023"/>
    <s v="12/13/2024"/>
    <x v="2"/>
  </r>
  <r>
    <n v="2400"/>
    <s v="Matthew"/>
    <d v="2023-09-11T00:00:00"/>
    <d v="2024-12-12T00:00:00"/>
    <x v="2"/>
  </r>
  <r>
    <n v="5499"/>
    <s v="Rachel"/>
    <s v="6/24/2023"/>
    <d v="2024-02-12T00:00:00"/>
    <x v="2"/>
  </r>
  <r>
    <n v="7221"/>
    <s v="Tammy"/>
    <s v="3/15/2024"/>
    <s v="11/25/2024"/>
    <x v="2"/>
  </r>
  <r>
    <n v="4556"/>
    <s v="Amy"/>
    <d v="2023-10-02T00:00:00"/>
    <s v="11/29/2024"/>
    <x v="1"/>
  </r>
  <r>
    <n v="7175"/>
    <s v="Desiree"/>
    <s v="11/13/2024"/>
    <s v="12/15/2024"/>
    <x v="1"/>
  </r>
  <r>
    <n v="7072"/>
    <s v="Erika"/>
    <d v="2023-07-02T00:00:00"/>
    <s v="11/19/2024"/>
    <x v="2"/>
  </r>
  <r>
    <n v="4320"/>
    <s v="Laurie"/>
    <d v="2024-01-01T00:00:00"/>
    <s v="12/17/2024"/>
    <x v="2"/>
  </r>
  <r>
    <n v="3558"/>
    <s v="Melvin"/>
    <d v="2024-01-01T00:00:00"/>
    <s v="12/16/2024"/>
    <x v="2"/>
  </r>
  <r>
    <n v="8581"/>
    <s v="Jose"/>
    <s v="12/16/2023"/>
    <s v="11/20/2024"/>
    <x v="1"/>
  </r>
  <r>
    <n v="5827"/>
    <s v="John"/>
    <s v="3/22/2023"/>
    <d v="2024-02-12T00:00:00"/>
    <x v="2"/>
  </r>
  <r>
    <n v="6929"/>
    <s v="Cynthia"/>
    <s v="10/29/2024"/>
    <d v="2024-05-12T00:00:00"/>
    <x v="1"/>
  </r>
  <r>
    <n v="9179"/>
    <s v="Kurt"/>
    <d v="2024-11-12T00:00:00"/>
    <s v="11/27/2024"/>
    <x v="2"/>
  </r>
  <r>
    <n v="7580"/>
    <s v="Mary"/>
    <d v="2023-08-02T00:00:00"/>
    <s v="11/21/2024"/>
    <x v="0"/>
  </r>
  <r>
    <n v="3858"/>
    <s v="David"/>
    <s v="6/30/2023"/>
    <d v="2024-05-12T00:00:00"/>
    <x v="2"/>
  </r>
  <r>
    <n v="8627"/>
    <s v="Melissa"/>
    <s v="9/17/2024"/>
    <d v="2024-01-12T00:00:00"/>
    <x v="1"/>
  </r>
  <r>
    <n v="7552"/>
    <s v="Glenda"/>
    <d v="2024-08-06T00:00:00"/>
    <d v="2024-04-12T00:00:00"/>
    <x v="2"/>
  </r>
  <r>
    <n v="6020"/>
    <s v="Melvin"/>
    <s v="7/25/2024"/>
    <s v="11/21/2024"/>
    <x v="1"/>
  </r>
  <r>
    <n v="9408"/>
    <s v="Brandon"/>
    <d v="2023-12-05T00:00:00"/>
    <s v="11/26/2024"/>
    <x v="0"/>
  </r>
  <r>
    <n v="9990"/>
    <s v="Duane"/>
    <s v="1/25/2024"/>
    <d v="2024-05-12T00:00:00"/>
    <x v="2"/>
  </r>
  <r>
    <n v="3687"/>
    <s v="Laurie"/>
    <d v="2023-04-11T00:00:00"/>
    <s v="12/18/2024"/>
    <x v="2"/>
  </r>
  <r>
    <n v="4540"/>
    <s v="Cody"/>
    <d v="2023-07-09T00:00:00"/>
    <s v="11/25/2024"/>
    <x v="2"/>
  </r>
  <r>
    <n v="8264"/>
    <s v="Valerie"/>
    <s v="5/25/2024"/>
    <s v="11/22/2024"/>
    <x v="2"/>
  </r>
  <r>
    <n v="7448"/>
    <s v="Jennifer"/>
    <d v="2023-10-04T00:00:00"/>
    <d v="2024-07-12T00:00:00"/>
    <x v="0"/>
  </r>
  <r>
    <n v="1123"/>
    <s v="Tanya"/>
    <s v="10/25/2024"/>
    <s v="11/21/2024"/>
    <x v="0"/>
  </r>
  <r>
    <n v="4103"/>
    <s v="Daniel"/>
    <s v="10/30/2024"/>
    <s v="11/25/2024"/>
    <x v="1"/>
  </r>
  <r>
    <n v="2904"/>
    <s v="Troy"/>
    <s v="2/17/2024"/>
    <d v="2024-01-12T00:00:00"/>
    <x v="0"/>
  </r>
  <r>
    <n v="5634"/>
    <s v="Emily"/>
    <d v="2024-06-04T00:00:00"/>
    <s v="11/24/2024"/>
    <x v="0"/>
  </r>
  <r>
    <n v="5360"/>
    <s v="Elizabeth"/>
    <s v="9/23/2023"/>
    <d v="2024-02-12T00:00:00"/>
    <x v="0"/>
  </r>
  <r>
    <n v="8571"/>
    <s v="Brian"/>
    <s v="5/28/2023"/>
    <s v="12/15/2024"/>
    <x v="2"/>
  </r>
  <r>
    <n v="9439"/>
    <s v="Claire"/>
    <s v="11/15/2023"/>
    <d v="2024-11-12T00:00:00"/>
    <x v="1"/>
  </r>
  <r>
    <n v="8356"/>
    <s v="Samuel"/>
    <s v="1/16/2023"/>
    <s v="12/14/2024"/>
    <x v="2"/>
  </r>
  <r>
    <n v="2039"/>
    <s v="Caroline"/>
    <d v="2023-02-01T00:00:00"/>
    <d v="2024-02-12T00:00:00"/>
    <x v="2"/>
  </r>
  <r>
    <n v="2613"/>
    <s v="Benjamin"/>
    <d v="2023-07-02T00:00:00"/>
    <s v="12/16/2024"/>
    <x v="0"/>
  </r>
  <r>
    <n v="8226"/>
    <s v="Matthew"/>
    <d v="2024-02-05T00:00:00"/>
    <s v="11/23/2024"/>
    <x v="0"/>
  </r>
  <r>
    <n v="1425"/>
    <s v="Yolanda"/>
    <d v="2024-02-09T00:00:00"/>
    <s v="11/25/2024"/>
    <x v="0"/>
  </r>
  <r>
    <n v="4479"/>
    <s v="Amber"/>
    <d v="2024-06-11T00:00:00"/>
    <d v="2024-06-12T00:00:00"/>
    <x v="2"/>
  </r>
  <r>
    <n v="3393"/>
    <s v="William"/>
    <s v="1/26/2024"/>
    <s v="11/28/2024"/>
    <x v="0"/>
  </r>
  <r>
    <n v="8528"/>
    <s v="Dawn"/>
    <s v="11/16/2024"/>
    <s v="11/29/2024"/>
    <x v="0"/>
  </r>
  <r>
    <n v="9372"/>
    <s v="Matthew"/>
    <s v="2/17/2023"/>
    <d v="2024-04-12T00:00:00"/>
    <x v="0"/>
  </r>
  <r>
    <n v="5469"/>
    <s v="Jose"/>
    <s v="2/19/2024"/>
    <d v="2024-05-12T00:00:00"/>
    <x v="2"/>
  </r>
  <r>
    <n v="2603"/>
    <s v="Peter"/>
    <s v="5/18/2024"/>
    <s v="11/20/2024"/>
    <x v="1"/>
  </r>
  <r>
    <n v="5306"/>
    <s v="Sandra"/>
    <d v="2023-10-09T00:00:00"/>
    <d v="2024-09-12T00:00:00"/>
    <x v="2"/>
  </r>
  <r>
    <n v="7869"/>
    <s v="Dawn"/>
    <s v="5/23/2024"/>
    <d v="2024-01-12T00:00:00"/>
    <x v="2"/>
  </r>
  <r>
    <n v="1699"/>
    <s v="John"/>
    <s v="9/13/2023"/>
    <d v="2024-11-12T00:00:00"/>
    <x v="2"/>
  </r>
  <r>
    <n v="3214"/>
    <s v="Cynthia"/>
    <s v="7/14/2024"/>
    <d v="2024-12-12T00:00:00"/>
    <x v="2"/>
  </r>
  <r>
    <n v="1050"/>
    <s v="Mary"/>
    <s v="4/13/2024"/>
    <s v="11/29/2024"/>
    <x v="1"/>
  </r>
  <r>
    <n v="3325"/>
    <s v="Tiffany"/>
    <d v="2024-10-10T00:00:00"/>
    <s v="11/30/2024"/>
    <x v="2"/>
  </r>
  <r>
    <n v="1970"/>
    <s v="Michael"/>
    <s v="9/21/2023"/>
    <d v="2024-02-12T00:00:00"/>
    <x v="2"/>
  </r>
  <r>
    <n v="6272"/>
    <s v="Caitlin"/>
    <s v="7/25/2023"/>
    <s v="12/18/2024"/>
    <x v="1"/>
  </r>
  <r>
    <n v="4745"/>
    <s v="Charles"/>
    <d v="2023-03-07T00:00:00"/>
    <s v="11/30/2024"/>
    <x v="0"/>
  </r>
  <r>
    <n v="8867"/>
    <s v="Derek"/>
    <d v="2023-03-06T00:00:00"/>
    <s v="11/21/2024"/>
    <x v="2"/>
  </r>
  <r>
    <n v="4901"/>
    <s v="Rebecca"/>
    <d v="2023-12-01T00:00:00"/>
    <s v="12/18/2024"/>
    <x v="0"/>
  </r>
  <r>
    <n v="9575"/>
    <s v="John"/>
    <s v="2/25/2023"/>
    <s v="12/13/2024"/>
    <x v="1"/>
  </r>
  <r>
    <n v="4471"/>
    <s v="Jordan"/>
    <s v="3/31/2024"/>
    <d v="2024-11-12T00:00:00"/>
    <x v="1"/>
  </r>
  <r>
    <n v="1385"/>
    <s v="Norman"/>
    <d v="2024-03-10T00:00:00"/>
    <d v="2024-10-12T00:00:00"/>
    <x v="1"/>
  </r>
  <r>
    <n v="4302"/>
    <s v="Lori"/>
    <s v="2/16/2023"/>
    <d v="2024-10-12T00:00:00"/>
    <x v="1"/>
  </r>
  <r>
    <n v="4738"/>
    <s v="Katrina"/>
    <d v="2023-05-11T00:00:00"/>
    <d v="2024-04-12T00:00:00"/>
    <x v="2"/>
  </r>
  <r>
    <n v="2441"/>
    <s v="Dawn"/>
    <s v="5/28/2023"/>
    <s v="12/14/2024"/>
    <x v="1"/>
  </r>
  <r>
    <n v="6546"/>
    <s v="Shannon"/>
    <s v="12/26/2023"/>
    <d v="2024-08-12T00:00:00"/>
    <x v="2"/>
  </r>
  <r>
    <n v="5459"/>
    <s v="Eric"/>
    <s v="4/13/2024"/>
    <s v="12/13/2024"/>
    <x v="2"/>
  </r>
  <r>
    <n v="7051"/>
    <s v="Amber"/>
    <s v="5/14/2023"/>
    <s v="12/16/2024"/>
    <x v="0"/>
  </r>
  <r>
    <n v="6671"/>
    <s v="Robert"/>
    <s v="2/21/2024"/>
    <d v="2024-11-12T00:00:00"/>
    <x v="2"/>
  </r>
  <r>
    <n v="6013"/>
    <s v="Destiny"/>
    <s v="8/23/2024"/>
    <d v="2024-03-12T00:00:00"/>
    <x v="2"/>
  </r>
  <r>
    <n v="9996"/>
    <s v="Pamela"/>
    <s v="7/21/2024"/>
    <d v="2024-09-12T00:00:00"/>
    <x v="0"/>
  </r>
  <r>
    <n v="4851"/>
    <s v="Nicole"/>
    <d v="2023-10-03T00:00:00"/>
    <s v="12/16/2024"/>
    <x v="2"/>
  </r>
  <r>
    <n v="2498"/>
    <s v="Timothy"/>
    <d v="2023-12-10T00:00:00"/>
    <d v="2024-07-12T00:00:00"/>
    <x v="1"/>
  </r>
  <r>
    <n v="6208"/>
    <s v="Alexandra"/>
    <s v="7/19/2023"/>
    <s v="12/17/2024"/>
    <x v="0"/>
  </r>
  <r>
    <n v="7171"/>
    <s v="Patricia"/>
    <s v="1/30/2024"/>
    <s v="11/26/2024"/>
    <x v="1"/>
  </r>
  <r>
    <n v="7667"/>
    <s v="Katrina"/>
    <d v="2023-05-01T00:00:00"/>
    <s v="12/17/2024"/>
    <x v="2"/>
  </r>
  <r>
    <n v="4912"/>
    <s v="Andrea"/>
    <d v="2023-04-10T00:00:00"/>
    <d v="2024-01-12T00:00:00"/>
    <x v="2"/>
  </r>
  <r>
    <n v="7975"/>
    <s v="Suzanne"/>
    <d v="2023-03-10T00:00:00"/>
    <s v="11/22/2024"/>
    <x v="2"/>
  </r>
  <r>
    <n v="6804"/>
    <s v="Benjamin"/>
    <d v="2023-11-02T00:00:00"/>
    <d v="2024-10-12T00:00:00"/>
    <x v="2"/>
  </r>
  <r>
    <n v="3877"/>
    <s v="Shannon"/>
    <s v="7/15/2024"/>
    <s v="11/24/2024"/>
    <x v="1"/>
  </r>
  <r>
    <n v="8768"/>
    <s v="Stephen"/>
    <d v="2024-09-11T00:00:00"/>
    <d v="2024-01-12T00:00:00"/>
    <x v="2"/>
  </r>
  <r>
    <n v="1420"/>
    <s v="Courtney"/>
    <d v="2024-03-10T00:00:00"/>
    <d v="2024-05-12T00:00:00"/>
    <x v="0"/>
  </r>
  <r>
    <n v="2306"/>
    <s v="Daniel"/>
    <d v="2023-11-05T00:00:00"/>
    <d v="2024-01-12T00:00:00"/>
    <x v="1"/>
  </r>
  <r>
    <n v="2079"/>
    <s v="Janet"/>
    <s v="6/25/2024"/>
    <d v="2024-02-12T00:00:00"/>
    <x v="1"/>
  </r>
  <r>
    <n v="3554"/>
    <s v="Phyllis"/>
    <s v="2/28/2024"/>
    <d v="2024-04-12T00:00:00"/>
    <x v="0"/>
  </r>
  <r>
    <n v="7616"/>
    <s v="Amanda"/>
    <d v="2023-10-06T00:00:00"/>
    <d v="2024-11-12T00:00:00"/>
    <x v="2"/>
  </r>
  <r>
    <n v="5650"/>
    <s v="Timothy"/>
    <s v="8/24/2023"/>
    <d v="2024-08-12T00:00:00"/>
    <x v="2"/>
  </r>
  <r>
    <n v="9385"/>
    <s v="Lynn"/>
    <s v="8/20/2024"/>
    <d v="2024-03-12T00:00:00"/>
    <x v="0"/>
  </r>
  <r>
    <n v="2482"/>
    <s v="Courtney"/>
    <s v="3/26/2023"/>
    <s v="11/29/2024"/>
    <x v="0"/>
  </r>
  <r>
    <n v="9017"/>
    <s v="Reginald"/>
    <s v="7/14/2024"/>
    <d v="2024-11-12T00:00:00"/>
    <x v="1"/>
  </r>
  <r>
    <n v="7001"/>
    <s v="Lori"/>
    <d v="2023-08-08T00:00:00"/>
    <s v="11/30/2024"/>
    <x v="1"/>
  </r>
  <r>
    <n v="2942"/>
    <s v="Jaclyn"/>
    <d v="2023-09-02T00:00:00"/>
    <s v="11/30/2024"/>
    <x v="1"/>
  </r>
  <r>
    <n v="8833"/>
    <s v="Cheryl"/>
    <d v="2024-07-06T00:00:00"/>
    <d v="2024-11-12T00:00:00"/>
    <x v="0"/>
  </r>
  <r>
    <n v="8079"/>
    <s v="Jennifer"/>
    <d v="2023-07-07T00:00:00"/>
    <s v="12/13/2024"/>
    <x v="0"/>
  </r>
  <r>
    <n v="3797"/>
    <s v="Jennifer"/>
    <d v="2024-04-06T00:00:00"/>
    <s v="12/17/2024"/>
    <x v="1"/>
  </r>
  <r>
    <n v="7268"/>
    <s v="Deborah"/>
    <d v="2023-08-05T00:00:00"/>
    <s v="12/17/2024"/>
    <x v="2"/>
  </r>
  <r>
    <n v="9803"/>
    <s v="Tina"/>
    <s v="7/14/2024"/>
    <s v="11/23/2024"/>
    <x v="1"/>
  </r>
  <r>
    <n v="2165"/>
    <s v="Allison"/>
    <s v="6/22/2024"/>
    <s v="11/29/2024"/>
    <x v="2"/>
  </r>
  <r>
    <n v="1528"/>
    <s v="Sara"/>
    <d v="2023-10-01T00:00:00"/>
    <s v="11/19/2024"/>
    <x v="1"/>
  </r>
  <r>
    <n v="5978"/>
    <s v="Joel"/>
    <d v="2023-12-04T00:00:00"/>
    <d v="2024-09-12T00:00:00"/>
    <x v="1"/>
  </r>
  <r>
    <n v="5967"/>
    <s v="Diana"/>
    <d v="2023-12-05T00:00:00"/>
    <s v="12/14/2024"/>
    <x v="1"/>
  </r>
  <r>
    <n v="4254"/>
    <s v="James"/>
    <s v="7/31/2023"/>
    <s v="12/18/2024"/>
    <x v="1"/>
  </r>
  <r>
    <n v="2186"/>
    <s v="Jeffrey"/>
    <s v="11/27/2024"/>
    <s v="12/18/2024"/>
    <x v="0"/>
  </r>
  <r>
    <n v="7644"/>
    <s v="Christian"/>
    <d v="2024-08-12T00:00:00"/>
    <s v="12/15/2024"/>
    <x v="2"/>
  </r>
  <r>
    <n v="5897"/>
    <s v="Hunter"/>
    <d v="2023-12-09T00:00:00"/>
    <d v="2024-06-12T00:00:00"/>
    <x v="0"/>
  </r>
  <r>
    <n v="7465"/>
    <s v="Shane"/>
    <d v="2024-11-11T00:00:00"/>
    <d v="2024-01-12T00:00:00"/>
    <x v="1"/>
  </r>
  <r>
    <n v="3724"/>
    <s v="Brittany"/>
    <s v="6/28/2024"/>
    <d v="2024-02-12T00:00:00"/>
    <x v="0"/>
  </r>
  <r>
    <n v="2914"/>
    <s v="Erica"/>
    <d v="2023-07-07T00:00:00"/>
    <s v="12/14/2024"/>
    <x v="2"/>
  </r>
  <r>
    <n v="4110"/>
    <s v="Justin"/>
    <s v="1/27/2024"/>
    <s v="11/26/2024"/>
    <x v="1"/>
  </r>
  <r>
    <n v="6944"/>
    <s v="Sarah"/>
    <s v="5/28/2024"/>
    <s v="11/30/2024"/>
    <x v="2"/>
  </r>
  <r>
    <n v="3639"/>
    <s v="Lindsay"/>
    <s v="7/21/2023"/>
    <s v="11/22/2024"/>
    <x v="1"/>
  </r>
  <r>
    <n v="8416"/>
    <s v="Rachel"/>
    <s v="4/28/2023"/>
    <s v="11/29/2024"/>
    <x v="1"/>
  </r>
  <r>
    <n v="7753"/>
    <s v="David"/>
    <d v="2024-09-12T00:00:00"/>
    <s v="12/13/2024"/>
    <x v="0"/>
  </r>
  <r>
    <n v="9528"/>
    <s v="Breanna"/>
    <s v="2/16/2023"/>
    <d v="2024-12-12T00:00:00"/>
    <x v="1"/>
  </r>
  <r>
    <n v="2960"/>
    <s v="James"/>
    <d v="2023-03-12T00:00:00"/>
    <d v="2024-09-12T00:00:00"/>
    <x v="1"/>
  </r>
  <r>
    <n v="1090"/>
    <s v="Hector"/>
    <s v="5/17/2024"/>
    <s v="11/29/2024"/>
    <x v="2"/>
  </r>
  <r>
    <n v="2410"/>
    <s v="Jennifer"/>
    <d v="2024-11-12T00:00:00"/>
    <d v="2024-08-12T00:00:00"/>
    <x v="1"/>
  </r>
  <r>
    <n v="1575"/>
    <s v="James"/>
    <d v="2023-04-10T00:00:00"/>
    <d v="2024-11-12T00:00:00"/>
    <x v="1"/>
  </r>
  <r>
    <n v="9259"/>
    <s v="Dale"/>
    <s v="8/14/2024"/>
    <d v="2024-07-12T00:00:00"/>
    <x v="1"/>
  </r>
  <r>
    <n v="2170"/>
    <s v="Lisa"/>
    <d v="2023-07-11T00:00:00"/>
    <s v="12/15/2024"/>
    <x v="2"/>
  </r>
  <r>
    <n v="2237"/>
    <s v="Anthony"/>
    <d v="2023-08-06T00:00:00"/>
    <s v="12/18/2024"/>
    <x v="0"/>
  </r>
  <r>
    <n v="2697"/>
    <s v="Christine"/>
    <d v="2024-10-05T00:00:00"/>
    <d v="2024-09-12T00:00:00"/>
    <x v="2"/>
  </r>
  <r>
    <n v="4488"/>
    <s v="Stephen"/>
    <s v="5/28/2023"/>
    <d v="2024-05-12T00:00:00"/>
    <x v="0"/>
  </r>
  <r>
    <n v="5291"/>
    <s v="Marvin"/>
    <s v="2/24/2024"/>
    <s v="12/17/2024"/>
    <x v="1"/>
  </r>
  <r>
    <n v="6287"/>
    <s v="Jasmine"/>
    <s v="4/29/2023"/>
    <s v="11/30/2024"/>
    <x v="1"/>
  </r>
  <r>
    <n v="1953"/>
    <s v="Shannon"/>
    <d v="2023-09-11T00:00:00"/>
    <s v="11/23/2024"/>
    <x v="2"/>
  </r>
  <r>
    <n v="3457"/>
    <s v="Kenneth"/>
    <s v="10/25/2024"/>
    <s v="11/19/2024"/>
    <x v="2"/>
  </r>
  <r>
    <n v="6504"/>
    <s v="Michelle"/>
    <s v="11/19/2023"/>
    <s v="12/18/2024"/>
    <x v="0"/>
  </r>
  <r>
    <n v="7463"/>
    <s v="Ethan"/>
    <s v="9/15/2023"/>
    <d v="2024-06-12T00:00:00"/>
    <x v="1"/>
  </r>
  <r>
    <n v="3898"/>
    <s v="Charles"/>
    <d v="2024-07-03T00:00:00"/>
    <s v="11/28/2024"/>
    <x v="1"/>
  </r>
  <r>
    <n v="8481"/>
    <s v="Stephanie"/>
    <s v="10/16/2024"/>
    <d v="2024-08-12T00:00:00"/>
    <x v="0"/>
  </r>
  <r>
    <n v="7810"/>
    <s v="Robert"/>
    <s v="9/24/2023"/>
    <d v="2024-07-12T00:00:00"/>
    <x v="0"/>
  </r>
  <r>
    <n v="6534"/>
    <s v="Larry"/>
    <d v="2023-05-04T00:00:00"/>
    <d v="2024-11-12T00:00:00"/>
    <x v="1"/>
  </r>
  <r>
    <n v="6025"/>
    <s v="Andrew"/>
    <s v="12/15/2023"/>
    <s v="11/25/2024"/>
    <x v="2"/>
  </r>
  <r>
    <n v="5825"/>
    <s v="Michele"/>
    <d v="2024-12-02T00:00:00"/>
    <s v="12/13/2024"/>
    <x v="0"/>
  </r>
  <r>
    <n v="1185"/>
    <s v="Victor"/>
    <s v="1/30/2023"/>
    <s v="12/15/2024"/>
    <x v="2"/>
  </r>
  <r>
    <n v="4392"/>
    <s v="Craig"/>
    <s v="2/19/2023"/>
    <d v="2024-05-12T00:00:00"/>
    <x v="1"/>
  </r>
  <r>
    <n v="5785"/>
    <s v="William"/>
    <d v="2024-10-03T00:00:00"/>
    <s v="11/19/2024"/>
    <x v="0"/>
  </r>
  <r>
    <n v="4718"/>
    <s v="Stephanie"/>
    <s v="9/21/2023"/>
    <s v="11/25/2024"/>
    <x v="2"/>
  </r>
  <r>
    <n v="3992"/>
    <s v="John"/>
    <s v="8/25/2024"/>
    <s v="11/25/2024"/>
    <x v="1"/>
  </r>
  <r>
    <n v="6100"/>
    <s v="Desiree"/>
    <s v="6/24/2024"/>
    <s v="11/20/2024"/>
    <x v="1"/>
  </r>
  <r>
    <n v="8495"/>
    <s v="Edward"/>
    <d v="2024-09-01T00:00:00"/>
    <s v="11/26/2024"/>
    <x v="0"/>
  </r>
  <r>
    <n v="3083"/>
    <s v="Jason"/>
    <d v="2023-05-09T00:00:00"/>
    <s v="12/13/2024"/>
    <x v="0"/>
  </r>
  <r>
    <n v="9936"/>
    <s v="Elizabeth"/>
    <d v="2023-11-05T00:00:00"/>
    <s v="12/17/2024"/>
    <x v="0"/>
  </r>
  <r>
    <n v="2418"/>
    <s v="Nicole"/>
    <d v="2024-04-09T00:00:00"/>
    <s v="11/19/2024"/>
    <x v="2"/>
  </r>
  <r>
    <n v="4089"/>
    <s v="Amy"/>
    <d v="2024-08-12T00:00:00"/>
    <s v="12/17/2024"/>
    <x v="1"/>
  </r>
  <r>
    <n v="8876"/>
    <s v="Leslie"/>
    <s v="4/17/2023"/>
    <s v="11/23/2024"/>
    <x v="1"/>
  </r>
  <r>
    <n v="3959"/>
    <s v="Alicia"/>
    <s v="12/26/2023"/>
    <s v="12/16/2024"/>
    <x v="2"/>
  </r>
  <r>
    <n v="2011"/>
    <s v="Donald"/>
    <s v="5/14/2023"/>
    <d v="2024-04-12T00:00:00"/>
    <x v="0"/>
  </r>
  <r>
    <n v="7896"/>
    <s v="Michael"/>
    <s v="6/19/2024"/>
    <s v="11/29/2024"/>
    <x v="1"/>
  </r>
  <r>
    <n v="5495"/>
    <s v="Grant"/>
    <s v="1/17/2024"/>
    <s v="11/29/2024"/>
    <x v="1"/>
  </r>
  <r>
    <n v="6219"/>
    <s v="Michelle"/>
    <s v="7/22/2024"/>
    <s v="12/16/2024"/>
    <x v="1"/>
  </r>
  <r>
    <n v="4458"/>
    <s v="Sydney"/>
    <s v="10/26/2023"/>
    <s v="11/20/2024"/>
    <x v="2"/>
  </r>
  <r>
    <n v="4115"/>
    <s v="Shawna"/>
    <s v="11/24/2024"/>
    <s v="11/24/2024"/>
    <x v="2"/>
  </r>
  <r>
    <n v="6586"/>
    <s v="Allison"/>
    <s v="1/26/2023"/>
    <s v="12/15/2024"/>
    <x v="2"/>
  </r>
  <r>
    <n v="3985"/>
    <s v="Andrew"/>
    <d v="2024-12-06T00:00:00"/>
    <d v="2024-12-12T00:00:00"/>
    <x v="2"/>
  </r>
  <r>
    <n v="8501"/>
    <s v="Mark"/>
    <d v="2024-08-04T00:00:00"/>
    <s v="11/19/2024"/>
    <x v="1"/>
  </r>
  <r>
    <n v="4048"/>
    <s v="Nicole"/>
    <d v="2024-02-06T00:00:00"/>
    <s v="12/17/2024"/>
    <x v="1"/>
  </r>
  <r>
    <n v="4466"/>
    <s v="Matthew"/>
    <d v="2024-06-10T00:00:00"/>
    <s v="11/27/2024"/>
    <x v="1"/>
  </r>
  <r>
    <n v="5479"/>
    <s v="David"/>
    <d v="2023-04-03T00:00:00"/>
    <d v="2024-08-12T00:00:00"/>
    <x v="0"/>
  </r>
  <r>
    <n v="2480"/>
    <s v="Shane"/>
    <s v="8/26/2023"/>
    <s v="12/17/2024"/>
    <x v="2"/>
  </r>
  <r>
    <n v="6288"/>
    <s v="Kathryn"/>
    <d v="2024-02-04T00:00:00"/>
    <d v="2024-11-12T00:00:00"/>
    <x v="2"/>
  </r>
  <r>
    <n v="9973"/>
    <s v="John"/>
    <s v="4/14/2023"/>
    <s v="12/15/2024"/>
    <x v="1"/>
  </r>
  <r>
    <n v="6078"/>
    <s v="Kara"/>
    <s v="9/23/2024"/>
    <s v="12/15/2024"/>
    <x v="0"/>
  </r>
  <r>
    <n v="5362"/>
    <s v="Julie"/>
    <d v="2024-07-03T00:00:00"/>
    <s v="11/27/2024"/>
    <x v="2"/>
  </r>
  <r>
    <n v="1687"/>
    <s v="Joshua"/>
    <s v="4/19/2024"/>
    <s v="11/24/2024"/>
    <x v="0"/>
  </r>
  <r>
    <n v="8986"/>
    <s v="Gary"/>
    <d v="2024-01-12T00:00:00"/>
    <s v="12/16/2024"/>
    <x v="2"/>
  </r>
  <r>
    <n v="5994"/>
    <s v="Chelsea"/>
    <s v="10/21/2023"/>
    <d v="2024-04-12T00:00:00"/>
    <x v="0"/>
  </r>
  <r>
    <n v="6293"/>
    <s v="John"/>
    <s v="9/16/2024"/>
    <s v="11/21/2024"/>
    <x v="2"/>
  </r>
  <r>
    <n v="7558"/>
    <s v="Sandra"/>
    <s v="11/13/2024"/>
    <d v="2024-08-12T00:00:00"/>
    <x v="1"/>
  </r>
  <r>
    <n v="1805"/>
    <s v="Jennifer"/>
    <d v="2023-04-02T00:00:00"/>
    <s v="11/30/2024"/>
    <x v="1"/>
  </r>
  <r>
    <n v="1661"/>
    <s v="Margaret"/>
    <s v="4/16/2023"/>
    <d v="2024-08-12T00:00:00"/>
    <x v="2"/>
  </r>
  <r>
    <n v="8960"/>
    <s v="Jason"/>
    <s v="1/16/2024"/>
    <d v="2024-02-12T00:00:00"/>
    <x v="2"/>
  </r>
  <r>
    <n v="6131"/>
    <s v="Nichole"/>
    <s v="7/30/2024"/>
    <s v="12/17/2024"/>
    <x v="0"/>
  </r>
  <r>
    <n v="4114"/>
    <s v="Eric"/>
    <s v="11/30/2023"/>
    <s v="12/14/2024"/>
    <x v="1"/>
  </r>
  <r>
    <n v="4833"/>
    <s v="Nathan"/>
    <s v="4/13/2024"/>
    <d v="2024-10-12T00:00:00"/>
    <x v="0"/>
  </r>
  <r>
    <n v="2401"/>
    <s v="Rachel"/>
    <d v="2024-06-10T00:00:00"/>
    <d v="2024-02-12T00:00:00"/>
    <x v="0"/>
  </r>
  <r>
    <n v="1037"/>
    <s v="Natalie"/>
    <s v="6/25/2023"/>
    <s v="11/30/2024"/>
    <x v="0"/>
  </r>
  <r>
    <n v="2675"/>
    <s v="Chad"/>
    <s v="2/18/2023"/>
    <d v="2024-04-12T00:00:00"/>
    <x v="2"/>
  </r>
  <r>
    <n v="1665"/>
    <s v="Megan"/>
    <s v="2/28/2024"/>
    <s v="12/17/2024"/>
    <x v="1"/>
  </r>
  <r>
    <n v="5671"/>
    <s v="Martin"/>
    <s v="5/27/2023"/>
    <s v="11/29/2024"/>
    <x v="1"/>
  </r>
  <r>
    <n v="5153"/>
    <s v="Ryan"/>
    <s v="6/26/2024"/>
    <s v="12/18/2024"/>
    <x v="0"/>
  </r>
  <r>
    <n v="1114"/>
    <s v="Angela"/>
    <d v="2023-02-01T00:00:00"/>
    <s v="12/15/2024"/>
    <x v="1"/>
  </r>
  <r>
    <n v="6180"/>
    <s v="Chad"/>
    <d v="2024-09-08T00:00:00"/>
    <d v="2024-02-12T00:00:00"/>
    <x v="1"/>
  </r>
  <r>
    <n v="8237"/>
    <s v="Mary"/>
    <s v="5/19/2023"/>
    <d v="2024-07-12T00:00:00"/>
    <x v="0"/>
  </r>
  <r>
    <n v="9500"/>
    <s v="Marissa"/>
    <s v="9/13/2023"/>
    <d v="2024-10-12T00:00:00"/>
    <x v="1"/>
  </r>
  <r>
    <n v="7476"/>
    <s v="Patrick"/>
    <s v="6/16/2023"/>
    <s v="11/27/2024"/>
    <x v="1"/>
  </r>
  <r>
    <n v="9908"/>
    <s v="Kelly"/>
    <d v="2023-03-01T00:00:00"/>
    <d v="2024-04-12T00:00:00"/>
    <x v="1"/>
  </r>
  <r>
    <n v="1534"/>
    <s v="Mary"/>
    <s v="7/22/2024"/>
    <s v="12/18/2024"/>
    <x v="0"/>
  </r>
  <r>
    <n v="4613"/>
    <s v="Cynthia"/>
    <d v="2023-03-03T00:00:00"/>
    <d v="2024-04-12T00:00:00"/>
    <x v="2"/>
  </r>
  <r>
    <n v="5063"/>
    <s v="Jasmine"/>
    <d v="2024-04-06T00:00:00"/>
    <s v="11/22/2024"/>
    <x v="0"/>
  </r>
  <r>
    <n v="4548"/>
    <s v="Sarah"/>
    <d v="2023-08-06T00:00:00"/>
    <s v="11/20/2024"/>
    <x v="0"/>
  </r>
  <r>
    <n v="7556"/>
    <s v="Adam"/>
    <s v="7/17/2024"/>
    <s v="11/26/2024"/>
    <x v="2"/>
  </r>
  <r>
    <n v="1846"/>
    <s v="Mason"/>
    <s v="6/21/2024"/>
    <d v="2024-07-12T00:00:00"/>
    <x v="2"/>
  </r>
  <r>
    <n v="7088"/>
    <s v="Amy"/>
    <d v="2024-01-01T00:00:00"/>
    <s v="11/21/2024"/>
    <x v="1"/>
  </r>
  <r>
    <n v="1179"/>
    <s v="Craig"/>
    <d v="2024-07-06T00:00:00"/>
    <s v="12/18/2024"/>
    <x v="1"/>
  </r>
  <r>
    <n v="2190"/>
    <s v="Lindsay"/>
    <s v="12/31/2023"/>
    <d v="2024-05-12T00:00:00"/>
    <x v="0"/>
  </r>
  <r>
    <n v="2847"/>
    <s v="Charles"/>
    <s v="9/23/2023"/>
    <s v="11/27/2024"/>
    <x v="2"/>
  </r>
  <r>
    <n v="6570"/>
    <s v="Joseph"/>
    <d v="2024-08-12T00:00:00"/>
    <d v="2024-12-12T00:00:00"/>
    <x v="1"/>
  </r>
  <r>
    <n v="1149"/>
    <s v="Michael"/>
    <s v="5/29/2023"/>
    <s v="11/28/2024"/>
    <x v="1"/>
  </r>
  <r>
    <n v="1336"/>
    <s v="James"/>
    <s v="4/25/2024"/>
    <d v="2024-10-12T00:00:00"/>
    <x v="1"/>
  </r>
  <r>
    <n v="6956"/>
    <s v="Brandon"/>
    <s v="2/21/2024"/>
    <s v="11/24/2024"/>
    <x v="2"/>
  </r>
  <r>
    <n v="7015"/>
    <s v="Jaclyn"/>
    <d v="2024-02-10T00:00:00"/>
    <d v="2024-09-12T00:00:00"/>
    <x v="1"/>
  </r>
  <r>
    <n v="4104"/>
    <s v="Alvin"/>
    <s v="7/22/2023"/>
    <s v="11/20/2024"/>
    <x v="2"/>
  </r>
  <r>
    <n v="9413"/>
    <s v="Megan"/>
    <s v="8/27/2023"/>
    <d v="2024-03-12T00:00:00"/>
    <x v="2"/>
  </r>
  <r>
    <n v="8300"/>
    <s v="Carolyn"/>
    <s v="4/24/2024"/>
    <s v="12/13/2024"/>
    <x v="2"/>
  </r>
  <r>
    <n v="5126"/>
    <s v="Christopher"/>
    <d v="2024-06-05T00:00:00"/>
    <d v="2024-03-12T00:00:00"/>
    <x v="0"/>
  </r>
  <r>
    <n v="1754"/>
    <s v="Patricia"/>
    <s v="6/13/2024"/>
    <s v="11/20/2024"/>
    <x v="2"/>
  </r>
  <r>
    <n v="7089"/>
    <s v="Richard"/>
    <d v="2023-03-03T00:00:00"/>
    <d v="2024-11-12T00:00:00"/>
    <x v="0"/>
  </r>
  <r>
    <n v="1697"/>
    <s v="Tiffany"/>
    <s v="9/21/2023"/>
    <s v="11/27/2024"/>
    <x v="0"/>
  </r>
  <r>
    <n v="4768"/>
    <s v="Thomas"/>
    <d v="2023-04-12T00:00:00"/>
    <s v="11/23/2024"/>
    <x v="2"/>
  </r>
  <r>
    <n v="4205"/>
    <s v="Daniel"/>
    <s v="12/14/2023"/>
    <d v="2024-06-12T00:00:00"/>
    <x v="2"/>
  </r>
  <r>
    <n v="8844"/>
    <s v="Ashley"/>
    <s v="9/24/2024"/>
    <s v="12/18/2024"/>
    <x v="0"/>
  </r>
  <r>
    <n v="1103"/>
    <s v="Lindsey"/>
    <d v="2023-08-05T00:00:00"/>
    <d v="2024-02-12T00:00:00"/>
    <x v="0"/>
  </r>
  <r>
    <n v="2180"/>
    <s v="Yvonne"/>
    <s v="4/16/2023"/>
    <s v="11/24/2024"/>
    <x v="0"/>
  </r>
  <r>
    <n v="6607"/>
    <s v="Gene"/>
    <s v="1/13/2023"/>
    <d v="2024-02-12T00:00:00"/>
    <x v="2"/>
  </r>
  <r>
    <n v="7949"/>
    <s v="Phyllis"/>
    <d v="2023-11-01T00:00:00"/>
    <s v="11/21/2024"/>
    <x v="1"/>
  </r>
  <r>
    <n v="5337"/>
    <s v="Travis"/>
    <s v="8/16/2024"/>
    <s v="11/28/2024"/>
    <x v="0"/>
  </r>
  <r>
    <n v="8477"/>
    <s v="Aaron"/>
    <s v="7/18/2023"/>
    <d v="2024-02-12T00:00:00"/>
    <x v="0"/>
  </r>
  <r>
    <n v="7673"/>
    <s v="Nina"/>
    <s v="8/18/2023"/>
    <s v="11/22/2024"/>
    <x v="0"/>
  </r>
  <r>
    <n v="6113"/>
    <s v="Stacy"/>
    <d v="2023-06-11T00:00:00"/>
    <s v="12/14/2024"/>
    <x v="1"/>
  </r>
  <r>
    <n v="7457"/>
    <s v="Madison"/>
    <d v="2023-12-04T00:00:00"/>
    <s v="11/29/2024"/>
    <x v="1"/>
  </r>
  <r>
    <n v="6639"/>
    <s v="Victoria"/>
    <s v="12/18/2023"/>
    <s v="12/18/2024"/>
    <x v="0"/>
  </r>
  <r>
    <n v="5220"/>
    <s v="Justin"/>
    <s v="8/13/2023"/>
    <d v="2024-08-12T00:00:00"/>
    <x v="0"/>
  </r>
  <r>
    <n v="6970"/>
    <s v="Tammy"/>
    <s v="12/17/2024"/>
    <d v="2024-05-12T00:00:00"/>
    <x v="0"/>
  </r>
  <r>
    <n v="6705"/>
    <s v="Joshua"/>
    <s v="9/28/2024"/>
    <d v="2024-09-12T00:00:00"/>
    <x v="0"/>
  </r>
  <r>
    <n v="2477"/>
    <s v="Sara"/>
    <s v="3/13/2023"/>
    <s v="11/26/2024"/>
    <x v="2"/>
  </r>
  <r>
    <n v="6236"/>
    <s v="Benjamin"/>
    <s v="2/26/2023"/>
    <s v="11/22/2024"/>
    <x v="1"/>
  </r>
  <r>
    <n v="4079"/>
    <s v="Kristen"/>
    <s v="1/16/2023"/>
    <s v="12/15/2024"/>
    <x v="0"/>
  </r>
  <r>
    <n v="7927"/>
    <s v="Erika"/>
    <d v="2023-11-01T00:00:00"/>
    <s v="11/20/2024"/>
    <x v="0"/>
  </r>
  <r>
    <n v="5059"/>
    <s v="Robert"/>
    <d v="2024-03-09T00:00:00"/>
    <s v="11/27/2024"/>
    <x v="1"/>
  </r>
  <r>
    <n v="4210"/>
    <s v="Paul"/>
    <s v="11/29/2023"/>
    <s v="11/26/2024"/>
    <x v="1"/>
  </r>
  <r>
    <n v="5054"/>
    <s v="Robert"/>
    <d v="2023-11-01T00:00:00"/>
    <s v="11/30/2024"/>
    <x v="1"/>
  </r>
  <r>
    <n v="5836"/>
    <s v="Bianca"/>
    <d v="2024-08-08T00:00:00"/>
    <s v="11/21/2024"/>
    <x v="2"/>
  </r>
  <r>
    <n v="8612"/>
    <s v="Joseph"/>
    <s v="2/22/2024"/>
    <s v="12/18/2024"/>
    <x v="0"/>
  </r>
  <r>
    <n v="7445"/>
    <s v="Lauren"/>
    <s v="11/19/2023"/>
    <s v="11/23/2024"/>
    <x v="2"/>
  </r>
  <r>
    <n v="6135"/>
    <s v="Carol"/>
    <d v="2024-10-10T00:00:00"/>
    <s v="11/21/2024"/>
    <x v="0"/>
  </r>
  <r>
    <n v="3168"/>
    <s v="Alicia"/>
    <d v="2024-07-04T00:00:00"/>
    <s v="11/21/2024"/>
    <x v="0"/>
  </r>
  <r>
    <n v="2981"/>
    <s v="Laura"/>
    <d v="2024-07-05T00:00:00"/>
    <d v="2024-03-12T00:00:00"/>
    <x v="1"/>
  </r>
  <r>
    <n v="7739"/>
    <s v="Ryan"/>
    <d v="2023-12-03T00:00:00"/>
    <d v="2024-11-12T00:00:00"/>
    <x v="0"/>
  </r>
  <r>
    <n v="5905"/>
    <s v="Brian"/>
    <d v="2024-06-03T00:00:00"/>
    <d v="2024-09-12T00:00:00"/>
    <x v="2"/>
  </r>
  <r>
    <n v="1443"/>
    <s v="Sandra"/>
    <s v="6/21/2023"/>
    <s v="12/17/2024"/>
    <x v="1"/>
  </r>
  <r>
    <n v="6181"/>
    <s v="Krista"/>
    <d v="2024-01-12T00:00:00"/>
    <d v="2024-05-12T00:00:00"/>
    <x v="1"/>
  </r>
  <r>
    <n v="8406"/>
    <s v="Jeremiah"/>
    <s v="11/19/2023"/>
    <s v="12/14/2024"/>
    <x v="1"/>
  </r>
  <r>
    <n v="5389"/>
    <s v="Leon"/>
    <s v="5/27/2024"/>
    <s v="11/29/2024"/>
    <x v="1"/>
  </r>
  <r>
    <n v="4586"/>
    <s v="Tracey"/>
    <s v="10/22/2023"/>
    <d v="2024-01-12T00:00:00"/>
    <x v="0"/>
  </r>
  <r>
    <n v="4020"/>
    <s v="Edward"/>
    <s v="3/20/2024"/>
    <d v="2024-02-12T00:00:00"/>
    <x v="2"/>
  </r>
  <r>
    <n v="1635"/>
    <s v="Larry"/>
    <s v="12/22/2023"/>
    <d v="2024-05-12T00:00:00"/>
    <x v="2"/>
  </r>
  <r>
    <n v="9257"/>
    <s v="Jonathan"/>
    <d v="2024-05-06T00:00:00"/>
    <s v="11/29/2024"/>
    <x v="0"/>
  </r>
  <r>
    <n v="6380"/>
    <s v="Jennifer"/>
    <d v="2023-04-04T00:00:00"/>
    <s v="12/14/2024"/>
    <x v="0"/>
  </r>
  <r>
    <n v="6385"/>
    <s v="Travis"/>
    <s v="7/19/2023"/>
    <s v="11/28/2024"/>
    <x v="1"/>
  </r>
  <r>
    <n v="6858"/>
    <s v="Michelle"/>
    <s v="12/23/2023"/>
    <d v="2024-12-12T00:00:00"/>
    <x v="1"/>
  </r>
  <r>
    <n v="8875"/>
    <s v="Larry"/>
    <s v="3/28/2023"/>
    <s v="12/17/2024"/>
    <x v="2"/>
  </r>
  <r>
    <n v="3334"/>
    <s v="Kenneth"/>
    <d v="2024-07-04T00:00:00"/>
    <d v="2024-05-12T00:00:00"/>
    <x v="2"/>
  </r>
  <r>
    <n v="5850"/>
    <s v="Joshua"/>
    <d v="2023-07-08T00:00:00"/>
    <d v="2024-11-12T00:00:00"/>
    <x v="2"/>
  </r>
  <r>
    <n v="8593"/>
    <s v="James"/>
    <s v="7/23/2024"/>
    <d v="2024-10-12T00:00:00"/>
    <x v="2"/>
  </r>
  <r>
    <n v="6278"/>
    <s v="Richard"/>
    <s v="6/18/2023"/>
    <s v="11/25/2024"/>
    <x v="0"/>
  </r>
  <r>
    <n v="1388"/>
    <s v="Michael"/>
    <s v="1/19/2024"/>
    <d v="2024-10-12T00:00:00"/>
    <x v="2"/>
  </r>
  <r>
    <n v="2521"/>
    <s v="Jessica"/>
    <s v="4/30/2024"/>
    <s v="11/27/2024"/>
    <x v="2"/>
  </r>
  <r>
    <n v="1269"/>
    <s v="Helen"/>
    <d v="2023-09-01T00:00:00"/>
    <s v="11/29/2024"/>
    <x v="2"/>
  </r>
  <r>
    <n v="9959"/>
    <s v="Dustin"/>
    <d v="2024-11-09T00:00:00"/>
    <d v="2024-10-12T00:00:00"/>
    <x v="2"/>
  </r>
  <r>
    <n v="7549"/>
    <s v="Jeremiah"/>
    <s v="5/30/2024"/>
    <s v="11/28/2024"/>
    <x v="2"/>
  </r>
  <r>
    <n v="4747"/>
    <s v="John"/>
    <d v="2024-10-02T00:00:00"/>
    <d v="2024-09-12T00:00:00"/>
    <x v="1"/>
  </r>
  <r>
    <n v="8320"/>
    <s v="Heather"/>
    <d v="2024-02-01T00:00:00"/>
    <d v="2024-09-12T00:00:00"/>
    <x v="2"/>
  </r>
  <r>
    <n v="1333"/>
    <s v="Mark"/>
    <s v="4/16/2024"/>
    <s v="11/19/2024"/>
    <x v="2"/>
  </r>
  <r>
    <n v="5254"/>
    <s v="Thomas"/>
    <d v="2024-11-09T00:00:00"/>
    <s v="11/30/2024"/>
    <x v="2"/>
  </r>
  <r>
    <n v="6842"/>
    <s v="Cody"/>
    <s v="6/22/2023"/>
    <d v="2024-08-12T00:00:00"/>
    <x v="2"/>
  </r>
  <r>
    <n v="9333"/>
    <s v="Jonathon"/>
    <s v="12/17/2023"/>
    <s v="12/17/2024"/>
    <x v="1"/>
  </r>
  <r>
    <n v="9122"/>
    <s v="Kyle"/>
    <d v="2024-03-08T00:00:00"/>
    <d v="2024-11-12T00:00:00"/>
    <x v="2"/>
  </r>
  <r>
    <n v="6221"/>
    <s v="Jessica"/>
    <s v="11/16/2024"/>
    <s v="11/25/2024"/>
    <x v="1"/>
  </r>
  <r>
    <n v="9957"/>
    <s v="Richard"/>
    <d v="2023-08-11T00:00:00"/>
    <s v="12/13/2024"/>
    <x v="2"/>
  </r>
  <r>
    <n v="4680"/>
    <s v="Alexandria"/>
    <s v="12/16/2024"/>
    <d v="2024-11-12T00:00:00"/>
    <x v="1"/>
  </r>
  <r>
    <n v="5974"/>
    <s v="Spencer"/>
    <s v="10/20/2024"/>
    <s v="11/23/2024"/>
    <x v="2"/>
  </r>
  <r>
    <n v="6938"/>
    <s v="Diana"/>
    <d v="2024-05-05T00:00:00"/>
    <d v="2024-12-12T00:00:00"/>
    <x v="1"/>
  </r>
  <r>
    <n v="1175"/>
    <s v="Todd"/>
    <d v="2024-12-03T00:00:00"/>
    <s v="11/21/2024"/>
    <x v="2"/>
  </r>
  <r>
    <n v="1260"/>
    <s v="Harold"/>
    <d v="2024-12-03T00:00:00"/>
    <d v="2024-03-12T00:00:00"/>
    <x v="0"/>
  </r>
  <r>
    <n v="4645"/>
    <s v="Stephanie"/>
    <s v="5/30/2023"/>
    <s v="12/14/2024"/>
    <x v="0"/>
  </r>
  <r>
    <n v="1637"/>
    <s v="Kimberly"/>
    <d v="2024-05-04T00:00:00"/>
    <s v="11/19/2024"/>
    <x v="2"/>
  </r>
  <r>
    <n v="7960"/>
    <s v="Pamela"/>
    <d v="2023-09-01T00:00:00"/>
    <s v="11/22/2024"/>
    <x v="2"/>
  </r>
  <r>
    <n v="9693"/>
    <s v="Gregg"/>
    <s v="3/28/2024"/>
    <s v="11/30/2024"/>
    <x v="2"/>
  </r>
  <r>
    <n v="8743"/>
    <s v="Katherine"/>
    <s v="1/30/2024"/>
    <s v="11/25/2024"/>
    <x v="1"/>
  </r>
  <r>
    <n v="3379"/>
    <s v="Grant"/>
    <d v="2023-08-09T00:00:00"/>
    <d v="2024-12-12T00:00:00"/>
    <x v="2"/>
  </r>
  <r>
    <n v="7696"/>
    <s v="John"/>
    <d v="2023-07-11T00:00:00"/>
    <s v="11/30/2024"/>
    <x v="2"/>
  </r>
  <r>
    <n v="8552"/>
    <s v="Amber"/>
    <s v="11/22/2023"/>
    <s v="11/27/2024"/>
    <x v="2"/>
  </r>
  <r>
    <n v="5065"/>
    <s v="Daniel"/>
    <s v="2/24/2023"/>
    <s v="11/30/2024"/>
    <x v="1"/>
  </r>
  <r>
    <n v="6878"/>
    <s v="Mary"/>
    <s v="4/26/2024"/>
    <s v="11/27/2024"/>
    <x v="0"/>
  </r>
  <r>
    <n v="5681"/>
    <s v="Ryan"/>
    <d v="2024-08-05T00:00:00"/>
    <d v="2024-08-12T00:00:00"/>
    <x v="1"/>
  </r>
  <r>
    <n v="4448"/>
    <s v="David"/>
    <s v="3/23/2024"/>
    <s v="12/16/2024"/>
    <x v="1"/>
  </r>
  <r>
    <n v="5795"/>
    <s v="John"/>
    <s v="11/25/2023"/>
    <s v="12/13/2024"/>
    <x v="1"/>
  </r>
  <r>
    <n v="5320"/>
    <s v="Katherine"/>
    <s v="9/28/2023"/>
    <d v="2024-09-12T00:00: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</r>
  <r>
    <x v="1"/>
    <x v="1"/>
  </r>
  <r>
    <x v="0"/>
    <x v="0"/>
  </r>
  <r>
    <x v="1"/>
    <x v="2"/>
  </r>
  <r>
    <x v="1"/>
    <x v="3"/>
  </r>
  <r>
    <x v="2"/>
    <x v="3"/>
  </r>
  <r>
    <x v="0"/>
    <x v="4"/>
  </r>
  <r>
    <x v="3"/>
    <x v="0"/>
  </r>
  <r>
    <x v="1"/>
    <x v="5"/>
  </r>
  <r>
    <x v="4"/>
    <x v="3"/>
  </r>
  <r>
    <x v="4"/>
    <x v="5"/>
  </r>
  <r>
    <x v="0"/>
    <x v="1"/>
  </r>
  <r>
    <x v="3"/>
    <x v="1"/>
  </r>
  <r>
    <x v="2"/>
    <x v="3"/>
  </r>
  <r>
    <x v="2"/>
    <x v="3"/>
  </r>
  <r>
    <x v="0"/>
    <x v="4"/>
  </r>
  <r>
    <x v="1"/>
    <x v="4"/>
  </r>
  <r>
    <x v="0"/>
    <x v="6"/>
  </r>
  <r>
    <x v="2"/>
    <x v="5"/>
  </r>
  <r>
    <x v="3"/>
    <x v="0"/>
  </r>
  <r>
    <x v="0"/>
    <x v="1"/>
  </r>
  <r>
    <x v="4"/>
    <x v="4"/>
  </r>
  <r>
    <x v="0"/>
    <x v="6"/>
  </r>
  <r>
    <x v="4"/>
    <x v="2"/>
  </r>
  <r>
    <x v="4"/>
    <x v="6"/>
  </r>
  <r>
    <x v="2"/>
    <x v="4"/>
  </r>
  <r>
    <x v="2"/>
    <x v="0"/>
  </r>
  <r>
    <x v="0"/>
    <x v="6"/>
  </r>
  <r>
    <x v="0"/>
    <x v="4"/>
  </r>
  <r>
    <x v="4"/>
    <x v="5"/>
  </r>
  <r>
    <x v="4"/>
    <x v="3"/>
  </r>
  <r>
    <x v="1"/>
    <x v="6"/>
  </r>
  <r>
    <x v="1"/>
    <x v="4"/>
  </r>
  <r>
    <x v="1"/>
    <x v="2"/>
  </r>
  <r>
    <x v="2"/>
    <x v="4"/>
  </r>
  <r>
    <x v="4"/>
    <x v="5"/>
  </r>
  <r>
    <x v="0"/>
    <x v="2"/>
  </r>
  <r>
    <x v="1"/>
    <x v="6"/>
  </r>
  <r>
    <x v="2"/>
    <x v="3"/>
  </r>
  <r>
    <x v="0"/>
    <x v="2"/>
  </r>
  <r>
    <x v="0"/>
    <x v="6"/>
  </r>
  <r>
    <x v="3"/>
    <x v="5"/>
  </r>
  <r>
    <x v="3"/>
    <x v="6"/>
  </r>
  <r>
    <x v="2"/>
    <x v="6"/>
  </r>
  <r>
    <x v="1"/>
    <x v="2"/>
  </r>
  <r>
    <x v="0"/>
    <x v="3"/>
  </r>
  <r>
    <x v="3"/>
    <x v="5"/>
  </r>
  <r>
    <x v="2"/>
    <x v="1"/>
  </r>
  <r>
    <x v="0"/>
    <x v="6"/>
  </r>
  <r>
    <x v="3"/>
    <x v="5"/>
  </r>
  <r>
    <x v="2"/>
    <x v="2"/>
  </r>
  <r>
    <x v="2"/>
    <x v="3"/>
  </r>
  <r>
    <x v="0"/>
    <x v="4"/>
  </r>
  <r>
    <x v="3"/>
    <x v="6"/>
  </r>
  <r>
    <x v="3"/>
    <x v="3"/>
  </r>
  <r>
    <x v="2"/>
    <x v="5"/>
  </r>
  <r>
    <x v="3"/>
    <x v="1"/>
  </r>
  <r>
    <x v="4"/>
    <x v="4"/>
  </r>
  <r>
    <x v="2"/>
    <x v="5"/>
  </r>
  <r>
    <x v="1"/>
    <x v="0"/>
  </r>
  <r>
    <x v="0"/>
    <x v="0"/>
  </r>
  <r>
    <x v="1"/>
    <x v="4"/>
  </r>
  <r>
    <x v="0"/>
    <x v="5"/>
  </r>
  <r>
    <x v="2"/>
    <x v="2"/>
  </r>
  <r>
    <x v="4"/>
    <x v="3"/>
  </r>
  <r>
    <x v="2"/>
    <x v="3"/>
  </r>
  <r>
    <x v="4"/>
    <x v="0"/>
  </r>
  <r>
    <x v="0"/>
    <x v="3"/>
  </r>
  <r>
    <x v="4"/>
    <x v="4"/>
  </r>
  <r>
    <x v="4"/>
    <x v="3"/>
  </r>
  <r>
    <x v="4"/>
    <x v="6"/>
  </r>
  <r>
    <x v="0"/>
    <x v="2"/>
  </r>
  <r>
    <x v="0"/>
    <x v="0"/>
  </r>
  <r>
    <x v="0"/>
    <x v="3"/>
  </r>
  <r>
    <x v="4"/>
    <x v="5"/>
  </r>
  <r>
    <x v="4"/>
    <x v="2"/>
  </r>
  <r>
    <x v="4"/>
    <x v="1"/>
  </r>
  <r>
    <x v="1"/>
    <x v="0"/>
  </r>
  <r>
    <x v="2"/>
    <x v="6"/>
  </r>
  <r>
    <x v="4"/>
    <x v="5"/>
  </r>
  <r>
    <x v="1"/>
    <x v="1"/>
  </r>
  <r>
    <x v="3"/>
    <x v="6"/>
  </r>
  <r>
    <x v="1"/>
    <x v="1"/>
  </r>
  <r>
    <x v="2"/>
    <x v="5"/>
  </r>
  <r>
    <x v="3"/>
    <x v="6"/>
  </r>
  <r>
    <x v="2"/>
    <x v="1"/>
  </r>
  <r>
    <x v="4"/>
    <x v="3"/>
  </r>
  <r>
    <x v="0"/>
    <x v="5"/>
  </r>
  <r>
    <x v="3"/>
    <x v="1"/>
  </r>
  <r>
    <x v="4"/>
    <x v="1"/>
  </r>
  <r>
    <x v="0"/>
    <x v="5"/>
  </r>
  <r>
    <x v="4"/>
    <x v="5"/>
  </r>
  <r>
    <x v="0"/>
    <x v="2"/>
  </r>
  <r>
    <x v="4"/>
    <x v="1"/>
  </r>
  <r>
    <x v="4"/>
    <x v="4"/>
  </r>
  <r>
    <x v="0"/>
    <x v="0"/>
  </r>
  <r>
    <x v="1"/>
    <x v="5"/>
  </r>
  <r>
    <x v="4"/>
    <x v="3"/>
  </r>
  <r>
    <x v="1"/>
    <x v="2"/>
  </r>
  <r>
    <x v="1"/>
    <x v="6"/>
  </r>
  <r>
    <x v="0"/>
    <x v="0"/>
  </r>
  <r>
    <x v="4"/>
    <x v="4"/>
  </r>
  <r>
    <x v="3"/>
    <x v="0"/>
  </r>
  <r>
    <x v="4"/>
    <x v="3"/>
  </r>
  <r>
    <x v="2"/>
    <x v="2"/>
  </r>
  <r>
    <x v="3"/>
    <x v="5"/>
  </r>
  <r>
    <x v="2"/>
    <x v="3"/>
  </r>
  <r>
    <x v="4"/>
    <x v="6"/>
  </r>
  <r>
    <x v="3"/>
    <x v="6"/>
  </r>
  <r>
    <x v="3"/>
    <x v="4"/>
  </r>
  <r>
    <x v="3"/>
    <x v="4"/>
  </r>
  <r>
    <x v="0"/>
    <x v="5"/>
  </r>
  <r>
    <x v="1"/>
    <x v="4"/>
  </r>
  <r>
    <x v="1"/>
    <x v="3"/>
  </r>
  <r>
    <x v="3"/>
    <x v="4"/>
  </r>
  <r>
    <x v="2"/>
    <x v="1"/>
  </r>
  <r>
    <x v="4"/>
    <x v="3"/>
  </r>
  <r>
    <x v="4"/>
    <x v="1"/>
  </r>
  <r>
    <x v="3"/>
    <x v="1"/>
  </r>
  <r>
    <x v="3"/>
    <x v="5"/>
  </r>
  <r>
    <x v="4"/>
    <x v="2"/>
  </r>
  <r>
    <x v="3"/>
    <x v="6"/>
  </r>
  <r>
    <x v="2"/>
    <x v="2"/>
  </r>
  <r>
    <x v="4"/>
    <x v="6"/>
  </r>
  <r>
    <x v="1"/>
    <x v="4"/>
  </r>
  <r>
    <x v="3"/>
    <x v="1"/>
  </r>
  <r>
    <x v="4"/>
    <x v="2"/>
  </r>
  <r>
    <x v="1"/>
    <x v="0"/>
  </r>
  <r>
    <x v="2"/>
    <x v="2"/>
  </r>
  <r>
    <x v="3"/>
    <x v="4"/>
  </r>
  <r>
    <x v="2"/>
    <x v="1"/>
  </r>
  <r>
    <x v="1"/>
    <x v="5"/>
  </r>
  <r>
    <x v="0"/>
    <x v="2"/>
  </r>
  <r>
    <x v="3"/>
    <x v="4"/>
  </r>
  <r>
    <x v="2"/>
    <x v="1"/>
  </r>
  <r>
    <x v="2"/>
    <x v="1"/>
  </r>
  <r>
    <x v="0"/>
    <x v="1"/>
  </r>
  <r>
    <x v="4"/>
    <x v="3"/>
  </r>
  <r>
    <x v="3"/>
    <x v="0"/>
  </r>
  <r>
    <x v="1"/>
    <x v="1"/>
  </r>
  <r>
    <x v="4"/>
    <x v="5"/>
  </r>
  <r>
    <x v="0"/>
    <x v="1"/>
  </r>
  <r>
    <x v="0"/>
    <x v="0"/>
  </r>
  <r>
    <x v="1"/>
    <x v="2"/>
  </r>
  <r>
    <x v="3"/>
    <x v="2"/>
  </r>
  <r>
    <x v="1"/>
    <x v="1"/>
  </r>
  <r>
    <x v="1"/>
    <x v="2"/>
  </r>
  <r>
    <x v="3"/>
    <x v="0"/>
  </r>
  <r>
    <x v="0"/>
    <x v="4"/>
  </r>
  <r>
    <x v="3"/>
    <x v="5"/>
  </r>
  <r>
    <x v="1"/>
    <x v="5"/>
  </r>
  <r>
    <x v="3"/>
    <x v="6"/>
  </r>
  <r>
    <x v="0"/>
    <x v="4"/>
  </r>
  <r>
    <x v="0"/>
    <x v="0"/>
  </r>
  <r>
    <x v="4"/>
    <x v="1"/>
  </r>
  <r>
    <x v="2"/>
    <x v="1"/>
  </r>
  <r>
    <x v="2"/>
    <x v="6"/>
  </r>
  <r>
    <x v="0"/>
    <x v="2"/>
  </r>
  <r>
    <x v="1"/>
    <x v="4"/>
  </r>
  <r>
    <x v="3"/>
    <x v="2"/>
  </r>
  <r>
    <x v="3"/>
    <x v="5"/>
  </r>
  <r>
    <x v="3"/>
    <x v="0"/>
  </r>
  <r>
    <x v="0"/>
    <x v="4"/>
  </r>
  <r>
    <x v="2"/>
    <x v="6"/>
  </r>
  <r>
    <x v="3"/>
    <x v="5"/>
  </r>
  <r>
    <x v="0"/>
    <x v="3"/>
  </r>
  <r>
    <x v="1"/>
    <x v="5"/>
  </r>
  <r>
    <x v="2"/>
    <x v="1"/>
  </r>
  <r>
    <x v="0"/>
    <x v="1"/>
  </r>
  <r>
    <x v="3"/>
    <x v="4"/>
  </r>
  <r>
    <x v="0"/>
    <x v="2"/>
  </r>
  <r>
    <x v="1"/>
    <x v="5"/>
  </r>
  <r>
    <x v="3"/>
    <x v="5"/>
  </r>
  <r>
    <x v="2"/>
    <x v="2"/>
  </r>
  <r>
    <x v="3"/>
    <x v="1"/>
  </r>
  <r>
    <x v="0"/>
    <x v="2"/>
  </r>
  <r>
    <x v="3"/>
    <x v="0"/>
  </r>
  <r>
    <x v="4"/>
    <x v="4"/>
  </r>
  <r>
    <x v="4"/>
    <x v="3"/>
  </r>
  <r>
    <x v="1"/>
    <x v="6"/>
  </r>
  <r>
    <x v="3"/>
    <x v="2"/>
  </r>
  <r>
    <x v="1"/>
    <x v="0"/>
  </r>
  <r>
    <x v="0"/>
    <x v="1"/>
  </r>
  <r>
    <x v="4"/>
    <x v="0"/>
  </r>
  <r>
    <x v="0"/>
    <x v="0"/>
  </r>
  <r>
    <x v="2"/>
    <x v="3"/>
  </r>
  <r>
    <x v="0"/>
    <x v="5"/>
  </r>
  <r>
    <x v="2"/>
    <x v="5"/>
  </r>
  <r>
    <x v="0"/>
    <x v="1"/>
  </r>
  <r>
    <x v="0"/>
    <x v="5"/>
  </r>
  <r>
    <x v="1"/>
    <x v="0"/>
  </r>
  <r>
    <x v="3"/>
    <x v="6"/>
  </r>
  <r>
    <x v="0"/>
    <x v="0"/>
  </r>
  <r>
    <x v="1"/>
    <x v="1"/>
  </r>
  <r>
    <x v="1"/>
    <x v="6"/>
  </r>
  <r>
    <x v="1"/>
    <x v="2"/>
  </r>
  <r>
    <x v="0"/>
    <x v="1"/>
  </r>
  <r>
    <x v="4"/>
    <x v="4"/>
  </r>
  <r>
    <x v="1"/>
    <x v="5"/>
  </r>
  <r>
    <x v="2"/>
    <x v="5"/>
  </r>
  <r>
    <x v="3"/>
    <x v="6"/>
  </r>
  <r>
    <x v="3"/>
    <x v="2"/>
  </r>
  <r>
    <x v="3"/>
    <x v="6"/>
  </r>
  <r>
    <x v="0"/>
    <x v="0"/>
  </r>
  <r>
    <x v="3"/>
    <x v="1"/>
  </r>
  <r>
    <x v="3"/>
    <x v="2"/>
  </r>
  <r>
    <x v="4"/>
    <x v="2"/>
  </r>
  <r>
    <x v="3"/>
    <x v="0"/>
  </r>
  <r>
    <x v="4"/>
    <x v="5"/>
  </r>
  <r>
    <x v="2"/>
    <x v="0"/>
  </r>
  <r>
    <x v="3"/>
    <x v="4"/>
  </r>
  <r>
    <x v="1"/>
    <x v="0"/>
  </r>
  <r>
    <x v="0"/>
    <x v="4"/>
  </r>
  <r>
    <x v="0"/>
    <x v="1"/>
  </r>
  <r>
    <x v="4"/>
    <x v="2"/>
  </r>
  <r>
    <x v="0"/>
    <x v="6"/>
  </r>
  <r>
    <x v="4"/>
    <x v="2"/>
  </r>
  <r>
    <x v="3"/>
    <x v="6"/>
  </r>
  <r>
    <x v="0"/>
    <x v="1"/>
  </r>
  <r>
    <x v="0"/>
    <x v="5"/>
  </r>
  <r>
    <x v="4"/>
    <x v="0"/>
  </r>
  <r>
    <x v="1"/>
    <x v="5"/>
  </r>
  <r>
    <x v="1"/>
    <x v="0"/>
  </r>
  <r>
    <x v="3"/>
    <x v="2"/>
  </r>
  <r>
    <x v="1"/>
    <x v="3"/>
  </r>
  <r>
    <x v="1"/>
    <x v="2"/>
  </r>
  <r>
    <x v="2"/>
    <x v="5"/>
  </r>
  <r>
    <x v="2"/>
    <x v="0"/>
  </r>
  <r>
    <x v="2"/>
    <x v="4"/>
  </r>
  <r>
    <x v="4"/>
    <x v="4"/>
  </r>
  <r>
    <x v="4"/>
    <x v="1"/>
  </r>
  <r>
    <x v="4"/>
    <x v="3"/>
  </r>
  <r>
    <x v="4"/>
    <x v="2"/>
  </r>
  <r>
    <x v="3"/>
    <x v="1"/>
  </r>
  <r>
    <x v="2"/>
    <x v="1"/>
  </r>
  <r>
    <x v="0"/>
    <x v="6"/>
  </r>
  <r>
    <x v="1"/>
    <x v="2"/>
  </r>
  <r>
    <x v="2"/>
    <x v="0"/>
  </r>
  <r>
    <x v="1"/>
    <x v="4"/>
  </r>
  <r>
    <x v="1"/>
    <x v="6"/>
  </r>
  <r>
    <x v="0"/>
    <x v="0"/>
  </r>
  <r>
    <x v="4"/>
    <x v="5"/>
  </r>
  <r>
    <x v="1"/>
    <x v="5"/>
  </r>
  <r>
    <x v="4"/>
    <x v="0"/>
  </r>
  <r>
    <x v="3"/>
    <x v="3"/>
  </r>
  <r>
    <x v="1"/>
    <x v="4"/>
  </r>
  <r>
    <x v="0"/>
    <x v="0"/>
  </r>
  <r>
    <x v="2"/>
    <x v="2"/>
  </r>
  <r>
    <x v="1"/>
    <x v="5"/>
  </r>
  <r>
    <x v="3"/>
    <x v="6"/>
  </r>
  <r>
    <x v="3"/>
    <x v="3"/>
  </r>
  <r>
    <x v="2"/>
    <x v="1"/>
  </r>
  <r>
    <x v="0"/>
    <x v="0"/>
  </r>
  <r>
    <x v="3"/>
    <x v="6"/>
  </r>
  <r>
    <x v="1"/>
    <x v="0"/>
  </r>
  <r>
    <x v="0"/>
    <x v="4"/>
  </r>
  <r>
    <x v="1"/>
    <x v="0"/>
  </r>
  <r>
    <x v="1"/>
    <x v="3"/>
  </r>
  <r>
    <x v="1"/>
    <x v="2"/>
  </r>
  <r>
    <x v="4"/>
    <x v="6"/>
  </r>
  <r>
    <x v="1"/>
    <x v="0"/>
  </r>
  <r>
    <x v="4"/>
    <x v="4"/>
  </r>
  <r>
    <x v="3"/>
    <x v="1"/>
  </r>
  <r>
    <x v="0"/>
    <x v="6"/>
  </r>
  <r>
    <x v="4"/>
    <x v="5"/>
  </r>
  <r>
    <x v="1"/>
    <x v="3"/>
  </r>
  <r>
    <x v="1"/>
    <x v="5"/>
  </r>
  <r>
    <x v="1"/>
    <x v="1"/>
  </r>
  <r>
    <x v="1"/>
    <x v="3"/>
  </r>
  <r>
    <x v="1"/>
    <x v="6"/>
  </r>
  <r>
    <x v="3"/>
    <x v="0"/>
  </r>
  <r>
    <x v="3"/>
    <x v="6"/>
  </r>
  <r>
    <x v="4"/>
    <x v="6"/>
  </r>
  <r>
    <x v="3"/>
    <x v="1"/>
  </r>
  <r>
    <x v="0"/>
    <x v="0"/>
  </r>
  <r>
    <x v="3"/>
    <x v="3"/>
  </r>
  <r>
    <x v="0"/>
    <x v="2"/>
  </r>
  <r>
    <x v="4"/>
    <x v="2"/>
  </r>
  <r>
    <x v="2"/>
    <x v="4"/>
  </r>
  <r>
    <x v="3"/>
    <x v="2"/>
  </r>
  <r>
    <x v="1"/>
    <x v="6"/>
  </r>
  <r>
    <x v="0"/>
    <x v="2"/>
  </r>
  <r>
    <x v="2"/>
    <x v="4"/>
  </r>
  <r>
    <x v="1"/>
    <x v="3"/>
  </r>
  <r>
    <x v="1"/>
    <x v="5"/>
  </r>
  <r>
    <x v="3"/>
    <x v="4"/>
  </r>
  <r>
    <x v="2"/>
    <x v="3"/>
  </r>
  <r>
    <x v="3"/>
    <x v="4"/>
  </r>
  <r>
    <x v="2"/>
    <x v="4"/>
  </r>
  <r>
    <x v="3"/>
    <x v="1"/>
  </r>
  <r>
    <x v="1"/>
    <x v="4"/>
  </r>
  <r>
    <x v="0"/>
    <x v="3"/>
  </r>
  <r>
    <x v="0"/>
    <x v="4"/>
  </r>
  <r>
    <x v="2"/>
    <x v="1"/>
  </r>
  <r>
    <x v="4"/>
    <x v="6"/>
  </r>
  <r>
    <x v="3"/>
    <x v="2"/>
  </r>
  <r>
    <x v="1"/>
    <x v="3"/>
  </r>
  <r>
    <x v="4"/>
    <x v="1"/>
  </r>
  <r>
    <x v="4"/>
    <x v="5"/>
  </r>
  <r>
    <x v="3"/>
    <x v="3"/>
  </r>
  <r>
    <x v="4"/>
    <x v="6"/>
  </r>
  <r>
    <x v="0"/>
    <x v="1"/>
  </r>
  <r>
    <x v="4"/>
    <x v="1"/>
  </r>
  <r>
    <x v="4"/>
    <x v="1"/>
  </r>
  <r>
    <x v="3"/>
    <x v="6"/>
  </r>
  <r>
    <x v="4"/>
    <x v="2"/>
  </r>
  <r>
    <x v="3"/>
    <x v="5"/>
  </r>
  <r>
    <x v="0"/>
    <x v="3"/>
  </r>
  <r>
    <x v="1"/>
    <x v="1"/>
  </r>
  <r>
    <x v="1"/>
    <x v="1"/>
  </r>
  <r>
    <x v="3"/>
    <x v="6"/>
  </r>
  <r>
    <x v="3"/>
    <x v="6"/>
  </r>
  <r>
    <x v="2"/>
    <x v="4"/>
  </r>
  <r>
    <x v="2"/>
    <x v="1"/>
  </r>
  <r>
    <x v="2"/>
    <x v="6"/>
  </r>
  <r>
    <x v="4"/>
    <x v="5"/>
  </r>
  <r>
    <x v="1"/>
    <x v="3"/>
  </r>
  <r>
    <x v="1"/>
    <x v="6"/>
  </r>
  <r>
    <x v="1"/>
    <x v="1"/>
  </r>
  <r>
    <x v="4"/>
    <x v="0"/>
  </r>
  <r>
    <x v="3"/>
    <x v="5"/>
  </r>
  <r>
    <x v="4"/>
    <x v="1"/>
  </r>
  <r>
    <x v="3"/>
    <x v="1"/>
  </r>
  <r>
    <x v="3"/>
    <x v="3"/>
  </r>
  <r>
    <x v="2"/>
    <x v="0"/>
  </r>
  <r>
    <x v="3"/>
    <x v="2"/>
  </r>
  <r>
    <x v="1"/>
    <x v="1"/>
  </r>
  <r>
    <x v="4"/>
    <x v="5"/>
  </r>
  <r>
    <x v="1"/>
    <x v="0"/>
  </r>
  <r>
    <x v="1"/>
    <x v="2"/>
  </r>
  <r>
    <x v="2"/>
    <x v="6"/>
  </r>
  <r>
    <x v="3"/>
    <x v="4"/>
  </r>
  <r>
    <x v="3"/>
    <x v="3"/>
  </r>
  <r>
    <x v="3"/>
    <x v="0"/>
  </r>
  <r>
    <x v="0"/>
    <x v="1"/>
  </r>
  <r>
    <x v="0"/>
    <x v="3"/>
  </r>
  <r>
    <x v="1"/>
    <x v="2"/>
  </r>
  <r>
    <x v="1"/>
    <x v="4"/>
  </r>
  <r>
    <x v="2"/>
    <x v="2"/>
  </r>
  <r>
    <x v="4"/>
    <x v="1"/>
  </r>
  <r>
    <x v="0"/>
    <x v="1"/>
  </r>
  <r>
    <x v="3"/>
    <x v="4"/>
  </r>
  <r>
    <x v="3"/>
    <x v="5"/>
  </r>
  <r>
    <x v="4"/>
    <x v="0"/>
  </r>
  <r>
    <x v="4"/>
    <x v="2"/>
  </r>
  <r>
    <x v="1"/>
    <x v="4"/>
  </r>
  <r>
    <x v="2"/>
    <x v="2"/>
  </r>
  <r>
    <x v="4"/>
    <x v="5"/>
  </r>
  <r>
    <x v="2"/>
    <x v="3"/>
  </r>
  <r>
    <x v="4"/>
    <x v="6"/>
  </r>
  <r>
    <x v="1"/>
    <x v="6"/>
  </r>
  <r>
    <x v="3"/>
    <x v="0"/>
  </r>
  <r>
    <x v="0"/>
    <x v="5"/>
  </r>
  <r>
    <x v="0"/>
    <x v="2"/>
  </r>
  <r>
    <x v="1"/>
    <x v="0"/>
  </r>
  <r>
    <x v="3"/>
    <x v="3"/>
  </r>
  <r>
    <x v="1"/>
    <x v="6"/>
  </r>
  <r>
    <x v="1"/>
    <x v="4"/>
  </r>
  <r>
    <x v="0"/>
    <x v="4"/>
  </r>
  <r>
    <x v="3"/>
    <x v="5"/>
  </r>
  <r>
    <x v="3"/>
    <x v="4"/>
  </r>
  <r>
    <x v="3"/>
    <x v="3"/>
  </r>
  <r>
    <x v="1"/>
    <x v="6"/>
  </r>
  <r>
    <x v="4"/>
    <x v="3"/>
  </r>
  <r>
    <x v="3"/>
    <x v="3"/>
  </r>
  <r>
    <x v="2"/>
    <x v="0"/>
  </r>
  <r>
    <x v="0"/>
    <x v="0"/>
  </r>
  <r>
    <x v="4"/>
    <x v="2"/>
  </r>
  <r>
    <x v="0"/>
    <x v="3"/>
  </r>
  <r>
    <x v="4"/>
    <x v="1"/>
  </r>
  <r>
    <x v="2"/>
    <x v="1"/>
  </r>
  <r>
    <x v="3"/>
    <x v="6"/>
  </r>
  <r>
    <x v="4"/>
    <x v="4"/>
  </r>
  <r>
    <x v="2"/>
    <x v="5"/>
  </r>
  <r>
    <x v="4"/>
    <x v="2"/>
  </r>
  <r>
    <x v="4"/>
    <x v="3"/>
  </r>
  <r>
    <x v="0"/>
    <x v="4"/>
  </r>
  <r>
    <x v="1"/>
    <x v="3"/>
  </r>
  <r>
    <x v="1"/>
    <x v="5"/>
  </r>
  <r>
    <x v="1"/>
    <x v="4"/>
  </r>
  <r>
    <x v="3"/>
    <x v="1"/>
  </r>
  <r>
    <x v="2"/>
    <x v="6"/>
  </r>
  <r>
    <x v="2"/>
    <x v="5"/>
  </r>
  <r>
    <x v="0"/>
    <x v="6"/>
  </r>
  <r>
    <x v="1"/>
    <x v="6"/>
  </r>
  <r>
    <x v="4"/>
    <x v="6"/>
  </r>
  <r>
    <x v="1"/>
    <x v="6"/>
  </r>
  <r>
    <x v="1"/>
    <x v="6"/>
  </r>
  <r>
    <x v="3"/>
    <x v="1"/>
  </r>
  <r>
    <x v="4"/>
    <x v="2"/>
  </r>
  <r>
    <x v="2"/>
    <x v="3"/>
  </r>
  <r>
    <x v="4"/>
    <x v="2"/>
  </r>
  <r>
    <x v="3"/>
    <x v="3"/>
  </r>
  <r>
    <x v="0"/>
    <x v="4"/>
  </r>
  <r>
    <x v="4"/>
    <x v="4"/>
  </r>
  <r>
    <x v="4"/>
    <x v="5"/>
  </r>
  <r>
    <x v="0"/>
    <x v="6"/>
  </r>
  <r>
    <x v="2"/>
    <x v="3"/>
  </r>
  <r>
    <x v="3"/>
    <x v="5"/>
  </r>
  <r>
    <x v="3"/>
    <x v="3"/>
  </r>
  <r>
    <x v="3"/>
    <x v="2"/>
  </r>
  <r>
    <x v="0"/>
    <x v="1"/>
  </r>
  <r>
    <x v="0"/>
    <x v="4"/>
  </r>
  <r>
    <x v="4"/>
    <x v="4"/>
  </r>
  <r>
    <x v="3"/>
    <x v="2"/>
  </r>
  <r>
    <x v="2"/>
    <x v="2"/>
  </r>
  <r>
    <x v="3"/>
    <x v="0"/>
  </r>
  <r>
    <x v="2"/>
    <x v="2"/>
  </r>
  <r>
    <x v="3"/>
    <x v="5"/>
  </r>
  <r>
    <x v="3"/>
    <x v="1"/>
  </r>
  <r>
    <x v="0"/>
    <x v="5"/>
  </r>
  <r>
    <x v="0"/>
    <x v="5"/>
  </r>
  <r>
    <x v="4"/>
    <x v="1"/>
  </r>
  <r>
    <x v="4"/>
    <x v="6"/>
  </r>
  <r>
    <x v="0"/>
    <x v="6"/>
  </r>
  <r>
    <x v="3"/>
    <x v="6"/>
  </r>
  <r>
    <x v="4"/>
    <x v="1"/>
  </r>
  <r>
    <x v="3"/>
    <x v="0"/>
  </r>
  <r>
    <x v="0"/>
    <x v="0"/>
  </r>
  <r>
    <x v="1"/>
    <x v="4"/>
  </r>
  <r>
    <x v="4"/>
    <x v="4"/>
  </r>
  <r>
    <x v="1"/>
    <x v="2"/>
  </r>
  <r>
    <x v="4"/>
    <x v="3"/>
  </r>
  <r>
    <x v="2"/>
    <x v="6"/>
  </r>
  <r>
    <x v="1"/>
    <x v="4"/>
  </r>
  <r>
    <x v="2"/>
    <x v="0"/>
  </r>
  <r>
    <x v="3"/>
    <x v="6"/>
  </r>
  <r>
    <x v="4"/>
    <x v="4"/>
  </r>
  <r>
    <x v="1"/>
    <x v="5"/>
  </r>
  <r>
    <x v="4"/>
    <x v="3"/>
  </r>
  <r>
    <x v="4"/>
    <x v="5"/>
  </r>
  <r>
    <x v="3"/>
    <x v="2"/>
  </r>
  <r>
    <x v="4"/>
    <x v="1"/>
  </r>
  <r>
    <x v="3"/>
    <x v="1"/>
  </r>
  <r>
    <x v="3"/>
    <x v="3"/>
  </r>
  <r>
    <x v="4"/>
    <x v="6"/>
  </r>
  <r>
    <x v="3"/>
    <x v="4"/>
  </r>
  <r>
    <x v="1"/>
    <x v="3"/>
  </r>
  <r>
    <x v="2"/>
    <x v="3"/>
  </r>
  <r>
    <x v="4"/>
    <x v="5"/>
  </r>
  <r>
    <x v="4"/>
    <x v="1"/>
  </r>
  <r>
    <x v="4"/>
    <x v="6"/>
  </r>
  <r>
    <x v="4"/>
    <x v="5"/>
  </r>
  <r>
    <x v="2"/>
    <x v="3"/>
  </r>
  <r>
    <x v="0"/>
    <x v="2"/>
  </r>
  <r>
    <x v="0"/>
    <x v="5"/>
  </r>
  <r>
    <x v="3"/>
    <x v="1"/>
  </r>
  <r>
    <x v="1"/>
    <x v="2"/>
  </r>
  <r>
    <x v="1"/>
    <x v="1"/>
  </r>
  <r>
    <x v="3"/>
    <x v="4"/>
  </r>
  <r>
    <x v="4"/>
    <x v="6"/>
  </r>
  <r>
    <x v="1"/>
    <x v="5"/>
  </r>
  <r>
    <x v="4"/>
    <x v="6"/>
  </r>
  <r>
    <x v="0"/>
    <x v="0"/>
  </r>
  <r>
    <x v="2"/>
    <x v="2"/>
  </r>
  <r>
    <x v="0"/>
    <x v="5"/>
  </r>
  <r>
    <x v="3"/>
    <x v="6"/>
  </r>
  <r>
    <x v="0"/>
    <x v="1"/>
  </r>
  <r>
    <x v="4"/>
    <x v="1"/>
  </r>
  <r>
    <x v="2"/>
    <x v="6"/>
  </r>
  <r>
    <x v="2"/>
    <x v="6"/>
  </r>
  <r>
    <x v="2"/>
    <x v="3"/>
  </r>
  <r>
    <x v="0"/>
    <x v="6"/>
  </r>
  <r>
    <x v="0"/>
    <x v="6"/>
  </r>
  <r>
    <x v="3"/>
    <x v="3"/>
  </r>
  <r>
    <x v="4"/>
    <x v="5"/>
  </r>
  <r>
    <x v="0"/>
    <x v="6"/>
  </r>
  <r>
    <x v="0"/>
    <x v="4"/>
  </r>
  <r>
    <x v="1"/>
    <x v="4"/>
  </r>
  <r>
    <x v="0"/>
    <x v="4"/>
  </r>
  <r>
    <x v="3"/>
    <x v="2"/>
  </r>
  <r>
    <x v="0"/>
    <x v="6"/>
  </r>
  <r>
    <x v="2"/>
    <x v="5"/>
  </r>
  <r>
    <x v="1"/>
    <x v="3"/>
  </r>
  <r>
    <x v="2"/>
    <x v="0"/>
  </r>
  <r>
    <x v="2"/>
    <x v="2"/>
  </r>
  <r>
    <x v="4"/>
    <x v="3"/>
  </r>
  <r>
    <x v="1"/>
    <x v="4"/>
  </r>
  <r>
    <x v="2"/>
    <x v="6"/>
  </r>
  <r>
    <x v="2"/>
    <x v="5"/>
  </r>
  <r>
    <x v="3"/>
    <x v="0"/>
  </r>
  <r>
    <x v="4"/>
    <x v="2"/>
  </r>
  <r>
    <x v="3"/>
    <x v="0"/>
  </r>
  <r>
    <x v="3"/>
    <x v="2"/>
  </r>
  <r>
    <x v="3"/>
    <x v="1"/>
  </r>
  <r>
    <x v="4"/>
    <x v="3"/>
  </r>
  <r>
    <x v="2"/>
    <x v="0"/>
  </r>
  <r>
    <x v="0"/>
    <x v="3"/>
  </r>
  <r>
    <x v="2"/>
    <x v="4"/>
  </r>
  <r>
    <x v="3"/>
    <x v="0"/>
  </r>
  <r>
    <x v="0"/>
    <x v="4"/>
  </r>
  <r>
    <x v="4"/>
    <x v="5"/>
  </r>
  <r>
    <x v="0"/>
    <x v="6"/>
  </r>
  <r>
    <x v="3"/>
    <x v="3"/>
  </r>
  <r>
    <x v="2"/>
    <x v="2"/>
  </r>
  <r>
    <x v="2"/>
    <x v="1"/>
  </r>
  <r>
    <x v="3"/>
    <x v="5"/>
  </r>
  <r>
    <x v="4"/>
    <x v="3"/>
  </r>
  <r>
    <x v="1"/>
    <x v="4"/>
  </r>
  <r>
    <x v="3"/>
    <x v="0"/>
  </r>
  <r>
    <x v="4"/>
    <x v="4"/>
  </r>
  <r>
    <x v="1"/>
    <x v="3"/>
  </r>
  <r>
    <x v="3"/>
    <x v="6"/>
  </r>
  <r>
    <x v="1"/>
    <x v="1"/>
  </r>
  <r>
    <x v="2"/>
    <x v="5"/>
  </r>
  <r>
    <x v="1"/>
    <x v="4"/>
  </r>
  <r>
    <x v="2"/>
    <x v="6"/>
  </r>
  <r>
    <x v="0"/>
    <x v="1"/>
  </r>
  <r>
    <x v="4"/>
    <x v="6"/>
  </r>
  <r>
    <x v="0"/>
    <x v="0"/>
  </r>
  <r>
    <x v="4"/>
    <x v="0"/>
  </r>
  <r>
    <x v="1"/>
    <x v="3"/>
  </r>
  <r>
    <x v="2"/>
    <x v="4"/>
  </r>
  <r>
    <x v="3"/>
    <x v="2"/>
  </r>
  <r>
    <x v="4"/>
    <x v="4"/>
  </r>
  <r>
    <x v="2"/>
    <x v="5"/>
  </r>
  <r>
    <x v="0"/>
    <x v="0"/>
  </r>
  <r>
    <x v="3"/>
    <x v="4"/>
  </r>
  <r>
    <x v="1"/>
    <x v="5"/>
  </r>
  <r>
    <x v="1"/>
    <x v="4"/>
  </r>
  <r>
    <x v="3"/>
    <x v="5"/>
  </r>
  <r>
    <x v="3"/>
    <x v="3"/>
  </r>
  <r>
    <x v="1"/>
    <x v="1"/>
  </r>
  <r>
    <x v="3"/>
    <x v="4"/>
  </r>
  <r>
    <x v="4"/>
    <x v="1"/>
  </r>
  <r>
    <x v="3"/>
    <x v="4"/>
  </r>
  <r>
    <x v="3"/>
    <x v="6"/>
  </r>
  <r>
    <x v="0"/>
    <x v="0"/>
  </r>
  <r>
    <x v="0"/>
    <x v="6"/>
  </r>
  <r>
    <x v="3"/>
    <x v="6"/>
  </r>
  <r>
    <x v="2"/>
    <x v="6"/>
  </r>
  <r>
    <x v="3"/>
    <x v="5"/>
  </r>
  <r>
    <x v="0"/>
    <x v="5"/>
  </r>
  <r>
    <x v="0"/>
    <x v="3"/>
  </r>
  <r>
    <x v="1"/>
    <x v="5"/>
  </r>
  <r>
    <x v="2"/>
    <x v="0"/>
  </r>
  <r>
    <x v="1"/>
    <x v="0"/>
  </r>
  <r>
    <x v="3"/>
    <x v="0"/>
  </r>
  <r>
    <x v="1"/>
    <x v="4"/>
  </r>
  <r>
    <x v="1"/>
    <x v="0"/>
  </r>
  <r>
    <x v="3"/>
    <x v="1"/>
  </r>
  <r>
    <x v="0"/>
    <x v="6"/>
  </r>
  <r>
    <x v="4"/>
    <x v="3"/>
  </r>
  <r>
    <x v="3"/>
    <x v="1"/>
  </r>
  <r>
    <x v="0"/>
    <x v="6"/>
  </r>
  <r>
    <x v="0"/>
    <x v="6"/>
  </r>
  <r>
    <x v="4"/>
    <x v="4"/>
  </r>
  <r>
    <x v="1"/>
    <x v="5"/>
  </r>
  <r>
    <x v="4"/>
    <x v="4"/>
  </r>
  <r>
    <x v="2"/>
    <x v="3"/>
  </r>
  <r>
    <x v="1"/>
    <x v="0"/>
  </r>
  <r>
    <x v="3"/>
    <x v="6"/>
  </r>
  <r>
    <x v="1"/>
    <x v="6"/>
  </r>
  <r>
    <x v="2"/>
    <x v="1"/>
  </r>
  <r>
    <x v="0"/>
    <x v="0"/>
  </r>
  <r>
    <x v="4"/>
    <x v="0"/>
  </r>
  <r>
    <x v="0"/>
    <x v="2"/>
  </r>
  <r>
    <x v="1"/>
    <x v="2"/>
  </r>
  <r>
    <x v="3"/>
    <x v="4"/>
  </r>
  <r>
    <x v="1"/>
    <x v="5"/>
  </r>
  <r>
    <x v="2"/>
    <x v="3"/>
  </r>
  <r>
    <x v="3"/>
    <x v="4"/>
  </r>
  <r>
    <x v="4"/>
    <x v="1"/>
  </r>
  <r>
    <x v="0"/>
    <x v="1"/>
  </r>
  <r>
    <x v="2"/>
    <x v="3"/>
  </r>
  <r>
    <x v="0"/>
    <x v="5"/>
  </r>
  <r>
    <x v="2"/>
    <x v="2"/>
  </r>
  <r>
    <x v="3"/>
    <x v="0"/>
  </r>
  <r>
    <x v="1"/>
    <x v="4"/>
  </r>
  <r>
    <x v="0"/>
    <x v="5"/>
  </r>
  <r>
    <x v="2"/>
    <x v="3"/>
  </r>
  <r>
    <x v="2"/>
    <x v="1"/>
  </r>
  <r>
    <x v="0"/>
    <x v="5"/>
  </r>
  <r>
    <x v="4"/>
    <x v="6"/>
  </r>
  <r>
    <x v="2"/>
    <x v="0"/>
  </r>
  <r>
    <x v="2"/>
    <x v="2"/>
  </r>
  <r>
    <x v="3"/>
    <x v="4"/>
  </r>
  <r>
    <x v="2"/>
    <x v="6"/>
  </r>
  <r>
    <x v="0"/>
    <x v="3"/>
  </r>
  <r>
    <x v="1"/>
    <x v="4"/>
  </r>
  <r>
    <x v="1"/>
    <x v="4"/>
  </r>
  <r>
    <x v="1"/>
    <x v="4"/>
  </r>
  <r>
    <x v="4"/>
    <x v="3"/>
  </r>
  <r>
    <x v="0"/>
    <x v="3"/>
  </r>
  <r>
    <x v="3"/>
    <x v="6"/>
  </r>
  <r>
    <x v="4"/>
    <x v="4"/>
  </r>
  <r>
    <x v="4"/>
    <x v="5"/>
  </r>
  <r>
    <x v="4"/>
    <x v="0"/>
  </r>
  <r>
    <x v="2"/>
    <x v="3"/>
  </r>
  <r>
    <x v="1"/>
    <x v="6"/>
  </r>
  <r>
    <x v="3"/>
    <x v="3"/>
  </r>
  <r>
    <x v="3"/>
    <x v="5"/>
  </r>
  <r>
    <x v="4"/>
    <x v="1"/>
  </r>
  <r>
    <x v="1"/>
    <x v="4"/>
  </r>
  <r>
    <x v="3"/>
    <x v="3"/>
  </r>
  <r>
    <x v="2"/>
    <x v="3"/>
  </r>
  <r>
    <x v="3"/>
    <x v="0"/>
  </r>
  <r>
    <x v="0"/>
    <x v="2"/>
  </r>
  <r>
    <x v="4"/>
    <x v="4"/>
  </r>
  <r>
    <x v="0"/>
    <x v="3"/>
  </r>
  <r>
    <x v="2"/>
    <x v="0"/>
  </r>
  <r>
    <x v="3"/>
    <x v="0"/>
  </r>
  <r>
    <x v="0"/>
    <x v="5"/>
  </r>
  <r>
    <x v="0"/>
    <x v="5"/>
  </r>
  <r>
    <x v="4"/>
    <x v="6"/>
  </r>
  <r>
    <x v="1"/>
    <x v="1"/>
  </r>
  <r>
    <x v="4"/>
    <x v="0"/>
  </r>
  <r>
    <x v="0"/>
    <x v="5"/>
  </r>
  <r>
    <x v="4"/>
    <x v="0"/>
  </r>
  <r>
    <x v="4"/>
    <x v="0"/>
  </r>
  <r>
    <x v="2"/>
    <x v="3"/>
  </r>
  <r>
    <x v="1"/>
    <x v="1"/>
  </r>
  <r>
    <x v="2"/>
    <x v="3"/>
  </r>
  <r>
    <x v="4"/>
    <x v="6"/>
  </r>
  <r>
    <x v="3"/>
    <x v="2"/>
  </r>
  <r>
    <x v="1"/>
    <x v="4"/>
  </r>
  <r>
    <x v="1"/>
    <x v="0"/>
  </r>
  <r>
    <x v="0"/>
    <x v="6"/>
  </r>
  <r>
    <x v="4"/>
    <x v="0"/>
  </r>
  <r>
    <x v="0"/>
    <x v="5"/>
  </r>
  <r>
    <x v="4"/>
    <x v="4"/>
  </r>
  <r>
    <x v="2"/>
    <x v="5"/>
  </r>
  <r>
    <x v="2"/>
    <x v="6"/>
  </r>
  <r>
    <x v="1"/>
    <x v="0"/>
  </r>
  <r>
    <x v="3"/>
    <x v="5"/>
  </r>
  <r>
    <x v="0"/>
    <x v="5"/>
  </r>
  <r>
    <x v="4"/>
    <x v="5"/>
  </r>
  <r>
    <x v="2"/>
    <x v="2"/>
  </r>
  <r>
    <x v="2"/>
    <x v="3"/>
  </r>
  <r>
    <x v="1"/>
    <x v="1"/>
  </r>
  <r>
    <x v="4"/>
    <x v="4"/>
  </r>
  <r>
    <x v="0"/>
    <x v="4"/>
  </r>
  <r>
    <x v="3"/>
    <x v="2"/>
  </r>
  <r>
    <x v="3"/>
    <x v="0"/>
  </r>
  <r>
    <x v="4"/>
    <x v="5"/>
  </r>
  <r>
    <x v="1"/>
    <x v="5"/>
  </r>
  <r>
    <x v="1"/>
    <x v="6"/>
  </r>
  <r>
    <x v="2"/>
    <x v="1"/>
  </r>
  <r>
    <x v="4"/>
    <x v="2"/>
  </r>
  <r>
    <x v="2"/>
    <x v="3"/>
  </r>
  <r>
    <x v="3"/>
    <x v="6"/>
  </r>
  <r>
    <x v="1"/>
    <x v="1"/>
  </r>
  <r>
    <x v="4"/>
    <x v="4"/>
  </r>
  <r>
    <x v="3"/>
    <x v="1"/>
  </r>
  <r>
    <x v="2"/>
    <x v="4"/>
  </r>
  <r>
    <x v="0"/>
    <x v="4"/>
  </r>
  <r>
    <x v="2"/>
    <x v="3"/>
  </r>
  <r>
    <x v="3"/>
    <x v="1"/>
  </r>
  <r>
    <x v="3"/>
    <x v="0"/>
  </r>
  <r>
    <x v="1"/>
    <x v="3"/>
  </r>
  <r>
    <x v="3"/>
    <x v="0"/>
  </r>
  <r>
    <x v="0"/>
    <x v="0"/>
  </r>
  <r>
    <x v="0"/>
    <x v="1"/>
  </r>
  <r>
    <x v="0"/>
    <x v="3"/>
  </r>
  <r>
    <x v="0"/>
    <x v="4"/>
  </r>
  <r>
    <x v="0"/>
    <x v="1"/>
  </r>
  <r>
    <x v="2"/>
    <x v="3"/>
  </r>
  <r>
    <x v="2"/>
    <x v="5"/>
  </r>
  <r>
    <x v="3"/>
    <x v="6"/>
  </r>
  <r>
    <x v="2"/>
    <x v="6"/>
  </r>
  <r>
    <x v="4"/>
    <x v="4"/>
  </r>
  <r>
    <x v="3"/>
    <x v="6"/>
  </r>
  <r>
    <x v="0"/>
    <x v="4"/>
  </r>
  <r>
    <x v="2"/>
    <x v="5"/>
  </r>
  <r>
    <x v="4"/>
    <x v="4"/>
  </r>
  <r>
    <x v="4"/>
    <x v="5"/>
  </r>
  <r>
    <x v="2"/>
    <x v="1"/>
  </r>
  <r>
    <x v="1"/>
    <x v="4"/>
  </r>
  <r>
    <x v="1"/>
    <x v="4"/>
  </r>
  <r>
    <x v="0"/>
    <x v="5"/>
  </r>
  <r>
    <x v="4"/>
    <x v="2"/>
  </r>
  <r>
    <x v="2"/>
    <x v="2"/>
  </r>
  <r>
    <x v="4"/>
    <x v="0"/>
  </r>
  <r>
    <x v="2"/>
    <x v="1"/>
  </r>
  <r>
    <x v="0"/>
    <x v="6"/>
  </r>
  <r>
    <x v="3"/>
    <x v="4"/>
  </r>
  <r>
    <x v="0"/>
    <x v="2"/>
  </r>
  <r>
    <x v="4"/>
    <x v="0"/>
  </r>
  <r>
    <x v="3"/>
    <x v="4"/>
  </r>
  <r>
    <x v="4"/>
    <x v="4"/>
  </r>
  <r>
    <x v="4"/>
    <x v="3"/>
  </r>
  <r>
    <x v="3"/>
    <x v="0"/>
  </r>
  <r>
    <x v="0"/>
    <x v="0"/>
  </r>
  <r>
    <x v="4"/>
    <x v="5"/>
  </r>
  <r>
    <x v="4"/>
    <x v="5"/>
  </r>
  <r>
    <x v="2"/>
    <x v="4"/>
  </r>
  <r>
    <x v="4"/>
    <x v="5"/>
  </r>
  <r>
    <x v="4"/>
    <x v="4"/>
  </r>
  <r>
    <x v="3"/>
    <x v="0"/>
  </r>
  <r>
    <x v="2"/>
    <x v="3"/>
  </r>
  <r>
    <x v="4"/>
    <x v="0"/>
  </r>
  <r>
    <x v="1"/>
    <x v="6"/>
  </r>
  <r>
    <x v="0"/>
    <x v="1"/>
  </r>
  <r>
    <x v="1"/>
    <x v="2"/>
  </r>
  <r>
    <x v="0"/>
    <x v="3"/>
  </r>
  <r>
    <x v="2"/>
    <x v="4"/>
  </r>
  <r>
    <x v="4"/>
    <x v="5"/>
  </r>
  <r>
    <x v="0"/>
    <x v="4"/>
  </r>
  <r>
    <x v="0"/>
    <x v="3"/>
  </r>
  <r>
    <x v="4"/>
    <x v="4"/>
  </r>
  <r>
    <x v="3"/>
    <x v="2"/>
  </r>
  <r>
    <x v="0"/>
    <x v="6"/>
  </r>
  <r>
    <x v="2"/>
    <x v="2"/>
  </r>
  <r>
    <x v="3"/>
    <x v="4"/>
  </r>
  <r>
    <x v="0"/>
    <x v="5"/>
  </r>
  <r>
    <x v="0"/>
    <x v="0"/>
  </r>
  <r>
    <x v="3"/>
    <x v="6"/>
  </r>
  <r>
    <x v="1"/>
    <x v="0"/>
  </r>
  <r>
    <x v="4"/>
    <x v="5"/>
  </r>
  <r>
    <x v="4"/>
    <x v="3"/>
  </r>
  <r>
    <x v="4"/>
    <x v="0"/>
  </r>
  <r>
    <x v="0"/>
    <x v="4"/>
  </r>
  <r>
    <x v="3"/>
    <x v="0"/>
  </r>
  <r>
    <x v="3"/>
    <x v="1"/>
  </r>
  <r>
    <x v="2"/>
    <x v="4"/>
  </r>
  <r>
    <x v="1"/>
    <x v="4"/>
  </r>
  <r>
    <x v="1"/>
    <x v="5"/>
  </r>
  <r>
    <x v="1"/>
    <x v="4"/>
  </r>
  <r>
    <x v="0"/>
    <x v="4"/>
  </r>
  <r>
    <x v="1"/>
    <x v="2"/>
  </r>
  <r>
    <x v="0"/>
    <x v="6"/>
  </r>
  <r>
    <x v="4"/>
    <x v="6"/>
  </r>
  <r>
    <x v="1"/>
    <x v="2"/>
  </r>
  <r>
    <x v="3"/>
    <x v="0"/>
  </r>
  <r>
    <x v="0"/>
    <x v="2"/>
  </r>
  <r>
    <x v="4"/>
    <x v="6"/>
  </r>
  <r>
    <x v="3"/>
    <x v="5"/>
  </r>
  <r>
    <x v="2"/>
    <x v="0"/>
  </r>
  <r>
    <x v="0"/>
    <x v="4"/>
  </r>
  <r>
    <x v="2"/>
    <x v="4"/>
  </r>
  <r>
    <x v="4"/>
    <x v="6"/>
  </r>
  <r>
    <x v="1"/>
    <x v="5"/>
  </r>
  <r>
    <x v="4"/>
    <x v="3"/>
  </r>
  <r>
    <x v="3"/>
    <x v="4"/>
  </r>
  <r>
    <x v="3"/>
    <x v="5"/>
  </r>
  <r>
    <x v="2"/>
    <x v="3"/>
  </r>
  <r>
    <x v="3"/>
    <x v="4"/>
  </r>
  <r>
    <x v="2"/>
    <x v="0"/>
  </r>
  <r>
    <x v="1"/>
    <x v="4"/>
  </r>
  <r>
    <x v="2"/>
    <x v="3"/>
  </r>
  <r>
    <x v="2"/>
    <x v="0"/>
  </r>
  <r>
    <x v="1"/>
    <x v="4"/>
  </r>
  <r>
    <x v="4"/>
    <x v="6"/>
  </r>
  <r>
    <x v="4"/>
    <x v="4"/>
  </r>
  <r>
    <x v="0"/>
    <x v="0"/>
  </r>
  <r>
    <x v="3"/>
    <x v="0"/>
  </r>
  <r>
    <x v="1"/>
    <x v="2"/>
  </r>
  <r>
    <x v="4"/>
    <x v="5"/>
  </r>
  <r>
    <x v="1"/>
    <x v="6"/>
  </r>
  <r>
    <x v="0"/>
    <x v="3"/>
  </r>
  <r>
    <x v="3"/>
    <x v="1"/>
  </r>
  <r>
    <x v="4"/>
    <x v="0"/>
  </r>
  <r>
    <x v="1"/>
    <x v="6"/>
  </r>
  <r>
    <x v="2"/>
    <x v="4"/>
  </r>
  <r>
    <x v="3"/>
    <x v="2"/>
  </r>
  <r>
    <x v="4"/>
    <x v="4"/>
  </r>
  <r>
    <x v="2"/>
    <x v="2"/>
  </r>
  <r>
    <x v="2"/>
    <x v="6"/>
  </r>
  <r>
    <x v="1"/>
    <x v="5"/>
  </r>
  <r>
    <x v="3"/>
    <x v="1"/>
  </r>
  <r>
    <x v="1"/>
    <x v="3"/>
  </r>
  <r>
    <x v="2"/>
    <x v="0"/>
  </r>
  <r>
    <x v="3"/>
    <x v="6"/>
  </r>
  <r>
    <x v="1"/>
    <x v="1"/>
  </r>
  <r>
    <x v="0"/>
    <x v="2"/>
  </r>
  <r>
    <x v="1"/>
    <x v="0"/>
  </r>
  <r>
    <x v="4"/>
    <x v="1"/>
  </r>
  <r>
    <x v="3"/>
    <x v="5"/>
  </r>
  <r>
    <x v="1"/>
    <x v="3"/>
  </r>
  <r>
    <x v="4"/>
    <x v="4"/>
  </r>
  <r>
    <x v="1"/>
    <x v="1"/>
  </r>
  <r>
    <x v="0"/>
    <x v="1"/>
  </r>
  <r>
    <x v="0"/>
    <x v="4"/>
  </r>
  <r>
    <x v="0"/>
    <x v="1"/>
  </r>
  <r>
    <x v="1"/>
    <x v="2"/>
  </r>
  <r>
    <x v="0"/>
    <x v="2"/>
  </r>
  <r>
    <x v="3"/>
    <x v="4"/>
  </r>
  <r>
    <x v="1"/>
    <x v="1"/>
  </r>
  <r>
    <x v="0"/>
    <x v="6"/>
  </r>
  <r>
    <x v="1"/>
    <x v="5"/>
  </r>
  <r>
    <x v="2"/>
    <x v="5"/>
  </r>
  <r>
    <x v="3"/>
    <x v="1"/>
  </r>
  <r>
    <x v="3"/>
    <x v="6"/>
  </r>
  <r>
    <x v="3"/>
    <x v="4"/>
  </r>
  <r>
    <x v="1"/>
    <x v="0"/>
  </r>
  <r>
    <x v="0"/>
    <x v="6"/>
  </r>
  <r>
    <x v="3"/>
    <x v="2"/>
  </r>
  <r>
    <x v="1"/>
    <x v="4"/>
  </r>
  <r>
    <x v="4"/>
    <x v="1"/>
  </r>
  <r>
    <x v="1"/>
    <x v="0"/>
  </r>
  <r>
    <x v="1"/>
    <x v="2"/>
  </r>
  <r>
    <x v="4"/>
    <x v="3"/>
  </r>
  <r>
    <x v="1"/>
    <x v="4"/>
  </r>
  <r>
    <x v="0"/>
    <x v="4"/>
  </r>
  <r>
    <x v="1"/>
    <x v="1"/>
  </r>
  <r>
    <x v="0"/>
    <x v="4"/>
  </r>
  <r>
    <x v="2"/>
    <x v="4"/>
  </r>
  <r>
    <x v="4"/>
    <x v="1"/>
  </r>
  <r>
    <x v="3"/>
    <x v="0"/>
  </r>
  <r>
    <x v="0"/>
    <x v="3"/>
  </r>
  <r>
    <x v="2"/>
    <x v="1"/>
  </r>
  <r>
    <x v="0"/>
    <x v="2"/>
  </r>
  <r>
    <x v="4"/>
    <x v="1"/>
  </r>
  <r>
    <x v="0"/>
    <x v="0"/>
  </r>
  <r>
    <x v="4"/>
    <x v="2"/>
  </r>
  <r>
    <x v="2"/>
    <x v="0"/>
  </r>
  <r>
    <x v="1"/>
    <x v="1"/>
  </r>
  <r>
    <x v="0"/>
    <x v="3"/>
  </r>
  <r>
    <x v="2"/>
    <x v="1"/>
  </r>
  <r>
    <x v="1"/>
    <x v="1"/>
  </r>
  <r>
    <x v="1"/>
    <x v="0"/>
  </r>
  <r>
    <x v="2"/>
    <x v="6"/>
  </r>
  <r>
    <x v="0"/>
    <x v="1"/>
  </r>
  <r>
    <x v="2"/>
    <x v="0"/>
  </r>
  <r>
    <x v="2"/>
    <x v="1"/>
  </r>
  <r>
    <x v="2"/>
    <x v="0"/>
  </r>
  <r>
    <x v="3"/>
    <x v="6"/>
  </r>
  <r>
    <x v="4"/>
    <x v="5"/>
  </r>
  <r>
    <x v="3"/>
    <x v="1"/>
  </r>
  <r>
    <x v="2"/>
    <x v="5"/>
  </r>
  <r>
    <x v="0"/>
    <x v="4"/>
  </r>
  <r>
    <x v="2"/>
    <x v="1"/>
  </r>
  <r>
    <x v="0"/>
    <x v="1"/>
  </r>
  <r>
    <x v="2"/>
    <x v="0"/>
  </r>
  <r>
    <x v="0"/>
    <x v="2"/>
  </r>
  <r>
    <x v="1"/>
    <x v="2"/>
  </r>
  <r>
    <x v="1"/>
    <x v="6"/>
  </r>
  <r>
    <x v="3"/>
    <x v="5"/>
  </r>
  <r>
    <x v="3"/>
    <x v="4"/>
  </r>
  <r>
    <x v="2"/>
    <x v="0"/>
  </r>
  <r>
    <x v="0"/>
    <x v="5"/>
  </r>
  <r>
    <x v="4"/>
    <x v="1"/>
  </r>
  <r>
    <x v="1"/>
    <x v="6"/>
  </r>
  <r>
    <x v="2"/>
    <x v="1"/>
  </r>
  <r>
    <x v="1"/>
    <x v="3"/>
  </r>
  <r>
    <x v="1"/>
    <x v="1"/>
  </r>
  <r>
    <x v="1"/>
    <x v="5"/>
  </r>
  <r>
    <x v="2"/>
    <x v="2"/>
  </r>
  <r>
    <x v="4"/>
    <x v="3"/>
  </r>
  <r>
    <x v="4"/>
    <x v="5"/>
  </r>
  <r>
    <x v="2"/>
    <x v="6"/>
  </r>
  <r>
    <x v="2"/>
    <x v="4"/>
  </r>
  <r>
    <x v="0"/>
    <x v="3"/>
  </r>
  <r>
    <x v="3"/>
    <x v="4"/>
  </r>
  <r>
    <x v="3"/>
    <x v="1"/>
  </r>
  <r>
    <x v="0"/>
    <x v="6"/>
  </r>
  <r>
    <x v="0"/>
    <x v="2"/>
  </r>
  <r>
    <x v="4"/>
    <x v="0"/>
  </r>
  <r>
    <x v="4"/>
    <x v="1"/>
  </r>
  <r>
    <x v="1"/>
    <x v="0"/>
  </r>
  <r>
    <x v="2"/>
    <x v="5"/>
  </r>
  <r>
    <x v="4"/>
    <x v="5"/>
  </r>
  <r>
    <x v="0"/>
    <x v="3"/>
  </r>
  <r>
    <x v="1"/>
    <x v="0"/>
  </r>
  <r>
    <x v="3"/>
    <x v="6"/>
  </r>
  <r>
    <x v="4"/>
    <x v="2"/>
  </r>
  <r>
    <x v="1"/>
    <x v="4"/>
  </r>
  <r>
    <x v="3"/>
    <x v="2"/>
  </r>
  <r>
    <x v="0"/>
    <x v="6"/>
  </r>
  <r>
    <x v="0"/>
    <x v="2"/>
  </r>
  <r>
    <x v="2"/>
    <x v="3"/>
  </r>
  <r>
    <x v="1"/>
    <x v="1"/>
  </r>
  <r>
    <x v="2"/>
    <x v="2"/>
  </r>
  <r>
    <x v="4"/>
    <x v="5"/>
  </r>
  <r>
    <x v="3"/>
    <x v="5"/>
  </r>
  <r>
    <x v="3"/>
    <x v="3"/>
  </r>
  <r>
    <x v="2"/>
    <x v="3"/>
  </r>
  <r>
    <x v="2"/>
    <x v="4"/>
  </r>
  <r>
    <x v="1"/>
    <x v="1"/>
  </r>
  <r>
    <x v="4"/>
    <x v="6"/>
  </r>
  <r>
    <x v="2"/>
    <x v="5"/>
  </r>
  <r>
    <x v="1"/>
    <x v="6"/>
  </r>
  <r>
    <x v="1"/>
    <x v="6"/>
  </r>
  <r>
    <x v="2"/>
    <x v="5"/>
  </r>
  <r>
    <x v="4"/>
    <x v="5"/>
  </r>
  <r>
    <x v="2"/>
    <x v="0"/>
  </r>
  <r>
    <x v="1"/>
    <x v="0"/>
  </r>
  <r>
    <x v="0"/>
    <x v="1"/>
  </r>
  <r>
    <x v="0"/>
    <x v="2"/>
  </r>
  <r>
    <x v="0"/>
    <x v="2"/>
  </r>
  <r>
    <x v="0"/>
    <x v="5"/>
  </r>
  <r>
    <x v="4"/>
    <x v="5"/>
  </r>
  <r>
    <x v="4"/>
    <x v="6"/>
  </r>
  <r>
    <x v="2"/>
    <x v="4"/>
  </r>
  <r>
    <x v="2"/>
    <x v="4"/>
  </r>
  <r>
    <x v="1"/>
    <x v="1"/>
  </r>
  <r>
    <x v="0"/>
    <x v="5"/>
  </r>
  <r>
    <x v="1"/>
    <x v="3"/>
  </r>
  <r>
    <x v="2"/>
    <x v="3"/>
  </r>
  <r>
    <x v="0"/>
    <x v="5"/>
  </r>
  <r>
    <x v="0"/>
    <x v="1"/>
  </r>
  <r>
    <x v="4"/>
    <x v="2"/>
  </r>
  <r>
    <x v="3"/>
    <x v="4"/>
  </r>
  <r>
    <x v="2"/>
    <x v="6"/>
  </r>
  <r>
    <x v="1"/>
    <x v="5"/>
  </r>
  <r>
    <x v="1"/>
    <x v="3"/>
  </r>
  <r>
    <x v="0"/>
    <x v="4"/>
  </r>
  <r>
    <x v="3"/>
    <x v="6"/>
  </r>
  <r>
    <x v="4"/>
    <x v="0"/>
  </r>
  <r>
    <x v="0"/>
    <x v="0"/>
  </r>
  <r>
    <x v="1"/>
    <x v="0"/>
  </r>
  <r>
    <x v="1"/>
    <x v="6"/>
  </r>
  <r>
    <x v="0"/>
    <x v="0"/>
  </r>
  <r>
    <x v="3"/>
    <x v="2"/>
  </r>
  <r>
    <x v="2"/>
    <x v="3"/>
  </r>
  <r>
    <x v="0"/>
    <x v="6"/>
  </r>
  <r>
    <x v="4"/>
    <x v="4"/>
  </r>
  <r>
    <x v="3"/>
    <x v="3"/>
  </r>
  <r>
    <x v="4"/>
    <x v="6"/>
  </r>
  <r>
    <x v="3"/>
    <x v="0"/>
  </r>
  <r>
    <x v="4"/>
    <x v="2"/>
  </r>
  <r>
    <x v="4"/>
    <x v="2"/>
  </r>
  <r>
    <x v="1"/>
    <x v="1"/>
  </r>
  <r>
    <x v="0"/>
    <x v="2"/>
  </r>
  <r>
    <x v="0"/>
    <x v="2"/>
  </r>
  <r>
    <x v="4"/>
    <x v="3"/>
  </r>
  <r>
    <x v="1"/>
    <x v="1"/>
  </r>
  <r>
    <x v="3"/>
    <x v="6"/>
  </r>
  <r>
    <x v="1"/>
    <x v="6"/>
  </r>
  <r>
    <x v="4"/>
    <x v="0"/>
  </r>
  <r>
    <x v="3"/>
    <x v="3"/>
  </r>
  <r>
    <x v="4"/>
    <x v="5"/>
  </r>
  <r>
    <x v="3"/>
    <x v="2"/>
  </r>
  <r>
    <x v="4"/>
    <x v="2"/>
  </r>
  <r>
    <x v="0"/>
    <x v="4"/>
  </r>
  <r>
    <x v="0"/>
    <x v="1"/>
  </r>
  <r>
    <x v="0"/>
    <x v="5"/>
  </r>
  <r>
    <x v="2"/>
    <x v="4"/>
  </r>
  <r>
    <x v="3"/>
    <x v="1"/>
  </r>
  <r>
    <x v="4"/>
    <x v="0"/>
  </r>
  <r>
    <x v="4"/>
    <x v="5"/>
  </r>
  <r>
    <x v="3"/>
    <x v="2"/>
  </r>
  <r>
    <x v="0"/>
    <x v="0"/>
  </r>
  <r>
    <x v="2"/>
    <x v="4"/>
  </r>
  <r>
    <x v="0"/>
    <x v="6"/>
  </r>
  <r>
    <x v="0"/>
    <x v="6"/>
  </r>
  <r>
    <x v="0"/>
    <x v="2"/>
  </r>
  <r>
    <x v="1"/>
    <x v="0"/>
  </r>
  <r>
    <x v="3"/>
    <x v="4"/>
  </r>
  <r>
    <x v="4"/>
    <x v="3"/>
  </r>
  <r>
    <x v="3"/>
    <x v="5"/>
  </r>
  <r>
    <x v="0"/>
    <x v="4"/>
  </r>
  <r>
    <x v="3"/>
    <x v="3"/>
  </r>
  <r>
    <x v="0"/>
    <x v="2"/>
  </r>
  <r>
    <x v="1"/>
    <x v="5"/>
  </r>
  <r>
    <x v="0"/>
    <x v="4"/>
  </r>
  <r>
    <x v="1"/>
    <x v="1"/>
  </r>
  <r>
    <x v="3"/>
    <x v="0"/>
  </r>
  <r>
    <x v="2"/>
    <x v="2"/>
  </r>
  <r>
    <x v="1"/>
    <x v="2"/>
  </r>
  <r>
    <x v="4"/>
    <x v="5"/>
  </r>
  <r>
    <x v="4"/>
    <x v="1"/>
  </r>
  <r>
    <x v="0"/>
    <x v="4"/>
  </r>
  <r>
    <x v="0"/>
    <x v="0"/>
  </r>
  <r>
    <x v="3"/>
    <x v="1"/>
  </r>
  <r>
    <x v="1"/>
    <x v="0"/>
  </r>
  <r>
    <x v="3"/>
    <x v="2"/>
  </r>
  <r>
    <x v="0"/>
    <x v="2"/>
  </r>
  <r>
    <x v="2"/>
    <x v="4"/>
  </r>
  <r>
    <x v="2"/>
    <x v="1"/>
  </r>
  <r>
    <x v="2"/>
    <x v="3"/>
  </r>
  <r>
    <x v="4"/>
    <x v="3"/>
  </r>
  <r>
    <x v="1"/>
    <x v="0"/>
  </r>
  <r>
    <x v="1"/>
    <x v="0"/>
  </r>
  <r>
    <x v="2"/>
    <x v="0"/>
  </r>
  <r>
    <x v="3"/>
    <x v="4"/>
  </r>
  <r>
    <x v="3"/>
    <x v="1"/>
  </r>
  <r>
    <x v="2"/>
    <x v="6"/>
  </r>
  <r>
    <x v="4"/>
    <x v="0"/>
  </r>
  <r>
    <x v="2"/>
    <x v="0"/>
  </r>
  <r>
    <x v="1"/>
    <x v="0"/>
  </r>
  <r>
    <x v="2"/>
    <x v="6"/>
  </r>
  <r>
    <x v="4"/>
    <x v="0"/>
  </r>
  <r>
    <x v="0"/>
    <x v="5"/>
  </r>
  <r>
    <x v="3"/>
    <x v="2"/>
  </r>
  <r>
    <x v="2"/>
    <x v="6"/>
  </r>
  <r>
    <x v="4"/>
    <x v="1"/>
  </r>
  <r>
    <x v="1"/>
    <x v="5"/>
  </r>
  <r>
    <x v="1"/>
    <x v="0"/>
  </r>
  <r>
    <x v="2"/>
    <x v="0"/>
  </r>
  <r>
    <x v="4"/>
    <x v="3"/>
  </r>
  <r>
    <x v="0"/>
    <x v="6"/>
  </r>
  <r>
    <x v="2"/>
    <x v="3"/>
  </r>
  <r>
    <x v="2"/>
    <x v="0"/>
  </r>
  <r>
    <x v="1"/>
    <x v="5"/>
  </r>
  <r>
    <x v="0"/>
    <x v="3"/>
  </r>
  <r>
    <x v="0"/>
    <x v="0"/>
  </r>
  <r>
    <x v="3"/>
    <x v="2"/>
  </r>
  <r>
    <x v="2"/>
    <x v="5"/>
  </r>
  <r>
    <x v="2"/>
    <x v="5"/>
  </r>
  <r>
    <x v="3"/>
    <x v="0"/>
  </r>
  <r>
    <x v="4"/>
    <x v="2"/>
  </r>
  <r>
    <x v="3"/>
    <x v="0"/>
  </r>
  <r>
    <x v="4"/>
    <x v="0"/>
  </r>
  <r>
    <x v="4"/>
    <x v="6"/>
  </r>
  <r>
    <x v="0"/>
    <x v="2"/>
  </r>
  <r>
    <x v="2"/>
    <x v="6"/>
  </r>
  <r>
    <x v="0"/>
    <x v="2"/>
  </r>
  <r>
    <x v="1"/>
    <x v="0"/>
  </r>
  <r>
    <x v="1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x v="0"/>
    <x v="0"/>
  </r>
  <r>
    <x v="0"/>
    <x v="0"/>
  </r>
  <r>
    <x v="1"/>
    <x v="1"/>
  </r>
  <r>
    <x v="2"/>
    <x v="1"/>
  </r>
  <r>
    <x v="0"/>
    <x v="0"/>
  </r>
  <r>
    <x v="3"/>
    <x v="2"/>
  </r>
  <r>
    <x v="0"/>
    <x v="2"/>
  </r>
  <r>
    <x v="4"/>
    <x v="1"/>
  </r>
  <r>
    <x v="5"/>
    <x v="3"/>
  </r>
  <r>
    <x v="0"/>
    <x v="2"/>
  </r>
  <r>
    <x v="2"/>
    <x v="2"/>
  </r>
  <r>
    <x v="1"/>
    <x v="1"/>
  </r>
  <r>
    <x v="5"/>
    <x v="1"/>
  </r>
  <r>
    <x v="2"/>
    <x v="3"/>
  </r>
  <r>
    <x v="6"/>
    <x v="0"/>
  </r>
  <r>
    <x v="0"/>
    <x v="0"/>
  </r>
  <r>
    <x v="5"/>
    <x v="1"/>
  </r>
  <r>
    <x v="5"/>
    <x v="0"/>
  </r>
  <r>
    <x v="1"/>
    <x v="1"/>
  </r>
  <r>
    <x v="3"/>
    <x v="0"/>
  </r>
  <r>
    <x v="0"/>
    <x v="3"/>
  </r>
  <r>
    <x v="4"/>
    <x v="0"/>
  </r>
  <r>
    <x v="6"/>
    <x v="3"/>
  </r>
  <r>
    <x v="1"/>
    <x v="1"/>
  </r>
  <r>
    <x v="3"/>
    <x v="2"/>
  </r>
  <r>
    <x v="0"/>
    <x v="2"/>
  </r>
  <r>
    <x v="0"/>
    <x v="3"/>
  </r>
  <r>
    <x v="4"/>
    <x v="3"/>
  </r>
  <r>
    <x v="6"/>
    <x v="2"/>
  </r>
  <r>
    <x v="2"/>
    <x v="3"/>
  </r>
  <r>
    <x v="0"/>
    <x v="0"/>
  </r>
  <r>
    <x v="5"/>
    <x v="1"/>
  </r>
  <r>
    <x v="5"/>
    <x v="1"/>
  </r>
  <r>
    <x v="3"/>
    <x v="3"/>
  </r>
  <r>
    <x v="6"/>
    <x v="2"/>
  </r>
  <r>
    <x v="0"/>
    <x v="0"/>
  </r>
  <r>
    <x v="3"/>
    <x v="2"/>
  </r>
  <r>
    <x v="2"/>
    <x v="0"/>
  </r>
  <r>
    <x v="4"/>
    <x v="2"/>
  </r>
  <r>
    <x v="3"/>
    <x v="1"/>
  </r>
  <r>
    <x v="4"/>
    <x v="3"/>
  </r>
  <r>
    <x v="0"/>
    <x v="1"/>
  </r>
  <r>
    <x v="6"/>
    <x v="2"/>
  </r>
  <r>
    <x v="2"/>
    <x v="1"/>
  </r>
  <r>
    <x v="4"/>
    <x v="1"/>
  </r>
  <r>
    <x v="6"/>
    <x v="3"/>
  </r>
  <r>
    <x v="4"/>
    <x v="3"/>
  </r>
  <r>
    <x v="1"/>
    <x v="3"/>
  </r>
  <r>
    <x v="1"/>
    <x v="0"/>
  </r>
  <r>
    <x v="6"/>
    <x v="1"/>
  </r>
  <r>
    <x v="2"/>
    <x v="2"/>
  </r>
  <r>
    <x v="4"/>
    <x v="0"/>
  </r>
  <r>
    <x v="2"/>
    <x v="2"/>
  </r>
  <r>
    <x v="1"/>
    <x v="1"/>
  </r>
  <r>
    <x v="3"/>
    <x v="3"/>
  </r>
  <r>
    <x v="6"/>
    <x v="0"/>
  </r>
  <r>
    <x v="3"/>
    <x v="2"/>
  </r>
  <r>
    <x v="0"/>
    <x v="2"/>
  </r>
  <r>
    <x v="6"/>
    <x v="0"/>
  </r>
  <r>
    <x v="1"/>
    <x v="0"/>
  </r>
  <r>
    <x v="2"/>
    <x v="3"/>
  </r>
  <r>
    <x v="3"/>
    <x v="2"/>
  </r>
  <r>
    <x v="0"/>
    <x v="2"/>
  </r>
  <r>
    <x v="3"/>
    <x v="0"/>
  </r>
  <r>
    <x v="1"/>
    <x v="2"/>
  </r>
  <r>
    <x v="3"/>
    <x v="2"/>
  </r>
  <r>
    <x v="2"/>
    <x v="1"/>
  </r>
  <r>
    <x v="4"/>
    <x v="3"/>
  </r>
  <r>
    <x v="1"/>
    <x v="2"/>
  </r>
  <r>
    <x v="1"/>
    <x v="0"/>
  </r>
  <r>
    <x v="6"/>
    <x v="3"/>
  </r>
  <r>
    <x v="5"/>
    <x v="0"/>
  </r>
  <r>
    <x v="5"/>
    <x v="1"/>
  </r>
  <r>
    <x v="0"/>
    <x v="0"/>
  </r>
  <r>
    <x v="5"/>
    <x v="3"/>
  </r>
  <r>
    <x v="1"/>
    <x v="0"/>
  </r>
  <r>
    <x v="3"/>
    <x v="3"/>
  </r>
  <r>
    <x v="0"/>
    <x v="0"/>
  </r>
  <r>
    <x v="5"/>
    <x v="3"/>
  </r>
  <r>
    <x v="4"/>
    <x v="2"/>
  </r>
  <r>
    <x v="0"/>
    <x v="3"/>
  </r>
  <r>
    <x v="2"/>
    <x v="0"/>
  </r>
  <r>
    <x v="1"/>
    <x v="0"/>
  </r>
  <r>
    <x v="1"/>
    <x v="3"/>
  </r>
  <r>
    <x v="4"/>
    <x v="0"/>
  </r>
  <r>
    <x v="4"/>
    <x v="2"/>
  </r>
  <r>
    <x v="0"/>
    <x v="3"/>
  </r>
  <r>
    <x v="5"/>
    <x v="1"/>
  </r>
  <r>
    <x v="0"/>
    <x v="1"/>
  </r>
  <r>
    <x v="0"/>
    <x v="3"/>
  </r>
  <r>
    <x v="3"/>
    <x v="1"/>
  </r>
  <r>
    <x v="6"/>
    <x v="3"/>
  </r>
  <r>
    <x v="2"/>
    <x v="3"/>
  </r>
  <r>
    <x v="3"/>
    <x v="2"/>
  </r>
  <r>
    <x v="5"/>
    <x v="2"/>
  </r>
  <r>
    <x v="3"/>
    <x v="1"/>
  </r>
  <r>
    <x v="1"/>
    <x v="1"/>
  </r>
  <r>
    <x v="4"/>
    <x v="1"/>
  </r>
  <r>
    <x v="3"/>
    <x v="3"/>
  </r>
  <r>
    <x v="2"/>
    <x v="0"/>
  </r>
  <r>
    <x v="4"/>
    <x v="1"/>
  </r>
  <r>
    <x v="3"/>
    <x v="3"/>
  </r>
  <r>
    <x v="0"/>
    <x v="3"/>
  </r>
  <r>
    <x v="5"/>
    <x v="0"/>
  </r>
  <r>
    <x v="5"/>
    <x v="0"/>
  </r>
  <r>
    <x v="2"/>
    <x v="2"/>
  </r>
  <r>
    <x v="4"/>
    <x v="0"/>
  </r>
  <r>
    <x v="4"/>
    <x v="0"/>
  </r>
  <r>
    <x v="4"/>
    <x v="0"/>
  </r>
  <r>
    <x v="3"/>
    <x v="1"/>
  </r>
  <r>
    <x v="4"/>
    <x v="0"/>
  </r>
  <r>
    <x v="1"/>
    <x v="2"/>
  </r>
  <r>
    <x v="4"/>
    <x v="3"/>
  </r>
  <r>
    <x v="5"/>
    <x v="1"/>
  </r>
  <r>
    <x v="6"/>
    <x v="2"/>
  </r>
  <r>
    <x v="5"/>
    <x v="3"/>
  </r>
  <r>
    <x v="2"/>
    <x v="2"/>
  </r>
  <r>
    <x v="2"/>
    <x v="3"/>
  </r>
  <r>
    <x v="0"/>
    <x v="2"/>
  </r>
  <r>
    <x v="6"/>
    <x v="0"/>
  </r>
  <r>
    <x v="1"/>
    <x v="0"/>
  </r>
  <r>
    <x v="5"/>
    <x v="3"/>
  </r>
  <r>
    <x v="4"/>
    <x v="3"/>
  </r>
  <r>
    <x v="5"/>
    <x v="2"/>
  </r>
  <r>
    <x v="4"/>
    <x v="0"/>
  </r>
  <r>
    <x v="3"/>
    <x v="3"/>
  </r>
  <r>
    <x v="4"/>
    <x v="1"/>
  </r>
  <r>
    <x v="2"/>
    <x v="2"/>
  </r>
  <r>
    <x v="6"/>
    <x v="1"/>
  </r>
  <r>
    <x v="6"/>
    <x v="2"/>
  </r>
  <r>
    <x v="3"/>
    <x v="3"/>
  </r>
  <r>
    <x v="4"/>
    <x v="3"/>
  </r>
  <r>
    <x v="6"/>
    <x v="0"/>
  </r>
  <r>
    <x v="2"/>
    <x v="2"/>
  </r>
  <r>
    <x v="1"/>
    <x v="1"/>
  </r>
  <r>
    <x v="4"/>
    <x v="2"/>
  </r>
  <r>
    <x v="3"/>
    <x v="1"/>
  </r>
  <r>
    <x v="5"/>
    <x v="0"/>
  </r>
  <r>
    <x v="5"/>
    <x v="1"/>
  </r>
  <r>
    <x v="3"/>
    <x v="0"/>
  </r>
  <r>
    <x v="2"/>
    <x v="0"/>
  </r>
  <r>
    <x v="5"/>
    <x v="3"/>
  </r>
  <r>
    <x v="2"/>
    <x v="0"/>
  </r>
  <r>
    <x v="2"/>
    <x v="1"/>
  </r>
  <r>
    <x v="6"/>
    <x v="2"/>
  </r>
  <r>
    <x v="4"/>
    <x v="3"/>
  </r>
  <r>
    <x v="6"/>
    <x v="0"/>
  </r>
  <r>
    <x v="4"/>
    <x v="3"/>
  </r>
  <r>
    <x v="5"/>
    <x v="3"/>
  </r>
  <r>
    <x v="6"/>
    <x v="0"/>
  </r>
  <r>
    <x v="5"/>
    <x v="1"/>
  </r>
  <r>
    <x v="5"/>
    <x v="0"/>
  </r>
  <r>
    <x v="2"/>
    <x v="1"/>
  </r>
  <r>
    <x v="1"/>
    <x v="3"/>
  </r>
  <r>
    <x v="0"/>
    <x v="0"/>
  </r>
  <r>
    <x v="1"/>
    <x v="3"/>
  </r>
  <r>
    <x v="0"/>
    <x v="3"/>
  </r>
  <r>
    <x v="6"/>
    <x v="3"/>
  </r>
  <r>
    <x v="1"/>
    <x v="1"/>
  </r>
  <r>
    <x v="6"/>
    <x v="2"/>
  </r>
  <r>
    <x v="0"/>
    <x v="0"/>
  </r>
  <r>
    <x v="4"/>
    <x v="0"/>
  </r>
  <r>
    <x v="0"/>
    <x v="2"/>
  </r>
  <r>
    <x v="2"/>
    <x v="2"/>
  </r>
  <r>
    <x v="3"/>
    <x v="3"/>
  </r>
  <r>
    <x v="2"/>
    <x v="0"/>
  </r>
  <r>
    <x v="1"/>
    <x v="0"/>
  </r>
  <r>
    <x v="2"/>
    <x v="1"/>
  </r>
  <r>
    <x v="4"/>
    <x v="1"/>
  </r>
  <r>
    <x v="5"/>
    <x v="2"/>
  </r>
  <r>
    <x v="3"/>
    <x v="1"/>
  </r>
  <r>
    <x v="4"/>
    <x v="2"/>
  </r>
  <r>
    <x v="0"/>
    <x v="3"/>
  </r>
  <r>
    <x v="5"/>
    <x v="1"/>
  </r>
  <r>
    <x v="2"/>
    <x v="0"/>
  </r>
  <r>
    <x v="5"/>
    <x v="2"/>
  </r>
  <r>
    <x v="1"/>
    <x v="0"/>
  </r>
  <r>
    <x v="3"/>
    <x v="0"/>
  </r>
  <r>
    <x v="0"/>
    <x v="2"/>
  </r>
  <r>
    <x v="6"/>
    <x v="2"/>
  </r>
  <r>
    <x v="5"/>
    <x v="2"/>
  </r>
  <r>
    <x v="6"/>
    <x v="0"/>
  </r>
  <r>
    <x v="6"/>
    <x v="1"/>
  </r>
  <r>
    <x v="1"/>
    <x v="3"/>
  </r>
  <r>
    <x v="2"/>
    <x v="1"/>
  </r>
  <r>
    <x v="6"/>
    <x v="0"/>
  </r>
  <r>
    <x v="5"/>
    <x v="0"/>
  </r>
  <r>
    <x v="6"/>
    <x v="0"/>
  </r>
  <r>
    <x v="2"/>
    <x v="0"/>
  </r>
  <r>
    <x v="1"/>
    <x v="1"/>
  </r>
  <r>
    <x v="0"/>
    <x v="3"/>
  </r>
  <r>
    <x v="1"/>
    <x v="0"/>
  </r>
  <r>
    <x v="6"/>
    <x v="3"/>
  </r>
  <r>
    <x v="4"/>
    <x v="0"/>
  </r>
  <r>
    <x v="3"/>
    <x v="0"/>
  </r>
  <r>
    <x v="6"/>
    <x v="3"/>
  </r>
  <r>
    <x v="2"/>
    <x v="0"/>
  </r>
  <r>
    <x v="4"/>
    <x v="3"/>
  </r>
  <r>
    <x v="2"/>
    <x v="0"/>
  </r>
  <r>
    <x v="6"/>
    <x v="3"/>
  </r>
  <r>
    <x v="4"/>
    <x v="3"/>
  </r>
  <r>
    <x v="1"/>
    <x v="0"/>
  </r>
  <r>
    <x v="5"/>
    <x v="1"/>
  </r>
  <r>
    <x v="0"/>
    <x v="0"/>
  </r>
  <r>
    <x v="0"/>
    <x v="1"/>
  </r>
  <r>
    <x v="2"/>
    <x v="1"/>
  </r>
  <r>
    <x v="1"/>
    <x v="1"/>
  </r>
  <r>
    <x v="6"/>
    <x v="1"/>
  </r>
  <r>
    <x v="2"/>
    <x v="2"/>
  </r>
  <r>
    <x v="5"/>
    <x v="0"/>
  </r>
  <r>
    <x v="0"/>
    <x v="1"/>
  </r>
  <r>
    <x v="4"/>
    <x v="1"/>
  </r>
  <r>
    <x v="6"/>
    <x v="1"/>
  </r>
  <r>
    <x v="5"/>
    <x v="3"/>
  </r>
  <r>
    <x v="2"/>
    <x v="1"/>
  </r>
  <r>
    <x v="6"/>
    <x v="0"/>
  </r>
  <r>
    <x v="6"/>
    <x v="3"/>
  </r>
  <r>
    <x v="6"/>
    <x v="2"/>
  </r>
  <r>
    <x v="6"/>
    <x v="2"/>
  </r>
  <r>
    <x v="2"/>
    <x v="2"/>
  </r>
  <r>
    <x v="3"/>
    <x v="1"/>
  </r>
  <r>
    <x v="0"/>
    <x v="0"/>
  </r>
  <r>
    <x v="1"/>
    <x v="3"/>
  </r>
  <r>
    <x v="1"/>
    <x v="0"/>
  </r>
  <r>
    <x v="1"/>
    <x v="2"/>
  </r>
  <r>
    <x v="0"/>
    <x v="2"/>
  </r>
  <r>
    <x v="6"/>
    <x v="2"/>
  </r>
  <r>
    <x v="1"/>
    <x v="2"/>
  </r>
  <r>
    <x v="1"/>
    <x v="3"/>
  </r>
  <r>
    <x v="5"/>
    <x v="2"/>
  </r>
  <r>
    <x v="1"/>
    <x v="3"/>
  </r>
  <r>
    <x v="4"/>
    <x v="0"/>
  </r>
  <r>
    <x v="6"/>
    <x v="1"/>
  </r>
  <r>
    <x v="6"/>
    <x v="0"/>
  </r>
  <r>
    <x v="1"/>
    <x v="2"/>
  </r>
  <r>
    <x v="4"/>
    <x v="0"/>
  </r>
  <r>
    <x v="1"/>
    <x v="0"/>
  </r>
  <r>
    <x v="5"/>
    <x v="2"/>
  </r>
  <r>
    <x v="0"/>
    <x v="0"/>
  </r>
  <r>
    <x v="1"/>
    <x v="3"/>
  </r>
  <r>
    <x v="2"/>
    <x v="0"/>
  </r>
  <r>
    <x v="3"/>
    <x v="1"/>
  </r>
  <r>
    <x v="6"/>
    <x v="0"/>
  </r>
  <r>
    <x v="3"/>
    <x v="2"/>
  </r>
  <r>
    <x v="4"/>
    <x v="2"/>
  </r>
  <r>
    <x v="1"/>
    <x v="0"/>
  </r>
  <r>
    <x v="0"/>
    <x v="2"/>
  </r>
  <r>
    <x v="5"/>
    <x v="0"/>
  </r>
  <r>
    <x v="1"/>
    <x v="3"/>
  </r>
  <r>
    <x v="6"/>
    <x v="3"/>
  </r>
  <r>
    <x v="4"/>
    <x v="0"/>
  </r>
  <r>
    <x v="1"/>
    <x v="1"/>
  </r>
  <r>
    <x v="5"/>
    <x v="0"/>
  </r>
  <r>
    <x v="4"/>
    <x v="1"/>
  </r>
  <r>
    <x v="6"/>
    <x v="2"/>
  </r>
  <r>
    <x v="6"/>
    <x v="2"/>
  </r>
  <r>
    <x v="1"/>
    <x v="0"/>
  </r>
  <r>
    <x v="2"/>
    <x v="2"/>
  </r>
  <r>
    <x v="4"/>
    <x v="3"/>
  </r>
  <r>
    <x v="3"/>
    <x v="1"/>
  </r>
  <r>
    <x v="1"/>
    <x v="3"/>
  </r>
  <r>
    <x v="1"/>
    <x v="0"/>
  </r>
  <r>
    <x v="0"/>
    <x v="3"/>
  </r>
  <r>
    <x v="6"/>
    <x v="3"/>
  </r>
  <r>
    <x v="3"/>
    <x v="2"/>
  </r>
  <r>
    <x v="2"/>
    <x v="0"/>
  </r>
  <r>
    <x v="3"/>
    <x v="3"/>
  </r>
  <r>
    <x v="6"/>
    <x v="2"/>
  </r>
  <r>
    <x v="5"/>
    <x v="1"/>
  </r>
  <r>
    <x v="3"/>
    <x v="1"/>
  </r>
  <r>
    <x v="0"/>
    <x v="1"/>
  </r>
  <r>
    <x v="1"/>
    <x v="1"/>
  </r>
  <r>
    <x v="5"/>
    <x v="0"/>
  </r>
  <r>
    <x v="1"/>
    <x v="0"/>
  </r>
  <r>
    <x v="0"/>
    <x v="0"/>
  </r>
  <r>
    <x v="6"/>
    <x v="0"/>
  </r>
  <r>
    <x v="6"/>
    <x v="1"/>
  </r>
  <r>
    <x v="0"/>
    <x v="1"/>
  </r>
  <r>
    <x v="3"/>
    <x v="0"/>
  </r>
  <r>
    <x v="3"/>
    <x v="2"/>
  </r>
  <r>
    <x v="0"/>
    <x v="3"/>
  </r>
  <r>
    <x v="2"/>
    <x v="0"/>
  </r>
  <r>
    <x v="2"/>
    <x v="2"/>
  </r>
  <r>
    <x v="4"/>
    <x v="3"/>
  </r>
  <r>
    <x v="4"/>
    <x v="1"/>
  </r>
  <r>
    <x v="4"/>
    <x v="3"/>
  </r>
  <r>
    <x v="4"/>
    <x v="1"/>
  </r>
  <r>
    <x v="5"/>
    <x v="0"/>
  </r>
  <r>
    <x v="2"/>
    <x v="3"/>
  </r>
  <r>
    <x v="5"/>
    <x v="0"/>
  </r>
  <r>
    <x v="3"/>
    <x v="0"/>
  </r>
  <r>
    <x v="0"/>
    <x v="2"/>
  </r>
  <r>
    <x v="2"/>
    <x v="1"/>
  </r>
  <r>
    <x v="2"/>
    <x v="2"/>
  </r>
  <r>
    <x v="3"/>
    <x v="3"/>
  </r>
  <r>
    <x v="2"/>
    <x v="3"/>
  </r>
  <r>
    <x v="2"/>
    <x v="2"/>
  </r>
  <r>
    <x v="0"/>
    <x v="1"/>
  </r>
  <r>
    <x v="1"/>
    <x v="0"/>
  </r>
  <r>
    <x v="1"/>
    <x v="1"/>
  </r>
  <r>
    <x v="5"/>
    <x v="0"/>
  </r>
  <r>
    <x v="1"/>
    <x v="1"/>
  </r>
  <r>
    <x v="4"/>
    <x v="1"/>
  </r>
  <r>
    <x v="5"/>
    <x v="2"/>
  </r>
  <r>
    <x v="3"/>
    <x v="1"/>
  </r>
  <r>
    <x v="0"/>
    <x v="0"/>
  </r>
  <r>
    <x v="4"/>
    <x v="1"/>
  </r>
  <r>
    <x v="0"/>
    <x v="2"/>
  </r>
  <r>
    <x v="3"/>
    <x v="1"/>
  </r>
  <r>
    <x v="2"/>
    <x v="3"/>
  </r>
  <r>
    <x v="0"/>
    <x v="1"/>
  </r>
  <r>
    <x v="1"/>
    <x v="0"/>
  </r>
  <r>
    <x v="3"/>
    <x v="2"/>
  </r>
  <r>
    <x v="1"/>
    <x v="2"/>
  </r>
  <r>
    <x v="0"/>
    <x v="2"/>
  </r>
  <r>
    <x v="5"/>
    <x v="0"/>
  </r>
  <r>
    <x v="0"/>
    <x v="0"/>
  </r>
  <r>
    <x v="4"/>
    <x v="3"/>
  </r>
  <r>
    <x v="4"/>
    <x v="0"/>
  </r>
  <r>
    <x v="4"/>
    <x v="3"/>
  </r>
  <r>
    <x v="5"/>
    <x v="2"/>
  </r>
  <r>
    <x v="3"/>
    <x v="3"/>
  </r>
  <r>
    <x v="1"/>
    <x v="2"/>
  </r>
  <r>
    <x v="6"/>
    <x v="2"/>
  </r>
  <r>
    <x v="2"/>
    <x v="0"/>
  </r>
  <r>
    <x v="3"/>
    <x v="1"/>
  </r>
  <r>
    <x v="0"/>
    <x v="1"/>
  </r>
  <r>
    <x v="6"/>
    <x v="0"/>
  </r>
  <r>
    <x v="4"/>
    <x v="1"/>
  </r>
  <r>
    <x v="1"/>
    <x v="0"/>
  </r>
  <r>
    <x v="3"/>
    <x v="3"/>
  </r>
  <r>
    <x v="6"/>
    <x v="2"/>
  </r>
  <r>
    <x v="2"/>
    <x v="1"/>
  </r>
  <r>
    <x v="4"/>
    <x v="1"/>
  </r>
  <r>
    <x v="5"/>
    <x v="0"/>
  </r>
  <r>
    <x v="6"/>
    <x v="0"/>
  </r>
  <r>
    <x v="6"/>
    <x v="3"/>
  </r>
  <r>
    <x v="2"/>
    <x v="1"/>
  </r>
  <r>
    <x v="2"/>
    <x v="3"/>
  </r>
  <r>
    <x v="4"/>
    <x v="3"/>
  </r>
  <r>
    <x v="4"/>
    <x v="1"/>
  </r>
  <r>
    <x v="1"/>
    <x v="3"/>
  </r>
  <r>
    <x v="4"/>
    <x v="2"/>
  </r>
  <r>
    <x v="6"/>
    <x v="1"/>
  </r>
  <r>
    <x v="2"/>
    <x v="0"/>
  </r>
  <r>
    <x v="0"/>
    <x v="3"/>
  </r>
  <r>
    <x v="6"/>
    <x v="2"/>
  </r>
  <r>
    <x v="4"/>
    <x v="3"/>
  </r>
  <r>
    <x v="4"/>
    <x v="1"/>
  </r>
  <r>
    <x v="6"/>
    <x v="2"/>
  </r>
  <r>
    <x v="6"/>
    <x v="1"/>
  </r>
  <r>
    <x v="0"/>
    <x v="2"/>
  </r>
  <r>
    <x v="0"/>
    <x v="2"/>
  </r>
  <r>
    <x v="4"/>
    <x v="2"/>
  </r>
  <r>
    <x v="2"/>
    <x v="0"/>
  </r>
  <r>
    <x v="1"/>
    <x v="2"/>
  </r>
  <r>
    <x v="2"/>
    <x v="3"/>
  </r>
  <r>
    <x v="3"/>
    <x v="1"/>
  </r>
  <r>
    <x v="6"/>
    <x v="2"/>
  </r>
  <r>
    <x v="4"/>
    <x v="3"/>
  </r>
  <r>
    <x v="2"/>
    <x v="3"/>
  </r>
  <r>
    <x v="6"/>
    <x v="2"/>
  </r>
  <r>
    <x v="3"/>
    <x v="3"/>
  </r>
  <r>
    <x v="6"/>
    <x v="2"/>
  </r>
  <r>
    <x v="0"/>
    <x v="1"/>
  </r>
  <r>
    <x v="3"/>
    <x v="2"/>
  </r>
  <r>
    <x v="4"/>
    <x v="0"/>
  </r>
  <r>
    <x v="2"/>
    <x v="2"/>
  </r>
  <r>
    <x v="2"/>
    <x v="2"/>
  </r>
  <r>
    <x v="0"/>
    <x v="3"/>
  </r>
  <r>
    <x v="0"/>
    <x v="1"/>
  </r>
  <r>
    <x v="3"/>
    <x v="1"/>
  </r>
  <r>
    <x v="2"/>
    <x v="3"/>
  </r>
  <r>
    <x v="2"/>
    <x v="3"/>
  </r>
  <r>
    <x v="6"/>
    <x v="1"/>
  </r>
  <r>
    <x v="5"/>
    <x v="1"/>
  </r>
  <r>
    <x v="2"/>
    <x v="0"/>
  </r>
  <r>
    <x v="4"/>
    <x v="0"/>
  </r>
  <r>
    <x v="5"/>
    <x v="1"/>
  </r>
  <r>
    <x v="0"/>
    <x v="3"/>
  </r>
  <r>
    <x v="4"/>
    <x v="1"/>
  </r>
  <r>
    <x v="1"/>
    <x v="0"/>
  </r>
  <r>
    <x v="3"/>
    <x v="1"/>
  </r>
  <r>
    <x v="3"/>
    <x v="0"/>
  </r>
  <r>
    <x v="0"/>
    <x v="0"/>
  </r>
  <r>
    <x v="6"/>
    <x v="3"/>
  </r>
  <r>
    <x v="4"/>
    <x v="1"/>
  </r>
  <r>
    <x v="4"/>
    <x v="3"/>
  </r>
  <r>
    <x v="5"/>
    <x v="3"/>
  </r>
  <r>
    <x v="1"/>
    <x v="3"/>
  </r>
  <r>
    <x v="2"/>
    <x v="0"/>
  </r>
  <r>
    <x v="0"/>
    <x v="0"/>
  </r>
  <r>
    <x v="6"/>
    <x v="2"/>
  </r>
  <r>
    <x v="1"/>
    <x v="0"/>
  </r>
  <r>
    <x v="4"/>
    <x v="1"/>
  </r>
  <r>
    <x v="2"/>
    <x v="2"/>
  </r>
  <r>
    <x v="0"/>
    <x v="0"/>
  </r>
  <r>
    <x v="0"/>
    <x v="1"/>
  </r>
  <r>
    <x v="1"/>
    <x v="2"/>
  </r>
  <r>
    <x v="1"/>
    <x v="2"/>
  </r>
  <r>
    <x v="1"/>
    <x v="1"/>
  </r>
  <r>
    <x v="1"/>
    <x v="1"/>
  </r>
  <r>
    <x v="3"/>
    <x v="1"/>
  </r>
  <r>
    <x v="6"/>
    <x v="0"/>
  </r>
  <r>
    <x v="2"/>
    <x v="0"/>
  </r>
  <r>
    <x v="0"/>
    <x v="0"/>
  </r>
  <r>
    <x v="3"/>
    <x v="1"/>
  </r>
  <r>
    <x v="0"/>
    <x v="3"/>
  </r>
  <r>
    <x v="2"/>
    <x v="0"/>
  </r>
  <r>
    <x v="2"/>
    <x v="1"/>
  </r>
  <r>
    <x v="2"/>
    <x v="3"/>
  </r>
  <r>
    <x v="0"/>
    <x v="2"/>
  </r>
  <r>
    <x v="2"/>
    <x v="0"/>
  </r>
  <r>
    <x v="1"/>
    <x v="3"/>
  </r>
  <r>
    <x v="6"/>
    <x v="3"/>
  </r>
  <r>
    <x v="2"/>
    <x v="1"/>
  </r>
  <r>
    <x v="4"/>
    <x v="3"/>
  </r>
  <r>
    <x v="6"/>
    <x v="3"/>
  </r>
  <r>
    <x v="3"/>
    <x v="1"/>
  </r>
  <r>
    <x v="0"/>
    <x v="2"/>
  </r>
  <r>
    <x v="5"/>
    <x v="0"/>
  </r>
  <r>
    <x v="4"/>
    <x v="1"/>
  </r>
  <r>
    <x v="0"/>
    <x v="3"/>
  </r>
  <r>
    <x v="2"/>
    <x v="0"/>
  </r>
  <r>
    <x v="4"/>
    <x v="1"/>
  </r>
  <r>
    <x v="4"/>
    <x v="2"/>
  </r>
  <r>
    <x v="4"/>
    <x v="1"/>
  </r>
  <r>
    <x v="4"/>
    <x v="2"/>
  </r>
  <r>
    <x v="4"/>
    <x v="1"/>
  </r>
  <r>
    <x v="5"/>
    <x v="2"/>
  </r>
  <r>
    <x v="2"/>
    <x v="1"/>
  </r>
  <r>
    <x v="1"/>
    <x v="2"/>
  </r>
  <r>
    <x v="0"/>
    <x v="1"/>
  </r>
  <r>
    <x v="0"/>
    <x v="3"/>
  </r>
  <r>
    <x v="6"/>
    <x v="1"/>
  </r>
  <r>
    <x v="4"/>
    <x v="0"/>
  </r>
  <r>
    <x v="5"/>
    <x v="0"/>
  </r>
  <r>
    <x v="5"/>
    <x v="2"/>
  </r>
  <r>
    <x v="5"/>
    <x v="0"/>
  </r>
  <r>
    <x v="3"/>
    <x v="1"/>
  </r>
  <r>
    <x v="5"/>
    <x v="1"/>
  </r>
  <r>
    <x v="1"/>
    <x v="0"/>
  </r>
  <r>
    <x v="5"/>
    <x v="0"/>
  </r>
  <r>
    <x v="0"/>
    <x v="0"/>
  </r>
  <r>
    <x v="4"/>
    <x v="1"/>
  </r>
  <r>
    <x v="6"/>
    <x v="1"/>
  </r>
  <r>
    <x v="0"/>
    <x v="0"/>
  </r>
  <r>
    <x v="4"/>
    <x v="0"/>
  </r>
  <r>
    <x v="6"/>
    <x v="3"/>
  </r>
  <r>
    <x v="6"/>
    <x v="3"/>
  </r>
  <r>
    <x v="4"/>
    <x v="3"/>
  </r>
  <r>
    <x v="3"/>
    <x v="1"/>
  </r>
  <r>
    <x v="1"/>
    <x v="0"/>
  </r>
  <r>
    <x v="0"/>
    <x v="1"/>
  </r>
  <r>
    <x v="4"/>
    <x v="3"/>
  </r>
  <r>
    <x v="4"/>
    <x v="3"/>
  </r>
  <r>
    <x v="1"/>
    <x v="2"/>
  </r>
  <r>
    <x v="2"/>
    <x v="2"/>
  </r>
  <r>
    <x v="2"/>
    <x v="0"/>
  </r>
  <r>
    <x v="6"/>
    <x v="0"/>
  </r>
  <r>
    <x v="2"/>
    <x v="2"/>
  </r>
  <r>
    <x v="6"/>
    <x v="1"/>
  </r>
  <r>
    <x v="6"/>
    <x v="0"/>
  </r>
  <r>
    <x v="5"/>
    <x v="0"/>
  </r>
  <r>
    <x v="2"/>
    <x v="0"/>
  </r>
  <r>
    <x v="0"/>
    <x v="0"/>
  </r>
  <r>
    <x v="6"/>
    <x v="3"/>
  </r>
  <r>
    <x v="0"/>
    <x v="2"/>
  </r>
  <r>
    <x v="1"/>
    <x v="0"/>
  </r>
  <r>
    <x v="0"/>
    <x v="2"/>
  </r>
  <r>
    <x v="5"/>
    <x v="0"/>
  </r>
  <r>
    <x v="1"/>
    <x v="3"/>
  </r>
  <r>
    <x v="0"/>
    <x v="0"/>
  </r>
  <r>
    <x v="3"/>
    <x v="1"/>
  </r>
  <r>
    <x v="1"/>
    <x v="0"/>
  </r>
  <r>
    <x v="6"/>
    <x v="0"/>
  </r>
  <r>
    <x v="2"/>
    <x v="0"/>
  </r>
  <r>
    <x v="1"/>
    <x v="2"/>
  </r>
  <r>
    <x v="3"/>
    <x v="3"/>
  </r>
  <r>
    <x v="4"/>
    <x v="0"/>
  </r>
  <r>
    <x v="3"/>
    <x v="1"/>
  </r>
  <r>
    <x v="5"/>
    <x v="2"/>
  </r>
  <r>
    <x v="0"/>
    <x v="1"/>
  </r>
  <r>
    <x v="2"/>
    <x v="1"/>
  </r>
  <r>
    <x v="6"/>
    <x v="3"/>
  </r>
  <r>
    <x v="3"/>
    <x v="1"/>
  </r>
  <r>
    <x v="4"/>
    <x v="2"/>
  </r>
  <r>
    <x v="6"/>
    <x v="2"/>
  </r>
  <r>
    <x v="6"/>
    <x v="0"/>
  </r>
  <r>
    <x v="4"/>
    <x v="0"/>
  </r>
  <r>
    <x v="4"/>
    <x v="0"/>
  </r>
  <r>
    <x v="1"/>
    <x v="1"/>
  </r>
  <r>
    <x v="5"/>
    <x v="1"/>
  </r>
  <r>
    <x v="6"/>
    <x v="3"/>
  </r>
  <r>
    <x v="4"/>
    <x v="1"/>
  </r>
  <r>
    <x v="4"/>
    <x v="3"/>
  </r>
  <r>
    <x v="1"/>
    <x v="0"/>
  </r>
  <r>
    <x v="2"/>
    <x v="3"/>
  </r>
  <r>
    <x v="4"/>
    <x v="2"/>
  </r>
  <r>
    <x v="0"/>
    <x v="0"/>
  </r>
  <r>
    <x v="2"/>
    <x v="0"/>
  </r>
  <r>
    <x v="1"/>
    <x v="3"/>
  </r>
  <r>
    <x v="6"/>
    <x v="3"/>
  </r>
  <r>
    <x v="5"/>
    <x v="1"/>
  </r>
  <r>
    <x v="5"/>
    <x v="0"/>
  </r>
  <r>
    <x v="1"/>
    <x v="1"/>
  </r>
  <r>
    <x v="0"/>
    <x v="0"/>
  </r>
  <r>
    <x v="2"/>
    <x v="3"/>
  </r>
  <r>
    <x v="3"/>
    <x v="3"/>
  </r>
  <r>
    <x v="5"/>
    <x v="0"/>
  </r>
  <r>
    <x v="0"/>
    <x v="2"/>
  </r>
  <r>
    <x v="1"/>
    <x v="0"/>
  </r>
  <r>
    <x v="4"/>
    <x v="0"/>
  </r>
  <r>
    <x v="3"/>
    <x v="2"/>
  </r>
  <r>
    <x v="2"/>
    <x v="1"/>
  </r>
  <r>
    <x v="1"/>
    <x v="3"/>
  </r>
  <r>
    <x v="1"/>
    <x v="0"/>
  </r>
  <r>
    <x v="4"/>
    <x v="3"/>
  </r>
  <r>
    <x v="2"/>
    <x v="0"/>
  </r>
  <r>
    <x v="3"/>
    <x v="0"/>
  </r>
  <r>
    <x v="5"/>
    <x v="1"/>
  </r>
  <r>
    <x v="1"/>
    <x v="3"/>
  </r>
  <r>
    <x v="4"/>
    <x v="1"/>
  </r>
  <r>
    <x v="5"/>
    <x v="1"/>
  </r>
  <r>
    <x v="4"/>
    <x v="3"/>
  </r>
  <r>
    <x v="0"/>
    <x v="0"/>
  </r>
  <r>
    <x v="5"/>
    <x v="1"/>
  </r>
  <r>
    <x v="2"/>
    <x v="3"/>
  </r>
  <r>
    <x v="4"/>
    <x v="3"/>
  </r>
  <r>
    <x v="2"/>
    <x v="3"/>
  </r>
  <r>
    <x v="6"/>
    <x v="2"/>
  </r>
  <r>
    <x v="4"/>
    <x v="3"/>
  </r>
  <r>
    <x v="0"/>
    <x v="1"/>
  </r>
  <r>
    <x v="3"/>
    <x v="1"/>
  </r>
  <r>
    <x v="4"/>
    <x v="2"/>
  </r>
  <r>
    <x v="4"/>
    <x v="2"/>
  </r>
  <r>
    <x v="5"/>
    <x v="0"/>
  </r>
  <r>
    <x v="4"/>
    <x v="2"/>
  </r>
  <r>
    <x v="6"/>
    <x v="1"/>
  </r>
  <r>
    <x v="3"/>
    <x v="1"/>
  </r>
  <r>
    <x v="2"/>
    <x v="0"/>
  </r>
  <r>
    <x v="4"/>
    <x v="3"/>
  </r>
  <r>
    <x v="5"/>
    <x v="3"/>
  </r>
  <r>
    <x v="5"/>
    <x v="2"/>
  </r>
  <r>
    <x v="6"/>
    <x v="2"/>
  </r>
  <r>
    <x v="0"/>
    <x v="3"/>
  </r>
  <r>
    <x v="4"/>
    <x v="0"/>
  </r>
  <r>
    <x v="6"/>
    <x v="3"/>
  </r>
  <r>
    <x v="6"/>
    <x v="3"/>
  </r>
  <r>
    <x v="4"/>
    <x v="1"/>
  </r>
  <r>
    <x v="3"/>
    <x v="0"/>
  </r>
  <r>
    <x v="0"/>
    <x v="2"/>
  </r>
  <r>
    <x v="1"/>
    <x v="1"/>
  </r>
  <r>
    <x v="2"/>
    <x v="1"/>
  </r>
  <r>
    <x v="3"/>
    <x v="3"/>
  </r>
  <r>
    <x v="5"/>
    <x v="0"/>
  </r>
  <r>
    <x v="6"/>
    <x v="1"/>
  </r>
  <r>
    <x v="2"/>
    <x v="3"/>
  </r>
  <r>
    <x v="4"/>
    <x v="1"/>
  </r>
  <r>
    <x v="5"/>
    <x v="0"/>
  </r>
  <r>
    <x v="2"/>
    <x v="3"/>
  </r>
  <r>
    <x v="4"/>
    <x v="3"/>
  </r>
  <r>
    <x v="0"/>
    <x v="2"/>
  </r>
  <r>
    <x v="0"/>
    <x v="3"/>
  </r>
  <r>
    <x v="5"/>
    <x v="2"/>
  </r>
  <r>
    <x v="2"/>
    <x v="2"/>
  </r>
  <r>
    <x v="3"/>
    <x v="3"/>
  </r>
  <r>
    <x v="1"/>
    <x v="3"/>
  </r>
  <r>
    <x v="6"/>
    <x v="3"/>
  </r>
  <r>
    <x v="2"/>
    <x v="2"/>
  </r>
  <r>
    <x v="6"/>
    <x v="0"/>
  </r>
  <r>
    <x v="5"/>
    <x v="1"/>
  </r>
  <r>
    <x v="2"/>
    <x v="0"/>
  </r>
  <r>
    <x v="1"/>
    <x v="3"/>
  </r>
  <r>
    <x v="6"/>
    <x v="2"/>
  </r>
  <r>
    <x v="6"/>
    <x v="2"/>
  </r>
  <r>
    <x v="2"/>
    <x v="2"/>
  </r>
  <r>
    <x v="4"/>
    <x v="1"/>
  </r>
  <r>
    <x v="6"/>
    <x v="2"/>
  </r>
  <r>
    <x v="1"/>
    <x v="3"/>
  </r>
  <r>
    <x v="6"/>
    <x v="1"/>
  </r>
  <r>
    <x v="5"/>
    <x v="2"/>
  </r>
  <r>
    <x v="0"/>
    <x v="0"/>
  </r>
  <r>
    <x v="3"/>
    <x v="3"/>
  </r>
  <r>
    <x v="6"/>
    <x v="1"/>
  </r>
  <r>
    <x v="3"/>
    <x v="0"/>
  </r>
  <r>
    <x v="0"/>
    <x v="0"/>
  </r>
  <r>
    <x v="4"/>
    <x v="3"/>
  </r>
  <r>
    <x v="3"/>
    <x v="0"/>
  </r>
  <r>
    <x v="0"/>
    <x v="2"/>
  </r>
  <r>
    <x v="5"/>
    <x v="3"/>
  </r>
  <r>
    <x v="2"/>
    <x v="1"/>
  </r>
  <r>
    <x v="3"/>
    <x v="2"/>
  </r>
  <r>
    <x v="4"/>
    <x v="3"/>
  </r>
  <r>
    <x v="3"/>
    <x v="2"/>
  </r>
  <r>
    <x v="3"/>
    <x v="3"/>
  </r>
  <r>
    <x v="4"/>
    <x v="1"/>
  </r>
  <r>
    <x v="6"/>
    <x v="0"/>
  </r>
  <r>
    <x v="2"/>
    <x v="0"/>
  </r>
  <r>
    <x v="6"/>
    <x v="2"/>
  </r>
  <r>
    <x v="5"/>
    <x v="3"/>
  </r>
  <r>
    <x v="3"/>
    <x v="0"/>
  </r>
  <r>
    <x v="0"/>
    <x v="2"/>
  </r>
  <r>
    <x v="5"/>
    <x v="2"/>
  </r>
  <r>
    <x v="6"/>
    <x v="2"/>
  </r>
  <r>
    <x v="5"/>
    <x v="2"/>
  </r>
  <r>
    <x v="0"/>
    <x v="3"/>
  </r>
  <r>
    <x v="2"/>
    <x v="0"/>
  </r>
  <r>
    <x v="2"/>
    <x v="0"/>
  </r>
  <r>
    <x v="6"/>
    <x v="0"/>
  </r>
  <r>
    <x v="0"/>
    <x v="0"/>
  </r>
  <r>
    <x v="1"/>
    <x v="0"/>
  </r>
  <r>
    <x v="3"/>
    <x v="0"/>
  </r>
  <r>
    <x v="2"/>
    <x v="1"/>
  </r>
  <r>
    <x v="5"/>
    <x v="2"/>
  </r>
  <r>
    <x v="6"/>
    <x v="3"/>
  </r>
  <r>
    <x v="5"/>
    <x v="3"/>
  </r>
  <r>
    <x v="1"/>
    <x v="1"/>
  </r>
  <r>
    <x v="1"/>
    <x v="2"/>
  </r>
  <r>
    <x v="6"/>
    <x v="1"/>
  </r>
  <r>
    <x v="3"/>
    <x v="2"/>
  </r>
  <r>
    <x v="3"/>
    <x v="3"/>
  </r>
  <r>
    <x v="2"/>
    <x v="1"/>
  </r>
  <r>
    <x v="5"/>
    <x v="0"/>
  </r>
  <r>
    <x v="1"/>
    <x v="2"/>
  </r>
  <r>
    <x v="0"/>
    <x v="2"/>
  </r>
  <r>
    <x v="3"/>
    <x v="0"/>
  </r>
  <r>
    <x v="6"/>
    <x v="1"/>
  </r>
  <r>
    <x v="2"/>
    <x v="3"/>
  </r>
  <r>
    <x v="1"/>
    <x v="0"/>
  </r>
  <r>
    <x v="6"/>
    <x v="3"/>
  </r>
  <r>
    <x v="0"/>
    <x v="2"/>
  </r>
  <r>
    <x v="0"/>
    <x v="3"/>
  </r>
  <r>
    <x v="4"/>
    <x v="1"/>
  </r>
  <r>
    <x v="2"/>
    <x v="2"/>
  </r>
  <r>
    <x v="0"/>
    <x v="1"/>
  </r>
  <r>
    <x v="2"/>
    <x v="3"/>
  </r>
  <r>
    <x v="1"/>
    <x v="2"/>
  </r>
  <r>
    <x v="6"/>
    <x v="0"/>
  </r>
  <r>
    <x v="2"/>
    <x v="2"/>
  </r>
  <r>
    <x v="1"/>
    <x v="0"/>
  </r>
  <r>
    <x v="0"/>
    <x v="3"/>
  </r>
  <r>
    <x v="0"/>
    <x v="3"/>
  </r>
  <r>
    <x v="0"/>
    <x v="0"/>
  </r>
  <r>
    <x v="4"/>
    <x v="3"/>
  </r>
  <r>
    <x v="5"/>
    <x v="3"/>
  </r>
  <r>
    <x v="2"/>
    <x v="3"/>
  </r>
  <r>
    <x v="6"/>
    <x v="1"/>
  </r>
  <r>
    <x v="5"/>
    <x v="3"/>
  </r>
  <r>
    <x v="4"/>
    <x v="3"/>
  </r>
  <r>
    <x v="0"/>
    <x v="1"/>
  </r>
  <r>
    <x v="2"/>
    <x v="1"/>
  </r>
  <r>
    <x v="0"/>
    <x v="2"/>
  </r>
  <r>
    <x v="1"/>
    <x v="0"/>
  </r>
  <r>
    <x v="4"/>
    <x v="1"/>
  </r>
  <r>
    <x v="3"/>
    <x v="2"/>
  </r>
  <r>
    <x v="4"/>
    <x v="3"/>
  </r>
  <r>
    <x v="5"/>
    <x v="2"/>
  </r>
  <r>
    <x v="3"/>
    <x v="1"/>
  </r>
  <r>
    <x v="5"/>
    <x v="0"/>
  </r>
  <r>
    <x v="6"/>
    <x v="3"/>
  </r>
  <r>
    <x v="2"/>
    <x v="0"/>
  </r>
  <r>
    <x v="1"/>
    <x v="1"/>
  </r>
  <r>
    <x v="1"/>
    <x v="0"/>
  </r>
  <r>
    <x v="3"/>
    <x v="0"/>
  </r>
  <r>
    <x v="3"/>
    <x v="3"/>
  </r>
  <r>
    <x v="1"/>
    <x v="3"/>
  </r>
  <r>
    <x v="5"/>
    <x v="3"/>
  </r>
  <r>
    <x v="6"/>
    <x v="1"/>
  </r>
  <r>
    <x v="6"/>
    <x v="1"/>
  </r>
  <r>
    <x v="1"/>
    <x v="3"/>
  </r>
  <r>
    <x v="5"/>
    <x v="1"/>
  </r>
  <r>
    <x v="5"/>
    <x v="2"/>
  </r>
  <r>
    <x v="0"/>
    <x v="1"/>
  </r>
  <r>
    <x v="6"/>
    <x v="1"/>
  </r>
  <r>
    <x v="4"/>
    <x v="3"/>
  </r>
  <r>
    <x v="5"/>
    <x v="2"/>
  </r>
  <r>
    <x v="2"/>
    <x v="3"/>
  </r>
  <r>
    <x v="5"/>
    <x v="0"/>
  </r>
  <r>
    <x v="0"/>
    <x v="2"/>
  </r>
  <r>
    <x v="6"/>
    <x v="0"/>
  </r>
  <r>
    <x v="0"/>
    <x v="3"/>
  </r>
  <r>
    <x v="5"/>
    <x v="3"/>
  </r>
  <r>
    <x v="2"/>
    <x v="3"/>
  </r>
  <r>
    <x v="1"/>
    <x v="0"/>
  </r>
  <r>
    <x v="5"/>
    <x v="1"/>
  </r>
  <r>
    <x v="3"/>
    <x v="3"/>
  </r>
  <r>
    <x v="6"/>
    <x v="0"/>
  </r>
  <r>
    <x v="2"/>
    <x v="3"/>
  </r>
  <r>
    <x v="0"/>
    <x v="2"/>
  </r>
  <r>
    <x v="5"/>
    <x v="1"/>
  </r>
  <r>
    <x v="3"/>
    <x v="1"/>
  </r>
  <r>
    <x v="6"/>
    <x v="0"/>
  </r>
  <r>
    <x v="3"/>
    <x v="3"/>
  </r>
  <r>
    <x v="3"/>
    <x v="3"/>
  </r>
  <r>
    <x v="4"/>
    <x v="0"/>
  </r>
  <r>
    <x v="5"/>
    <x v="3"/>
  </r>
  <r>
    <x v="6"/>
    <x v="1"/>
  </r>
  <r>
    <x v="4"/>
    <x v="2"/>
  </r>
  <r>
    <x v="4"/>
    <x v="1"/>
  </r>
  <r>
    <x v="0"/>
    <x v="1"/>
  </r>
  <r>
    <x v="0"/>
    <x v="0"/>
  </r>
  <r>
    <x v="1"/>
    <x v="1"/>
  </r>
  <r>
    <x v="6"/>
    <x v="0"/>
  </r>
  <r>
    <x v="2"/>
    <x v="3"/>
  </r>
  <r>
    <x v="3"/>
    <x v="1"/>
  </r>
  <r>
    <x v="6"/>
    <x v="3"/>
  </r>
  <r>
    <x v="2"/>
    <x v="2"/>
  </r>
  <r>
    <x v="6"/>
    <x v="3"/>
  </r>
  <r>
    <x v="4"/>
    <x v="0"/>
  </r>
  <r>
    <x v="2"/>
    <x v="1"/>
  </r>
  <r>
    <x v="6"/>
    <x v="0"/>
  </r>
  <r>
    <x v="5"/>
    <x v="3"/>
  </r>
  <r>
    <x v="1"/>
    <x v="0"/>
  </r>
  <r>
    <x v="6"/>
    <x v="3"/>
  </r>
  <r>
    <x v="6"/>
    <x v="3"/>
  </r>
  <r>
    <x v="1"/>
    <x v="3"/>
  </r>
  <r>
    <x v="2"/>
    <x v="0"/>
  </r>
  <r>
    <x v="2"/>
    <x v="1"/>
  </r>
  <r>
    <x v="4"/>
    <x v="1"/>
  </r>
  <r>
    <x v="4"/>
    <x v="0"/>
  </r>
  <r>
    <x v="1"/>
    <x v="1"/>
  </r>
  <r>
    <x v="5"/>
    <x v="0"/>
  </r>
  <r>
    <x v="1"/>
    <x v="0"/>
  </r>
  <r>
    <x v="1"/>
    <x v="2"/>
  </r>
  <r>
    <x v="0"/>
    <x v="0"/>
  </r>
  <r>
    <x v="2"/>
    <x v="2"/>
  </r>
  <r>
    <x v="3"/>
    <x v="2"/>
  </r>
  <r>
    <x v="4"/>
    <x v="0"/>
  </r>
  <r>
    <x v="2"/>
    <x v="3"/>
  </r>
  <r>
    <x v="6"/>
    <x v="0"/>
  </r>
  <r>
    <x v="6"/>
    <x v="0"/>
  </r>
  <r>
    <x v="5"/>
    <x v="3"/>
  </r>
  <r>
    <x v="6"/>
    <x v="2"/>
  </r>
  <r>
    <x v="4"/>
    <x v="3"/>
  </r>
  <r>
    <x v="5"/>
    <x v="0"/>
  </r>
  <r>
    <x v="6"/>
    <x v="1"/>
  </r>
  <r>
    <x v="2"/>
    <x v="0"/>
  </r>
  <r>
    <x v="5"/>
    <x v="1"/>
  </r>
  <r>
    <x v="3"/>
    <x v="3"/>
  </r>
  <r>
    <x v="3"/>
    <x v="1"/>
  </r>
  <r>
    <x v="0"/>
    <x v="2"/>
  </r>
  <r>
    <x v="5"/>
    <x v="3"/>
  </r>
  <r>
    <x v="4"/>
    <x v="0"/>
  </r>
  <r>
    <x v="2"/>
    <x v="0"/>
  </r>
  <r>
    <x v="1"/>
    <x v="1"/>
  </r>
  <r>
    <x v="1"/>
    <x v="2"/>
  </r>
  <r>
    <x v="2"/>
    <x v="3"/>
  </r>
  <r>
    <x v="3"/>
    <x v="2"/>
  </r>
  <r>
    <x v="2"/>
    <x v="2"/>
  </r>
  <r>
    <x v="1"/>
    <x v="1"/>
  </r>
  <r>
    <x v="3"/>
    <x v="1"/>
  </r>
  <r>
    <x v="3"/>
    <x v="1"/>
  </r>
  <r>
    <x v="6"/>
    <x v="2"/>
  </r>
  <r>
    <x v="6"/>
    <x v="2"/>
  </r>
  <r>
    <x v="6"/>
    <x v="3"/>
  </r>
  <r>
    <x v="0"/>
    <x v="2"/>
  </r>
  <r>
    <x v="0"/>
    <x v="2"/>
  </r>
  <r>
    <x v="5"/>
    <x v="2"/>
  </r>
  <r>
    <x v="5"/>
    <x v="3"/>
  </r>
  <r>
    <x v="6"/>
    <x v="2"/>
  </r>
  <r>
    <x v="5"/>
    <x v="3"/>
  </r>
  <r>
    <x v="0"/>
    <x v="0"/>
  </r>
  <r>
    <x v="5"/>
    <x v="1"/>
  </r>
  <r>
    <x v="4"/>
    <x v="3"/>
  </r>
  <r>
    <x v="1"/>
    <x v="1"/>
  </r>
  <r>
    <x v="0"/>
    <x v="3"/>
  </r>
  <r>
    <x v="6"/>
    <x v="2"/>
  </r>
  <r>
    <x v="6"/>
    <x v="0"/>
  </r>
  <r>
    <x v="4"/>
    <x v="0"/>
  </r>
  <r>
    <x v="3"/>
    <x v="2"/>
  </r>
  <r>
    <x v="1"/>
    <x v="2"/>
  </r>
  <r>
    <x v="3"/>
    <x v="1"/>
  </r>
  <r>
    <x v="2"/>
    <x v="1"/>
  </r>
  <r>
    <x v="4"/>
    <x v="0"/>
  </r>
  <r>
    <x v="0"/>
    <x v="0"/>
  </r>
  <r>
    <x v="5"/>
    <x v="3"/>
  </r>
  <r>
    <x v="5"/>
    <x v="1"/>
  </r>
  <r>
    <x v="5"/>
    <x v="0"/>
  </r>
  <r>
    <x v="1"/>
    <x v="1"/>
  </r>
  <r>
    <x v="2"/>
    <x v="2"/>
  </r>
  <r>
    <x v="0"/>
    <x v="2"/>
  </r>
  <r>
    <x v="0"/>
    <x v="3"/>
  </r>
  <r>
    <x v="5"/>
    <x v="0"/>
  </r>
  <r>
    <x v="5"/>
    <x v="1"/>
  </r>
  <r>
    <x v="5"/>
    <x v="0"/>
  </r>
  <r>
    <x v="2"/>
    <x v="3"/>
  </r>
  <r>
    <x v="6"/>
    <x v="1"/>
  </r>
  <r>
    <x v="4"/>
    <x v="0"/>
  </r>
  <r>
    <x v="4"/>
    <x v="0"/>
  </r>
  <r>
    <x v="4"/>
    <x v="1"/>
  </r>
  <r>
    <x v="6"/>
    <x v="0"/>
  </r>
  <r>
    <x v="1"/>
    <x v="2"/>
  </r>
  <r>
    <x v="0"/>
    <x v="0"/>
  </r>
  <r>
    <x v="0"/>
    <x v="1"/>
  </r>
  <r>
    <x v="5"/>
    <x v="1"/>
  </r>
  <r>
    <x v="1"/>
    <x v="3"/>
  </r>
  <r>
    <x v="1"/>
    <x v="0"/>
  </r>
  <r>
    <x v="3"/>
    <x v="2"/>
  </r>
  <r>
    <x v="3"/>
    <x v="2"/>
  </r>
  <r>
    <x v="2"/>
    <x v="3"/>
  </r>
  <r>
    <x v="2"/>
    <x v="2"/>
  </r>
  <r>
    <x v="6"/>
    <x v="0"/>
  </r>
  <r>
    <x v="1"/>
    <x v="1"/>
  </r>
  <r>
    <x v="0"/>
    <x v="3"/>
  </r>
  <r>
    <x v="0"/>
    <x v="0"/>
  </r>
  <r>
    <x v="0"/>
    <x v="3"/>
  </r>
  <r>
    <x v="4"/>
    <x v="0"/>
  </r>
  <r>
    <x v="2"/>
    <x v="1"/>
  </r>
  <r>
    <x v="2"/>
    <x v="0"/>
  </r>
  <r>
    <x v="4"/>
    <x v="3"/>
  </r>
  <r>
    <x v="3"/>
    <x v="0"/>
  </r>
  <r>
    <x v="3"/>
    <x v="1"/>
  </r>
  <r>
    <x v="1"/>
    <x v="2"/>
  </r>
  <r>
    <x v="5"/>
    <x v="2"/>
  </r>
  <r>
    <x v="4"/>
    <x v="2"/>
  </r>
  <r>
    <x v="1"/>
    <x v="0"/>
  </r>
  <r>
    <x v="1"/>
    <x v="2"/>
  </r>
  <r>
    <x v="2"/>
    <x v="0"/>
  </r>
  <r>
    <x v="2"/>
    <x v="2"/>
  </r>
  <r>
    <x v="0"/>
    <x v="3"/>
  </r>
  <r>
    <x v="2"/>
    <x v="0"/>
  </r>
  <r>
    <x v="0"/>
    <x v="2"/>
  </r>
  <r>
    <x v="0"/>
    <x v="1"/>
  </r>
  <r>
    <x v="0"/>
    <x v="3"/>
  </r>
  <r>
    <x v="1"/>
    <x v="3"/>
  </r>
  <r>
    <x v="5"/>
    <x v="1"/>
  </r>
  <r>
    <x v="4"/>
    <x v="2"/>
  </r>
  <r>
    <x v="6"/>
    <x v="3"/>
  </r>
  <r>
    <x v="1"/>
    <x v="0"/>
  </r>
  <r>
    <x v="3"/>
    <x v="0"/>
  </r>
  <r>
    <x v="0"/>
    <x v="1"/>
  </r>
  <r>
    <x v="1"/>
    <x v="0"/>
  </r>
  <r>
    <x v="5"/>
    <x v="1"/>
  </r>
  <r>
    <x v="1"/>
    <x v="1"/>
  </r>
  <r>
    <x v="5"/>
    <x v="2"/>
  </r>
  <r>
    <x v="4"/>
    <x v="1"/>
  </r>
  <r>
    <x v="1"/>
    <x v="1"/>
  </r>
  <r>
    <x v="6"/>
    <x v="1"/>
  </r>
  <r>
    <x v="2"/>
    <x v="0"/>
  </r>
  <r>
    <x v="1"/>
    <x v="3"/>
  </r>
  <r>
    <x v="6"/>
    <x v="3"/>
  </r>
  <r>
    <x v="2"/>
    <x v="0"/>
  </r>
  <r>
    <x v="4"/>
    <x v="3"/>
  </r>
  <r>
    <x v="5"/>
    <x v="3"/>
  </r>
  <r>
    <x v="2"/>
    <x v="0"/>
  </r>
  <r>
    <x v="0"/>
    <x v="2"/>
  </r>
  <r>
    <x v="3"/>
    <x v="1"/>
  </r>
  <r>
    <x v="3"/>
    <x v="2"/>
  </r>
  <r>
    <x v="5"/>
    <x v="1"/>
  </r>
  <r>
    <x v="5"/>
    <x v="3"/>
  </r>
  <r>
    <x v="6"/>
    <x v="2"/>
  </r>
  <r>
    <x v="0"/>
    <x v="2"/>
  </r>
  <r>
    <x v="5"/>
    <x v="2"/>
  </r>
  <r>
    <x v="0"/>
    <x v="2"/>
  </r>
  <r>
    <x v="1"/>
    <x v="1"/>
  </r>
  <r>
    <x v="3"/>
    <x v="0"/>
  </r>
  <r>
    <x v="0"/>
    <x v="1"/>
  </r>
  <r>
    <x v="3"/>
    <x v="3"/>
  </r>
  <r>
    <x v="1"/>
    <x v="1"/>
  </r>
  <r>
    <x v="0"/>
    <x v="1"/>
  </r>
  <r>
    <x v="2"/>
    <x v="0"/>
  </r>
  <r>
    <x v="3"/>
    <x v="1"/>
  </r>
  <r>
    <x v="3"/>
    <x v="2"/>
  </r>
  <r>
    <x v="6"/>
    <x v="0"/>
  </r>
  <r>
    <x v="5"/>
    <x v="3"/>
  </r>
  <r>
    <x v="0"/>
    <x v="3"/>
  </r>
  <r>
    <x v="5"/>
    <x v="2"/>
  </r>
  <r>
    <x v="5"/>
    <x v="1"/>
  </r>
  <r>
    <x v="3"/>
    <x v="0"/>
  </r>
  <r>
    <x v="2"/>
    <x v="3"/>
  </r>
  <r>
    <x v="4"/>
    <x v="0"/>
  </r>
  <r>
    <x v="1"/>
    <x v="1"/>
  </r>
  <r>
    <x v="5"/>
    <x v="3"/>
  </r>
  <r>
    <x v="2"/>
    <x v="3"/>
  </r>
  <r>
    <x v="6"/>
    <x v="0"/>
  </r>
  <r>
    <x v="1"/>
    <x v="2"/>
  </r>
  <r>
    <x v="2"/>
    <x v="2"/>
  </r>
  <r>
    <x v="5"/>
    <x v="1"/>
  </r>
  <r>
    <x v="5"/>
    <x v="1"/>
  </r>
  <r>
    <x v="0"/>
    <x v="3"/>
  </r>
  <r>
    <x v="1"/>
    <x v="2"/>
  </r>
  <r>
    <x v="2"/>
    <x v="0"/>
  </r>
  <r>
    <x v="6"/>
    <x v="3"/>
  </r>
  <r>
    <x v="3"/>
    <x v="1"/>
  </r>
  <r>
    <x v="1"/>
    <x v="2"/>
  </r>
  <r>
    <x v="5"/>
    <x v="0"/>
  </r>
  <r>
    <x v="1"/>
    <x v="2"/>
  </r>
  <r>
    <x v="6"/>
    <x v="0"/>
  </r>
  <r>
    <x v="4"/>
    <x v="3"/>
  </r>
  <r>
    <x v="0"/>
    <x v="0"/>
  </r>
  <r>
    <x v="1"/>
    <x v="0"/>
  </r>
  <r>
    <x v="0"/>
    <x v="1"/>
  </r>
  <r>
    <x v="5"/>
    <x v="2"/>
  </r>
  <r>
    <x v="0"/>
    <x v="2"/>
  </r>
  <r>
    <x v="0"/>
    <x v="2"/>
  </r>
  <r>
    <x v="6"/>
    <x v="1"/>
  </r>
  <r>
    <x v="5"/>
    <x v="2"/>
  </r>
  <r>
    <x v="0"/>
    <x v="2"/>
  </r>
  <r>
    <x v="4"/>
    <x v="3"/>
  </r>
  <r>
    <x v="5"/>
    <x v="1"/>
  </r>
  <r>
    <x v="6"/>
    <x v="3"/>
  </r>
  <r>
    <x v="0"/>
    <x v="3"/>
  </r>
  <r>
    <x v="4"/>
    <x v="2"/>
  </r>
  <r>
    <x v="4"/>
    <x v="0"/>
  </r>
  <r>
    <x v="5"/>
    <x v="3"/>
  </r>
  <r>
    <x v="0"/>
    <x v="2"/>
  </r>
  <r>
    <x v="6"/>
    <x v="2"/>
  </r>
  <r>
    <x v="1"/>
    <x v="2"/>
  </r>
  <r>
    <x v="0"/>
    <x v="1"/>
  </r>
  <r>
    <x v="1"/>
    <x v="0"/>
  </r>
  <r>
    <x v="3"/>
    <x v="1"/>
  </r>
  <r>
    <x v="5"/>
    <x v="3"/>
  </r>
  <r>
    <x v="0"/>
    <x v="3"/>
  </r>
  <r>
    <x v="0"/>
    <x v="3"/>
  </r>
  <r>
    <x v="1"/>
    <x v="2"/>
  </r>
  <r>
    <x v="2"/>
    <x v="0"/>
  </r>
  <r>
    <x v="6"/>
    <x v="2"/>
  </r>
  <r>
    <x v="0"/>
    <x v="0"/>
  </r>
  <r>
    <x v="0"/>
    <x v="1"/>
  </r>
  <r>
    <x v="5"/>
    <x v="1"/>
  </r>
  <r>
    <x v="0"/>
    <x v="3"/>
  </r>
  <r>
    <x v="0"/>
    <x v="1"/>
  </r>
  <r>
    <x v="1"/>
    <x v="2"/>
  </r>
  <r>
    <x v="2"/>
    <x v="0"/>
  </r>
  <r>
    <x v="6"/>
    <x v="1"/>
  </r>
  <r>
    <x v="4"/>
    <x v="2"/>
  </r>
  <r>
    <x v="6"/>
    <x v="3"/>
  </r>
  <r>
    <x v="0"/>
    <x v="0"/>
  </r>
  <r>
    <x v="5"/>
    <x v="3"/>
  </r>
  <r>
    <x v="2"/>
    <x v="3"/>
  </r>
  <r>
    <x v="2"/>
    <x v="1"/>
  </r>
  <r>
    <x v="5"/>
    <x v="0"/>
  </r>
  <r>
    <x v="0"/>
    <x v="0"/>
  </r>
  <r>
    <x v="1"/>
    <x v="2"/>
  </r>
  <r>
    <x v="5"/>
    <x v="1"/>
  </r>
  <r>
    <x v="0"/>
    <x v="1"/>
  </r>
  <r>
    <x v="3"/>
    <x v="2"/>
  </r>
  <r>
    <x v="5"/>
    <x v="1"/>
  </r>
  <r>
    <x v="5"/>
    <x v="2"/>
  </r>
  <r>
    <x v="4"/>
    <x v="1"/>
  </r>
  <r>
    <x v="2"/>
    <x v="1"/>
  </r>
  <r>
    <x v="1"/>
    <x v="2"/>
  </r>
  <r>
    <x v="6"/>
    <x v="3"/>
  </r>
  <r>
    <x v="5"/>
    <x v="3"/>
  </r>
  <r>
    <x v="0"/>
    <x v="2"/>
  </r>
  <r>
    <x v="4"/>
    <x v="2"/>
  </r>
  <r>
    <x v="4"/>
    <x v="0"/>
  </r>
  <r>
    <x v="6"/>
    <x v="1"/>
  </r>
  <r>
    <x v="6"/>
    <x v="3"/>
  </r>
  <r>
    <x v="3"/>
    <x v="0"/>
  </r>
  <r>
    <x v="0"/>
    <x v="2"/>
  </r>
  <r>
    <x v="2"/>
    <x v="2"/>
  </r>
  <r>
    <x v="2"/>
    <x v="0"/>
  </r>
  <r>
    <x v="5"/>
    <x v="3"/>
  </r>
  <r>
    <x v="5"/>
    <x v="1"/>
  </r>
  <r>
    <x v="2"/>
    <x v="1"/>
  </r>
  <r>
    <x v="4"/>
    <x v="3"/>
  </r>
  <r>
    <x v="4"/>
    <x v="1"/>
  </r>
  <r>
    <x v="3"/>
    <x v="3"/>
  </r>
  <r>
    <x v="5"/>
    <x v="3"/>
  </r>
  <r>
    <x v="3"/>
    <x v="1"/>
  </r>
  <r>
    <x v="2"/>
    <x v="3"/>
  </r>
  <r>
    <x v="6"/>
    <x v="0"/>
  </r>
  <r>
    <x v="6"/>
    <x v="3"/>
  </r>
  <r>
    <x v="6"/>
    <x v="3"/>
  </r>
  <r>
    <x v="0"/>
    <x v="1"/>
  </r>
  <r>
    <x v="0"/>
    <x v="3"/>
  </r>
  <r>
    <x v="0"/>
    <x v="3"/>
  </r>
  <r>
    <x v="0"/>
    <x v="3"/>
  </r>
  <r>
    <x v="5"/>
    <x v="1"/>
  </r>
  <r>
    <x v="6"/>
    <x v="2"/>
  </r>
  <r>
    <x v="2"/>
    <x v="2"/>
  </r>
  <r>
    <x v="0"/>
    <x v="0"/>
  </r>
  <r>
    <x v="1"/>
    <x v="2"/>
  </r>
  <r>
    <x v="1"/>
    <x v="1"/>
  </r>
  <r>
    <x v="1"/>
    <x v="1"/>
  </r>
  <r>
    <x v="3"/>
    <x v="3"/>
  </r>
  <r>
    <x v="6"/>
    <x v="0"/>
  </r>
  <r>
    <x v="0"/>
    <x v="2"/>
  </r>
  <r>
    <x v="6"/>
    <x v="1"/>
  </r>
  <r>
    <x v="0"/>
    <x v="3"/>
  </r>
  <r>
    <x v="2"/>
    <x v="3"/>
  </r>
  <r>
    <x v="5"/>
    <x v="2"/>
  </r>
  <r>
    <x v="5"/>
    <x v="2"/>
  </r>
  <r>
    <x v="5"/>
    <x v="1"/>
  </r>
  <r>
    <x v="5"/>
    <x v="3"/>
  </r>
  <r>
    <x v="2"/>
    <x v="3"/>
  </r>
  <r>
    <x v="1"/>
    <x v="2"/>
  </r>
  <r>
    <x v="2"/>
    <x v="0"/>
  </r>
  <r>
    <x v="3"/>
    <x v="0"/>
  </r>
  <r>
    <x v="3"/>
    <x v="0"/>
  </r>
  <r>
    <x v="2"/>
    <x v="1"/>
  </r>
  <r>
    <x v="2"/>
    <x v="1"/>
  </r>
  <r>
    <x v="2"/>
    <x v="3"/>
  </r>
  <r>
    <x v="1"/>
    <x v="1"/>
  </r>
  <r>
    <x v="3"/>
    <x v="3"/>
  </r>
  <r>
    <x v="4"/>
    <x v="2"/>
  </r>
  <r>
    <x v="5"/>
    <x v="1"/>
  </r>
  <r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9">
  <r>
    <x v="0"/>
    <x v="0"/>
    <s v="AustraliaCredit Card"/>
    <x v="0"/>
  </r>
  <r>
    <x v="0"/>
    <x v="1"/>
    <s v="AustraliaCryptocurrency"/>
    <x v="1"/>
  </r>
  <r>
    <x v="0"/>
    <x v="2"/>
    <s v="AustraliaDebit Card"/>
    <x v="2"/>
  </r>
  <r>
    <x v="0"/>
    <x v="3"/>
    <s v="AustraliaPayPal"/>
    <x v="3"/>
  </r>
  <r>
    <x v="1"/>
    <x v="0"/>
    <s v="CanadaCredit Card"/>
    <x v="4"/>
  </r>
  <r>
    <x v="1"/>
    <x v="1"/>
    <s v="CanadaCryptocurrency"/>
    <x v="5"/>
  </r>
  <r>
    <x v="1"/>
    <x v="2"/>
    <s v="CanadaDebit Card"/>
    <x v="3"/>
  </r>
  <r>
    <x v="1"/>
    <x v="3"/>
    <s v="CanadaPayPal"/>
    <x v="6"/>
  </r>
  <r>
    <x v="2"/>
    <x v="0"/>
    <s v="FranceCredit Card"/>
    <x v="7"/>
  </r>
  <r>
    <x v="2"/>
    <x v="1"/>
    <s v="FranceCryptocurrency"/>
    <x v="8"/>
  </r>
  <r>
    <x v="2"/>
    <x v="2"/>
    <s v="FranceDebit Card"/>
    <x v="9"/>
  </r>
  <r>
    <x v="2"/>
    <x v="3"/>
    <s v="FrancePayPal"/>
    <x v="10"/>
  </r>
  <r>
    <x v="3"/>
    <x v="0"/>
    <s v="GermanyCredit Card"/>
    <x v="9"/>
  </r>
  <r>
    <x v="3"/>
    <x v="1"/>
    <s v="GermanyCryptocurrency"/>
    <x v="11"/>
  </r>
  <r>
    <x v="3"/>
    <x v="2"/>
    <s v="GermanyDebit Card"/>
    <x v="12"/>
  </r>
  <r>
    <x v="3"/>
    <x v="3"/>
    <s v="GermanyPayPal"/>
    <x v="13"/>
  </r>
  <r>
    <x v="4"/>
    <x v="0"/>
    <s v="IndiaCredit Card"/>
    <x v="14"/>
  </r>
  <r>
    <x v="4"/>
    <x v="1"/>
    <s v="IndiaCryptocurrency"/>
    <x v="15"/>
  </r>
  <r>
    <x v="4"/>
    <x v="2"/>
    <s v="IndiaDebit Card"/>
    <x v="7"/>
  </r>
  <r>
    <x v="4"/>
    <x v="3"/>
    <s v="IndiaPayPal"/>
    <x v="16"/>
  </r>
  <r>
    <x v="5"/>
    <x v="0"/>
    <s v="UKCredit Card"/>
    <x v="17"/>
  </r>
  <r>
    <x v="5"/>
    <x v="1"/>
    <s v="UKCryptocurrency"/>
    <x v="2"/>
  </r>
  <r>
    <x v="5"/>
    <x v="2"/>
    <s v="UKDebit Card"/>
    <x v="9"/>
  </r>
  <r>
    <x v="5"/>
    <x v="3"/>
    <s v="UKPayPal"/>
    <x v="18"/>
  </r>
  <r>
    <x v="6"/>
    <x v="0"/>
    <s v="USACredit Card"/>
    <x v="1"/>
  </r>
  <r>
    <x v="6"/>
    <x v="1"/>
    <s v="USACryptocurrency"/>
    <x v="10"/>
  </r>
  <r>
    <x v="6"/>
    <x v="2"/>
    <s v="USADebit Card"/>
    <x v="9"/>
  </r>
  <r>
    <x v="6"/>
    <x v="3"/>
    <s v="USAPayPal"/>
    <x v="12"/>
  </r>
  <r>
    <x v="7"/>
    <x v="4"/>
    <m/>
    <x v="1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000">
  <r>
    <x v="0"/>
    <s v="PayPal"/>
    <x v="0"/>
  </r>
  <r>
    <x v="0"/>
    <s v="PayPal"/>
    <x v="0"/>
  </r>
  <r>
    <x v="1"/>
    <s v="Debit Card"/>
    <x v="1"/>
  </r>
  <r>
    <x v="2"/>
    <s v="Debit Card"/>
    <x v="2"/>
  </r>
  <r>
    <x v="0"/>
    <s v="PayPal"/>
    <x v="1"/>
  </r>
  <r>
    <x v="3"/>
    <s v="Credit Card"/>
    <x v="2"/>
  </r>
  <r>
    <x v="0"/>
    <s v="Credit Card"/>
    <x v="0"/>
  </r>
  <r>
    <x v="4"/>
    <s v="Debit Card"/>
    <x v="2"/>
  </r>
  <r>
    <x v="5"/>
    <s v="Cryptocurrency"/>
    <x v="2"/>
  </r>
  <r>
    <x v="0"/>
    <s v="Credit Card"/>
    <x v="0"/>
  </r>
  <r>
    <x v="2"/>
    <s v="Credit Card"/>
    <x v="1"/>
  </r>
  <r>
    <x v="1"/>
    <s v="Debit Card"/>
    <x v="2"/>
  </r>
  <r>
    <x v="5"/>
    <s v="Debit Card"/>
    <x v="0"/>
  </r>
  <r>
    <x v="2"/>
    <s v="Cryptocurrency"/>
    <x v="0"/>
  </r>
  <r>
    <x v="6"/>
    <s v="PayPal"/>
    <x v="0"/>
  </r>
  <r>
    <x v="0"/>
    <s v="PayPal"/>
    <x v="1"/>
  </r>
  <r>
    <x v="5"/>
    <s v="Debit Card"/>
    <x v="0"/>
  </r>
  <r>
    <x v="5"/>
    <s v="PayPal"/>
    <x v="0"/>
  </r>
  <r>
    <x v="1"/>
    <s v="Debit Card"/>
    <x v="2"/>
  </r>
  <r>
    <x v="3"/>
    <s v="PayPal"/>
    <x v="2"/>
  </r>
  <r>
    <x v="0"/>
    <s v="Cryptocurrency"/>
    <x v="0"/>
  </r>
  <r>
    <x v="4"/>
    <s v="PayPal"/>
    <x v="2"/>
  </r>
  <r>
    <x v="6"/>
    <s v="Cryptocurrency"/>
    <x v="2"/>
  </r>
  <r>
    <x v="1"/>
    <s v="Debit Card"/>
    <x v="2"/>
  </r>
  <r>
    <x v="3"/>
    <s v="Credit Card"/>
    <x v="1"/>
  </r>
  <r>
    <x v="0"/>
    <s v="Credit Card"/>
    <x v="0"/>
  </r>
  <r>
    <x v="0"/>
    <s v="Cryptocurrency"/>
    <x v="1"/>
  </r>
  <r>
    <x v="4"/>
    <s v="Cryptocurrency"/>
    <x v="2"/>
  </r>
  <r>
    <x v="6"/>
    <s v="Credit Card"/>
    <x v="1"/>
  </r>
  <r>
    <x v="2"/>
    <s v="Cryptocurrency"/>
    <x v="1"/>
  </r>
  <r>
    <x v="0"/>
    <s v="PayPal"/>
    <x v="0"/>
  </r>
  <r>
    <x v="5"/>
    <s v="Debit Card"/>
    <x v="1"/>
  </r>
  <r>
    <x v="5"/>
    <s v="Debit Card"/>
    <x v="1"/>
  </r>
  <r>
    <x v="3"/>
    <s v="Cryptocurrency"/>
    <x v="1"/>
  </r>
  <r>
    <x v="6"/>
    <s v="Credit Card"/>
    <x v="0"/>
  </r>
  <r>
    <x v="0"/>
    <s v="PayPal"/>
    <x v="0"/>
  </r>
  <r>
    <x v="3"/>
    <s v="Credit Card"/>
    <x v="2"/>
  </r>
  <r>
    <x v="2"/>
    <s v="PayPal"/>
    <x v="1"/>
  </r>
  <r>
    <x v="4"/>
    <s v="Credit Card"/>
    <x v="2"/>
  </r>
  <r>
    <x v="3"/>
    <s v="Debit Card"/>
    <x v="1"/>
  </r>
  <r>
    <x v="4"/>
    <s v="Cryptocurrency"/>
    <x v="2"/>
  </r>
  <r>
    <x v="0"/>
    <s v="Debit Card"/>
    <x v="2"/>
  </r>
  <r>
    <x v="6"/>
    <s v="Credit Card"/>
    <x v="0"/>
  </r>
  <r>
    <x v="2"/>
    <s v="Debit Card"/>
    <x v="1"/>
  </r>
  <r>
    <x v="4"/>
    <s v="Debit Card"/>
    <x v="1"/>
  </r>
  <r>
    <x v="6"/>
    <s v="Cryptocurrency"/>
    <x v="1"/>
  </r>
  <r>
    <x v="4"/>
    <s v="Cryptocurrency"/>
    <x v="2"/>
  </r>
  <r>
    <x v="1"/>
    <s v="Cryptocurrency"/>
    <x v="0"/>
  </r>
  <r>
    <x v="1"/>
    <s v="PayPal"/>
    <x v="2"/>
  </r>
  <r>
    <x v="6"/>
    <s v="Debit Card"/>
    <x v="1"/>
  </r>
  <r>
    <x v="2"/>
    <s v="Credit Card"/>
    <x v="1"/>
  </r>
  <r>
    <x v="4"/>
    <s v="PayPal"/>
    <x v="1"/>
  </r>
  <r>
    <x v="2"/>
    <s v="Credit Card"/>
    <x v="1"/>
  </r>
  <r>
    <x v="1"/>
    <s v="Debit Card"/>
    <x v="2"/>
  </r>
  <r>
    <x v="3"/>
    <s v="Cryptocurrency"/>
    <x v="2"/>
  </r>
  <r>
    <x v="6"/>
    <s v="PayPal"/>
    <x v="1"/>
  </r>
  <r>
    <x v="3"/>
    <s v="Credit Card"/>
    <x v="1"/>
  </r>
  <r>
    <x v="0"/>
    <s v="Credit Card"/>
    <x v="0"/>
  </r>
  <r>
    <x v="6"/>
    <s v="PayPal"/>
    <x v="0"/>
  </r>
  <r>
    <x v="1"/>
    <s v="PayPal"/>
    <x v="2"/>
  </r>
  <r>
    <x v="2"/>
    <s v="Cryptocurrency"/>
    <x v="1"/>
  </r>
  <r>
    <x v="3"/>
    <s v="Credit Card"/>
    <x v="1"/>
  </r>
  <r>
    <x v="0"/>
    <s v="Credit Card"/>
    <x v="0"/>
  </r>
  <r>
    <x v="3"/>
    <s v="PayPal"/>
    <x v="0"/>
  </r>
  <r>
    <x v="1"/>
    <s v="Credit Card"/>
    <x v="2"/>
  </r>
  <r>
    <x v="3"/>
    <s v="Credit Card"/>
    <x v="1"/>
  </r>
  <r>
    <x v="2"/>
    <s v="Debit Card"/>
    <x v="0"/>
  </r>
  <r>
    <x v="4"/>
    <s v="Cryptocurrency"/>
    <x v="2"/>
  </r>
  <r>
    <x v="1"/>
    <s v="Credit Card"/>
    <x v="0"/>
  </r>
  <r>
    <x v="1"/>
    <s v="PayPal"/>
    <x v="2"/>
  </r>
  <r>
    <x v="6"/>
    <s v="Cryptocurrency"/>
    <x v="0"/>
  </r>
  <r>
    <x v="5"/>
    <s v="PayPal"/>
    <x v="2"/>
  </r>
  <r>
    <x v="5"/>
    <s v="Debit Card"/>
    <x v="1"/>
  </r>
  <r>
    <x v="0"/>
    <s v="PayPal"/>
    <x v="1"/>
  </r>
  <r>
    <x v="5"/>
    <s v="Cryptocurrency"/>
    <x v="0"/>
  </r>
  <r>
    <x v="1"/>
    <s v="PayPal"/>
    <x v="1"/>
  </r>
  <r>
    <x v="3"/>
    <s v="Cryptocurrency"/>
    <x v="2"/>
  </r>
  <r>
    <x v="0"/>
    <s v="PayPal"/>
    <x v="2"/>
  </r>
  <r>
    <x v="5"/>
    <s v="Cryptocurrency"/>
    <x v="2"/>
  </r>
  <r>
    <x v="4"/>
    <s v="Credit Card"/>
    <x v="0"/>
  </r>
  <r>
    <x v="0"/>
    <s v="Cryptocurrency"/>
    <x v="2"/>
  </r>
  <r>
    <x v="2"/>
    <s v="PayPal"/>
    <x v="0"/>
  </r>
  <r>
    <x v="1"/>
    <s v="PayPal"/>
    <x v="1"/>
  </r>
  <r>
    <x v="1"/>
    <s v="Cryptocurrency"/>
    <x v="1"/>
  </r>
  <r>
    <x v="4"/>
    <s v="PayPal"/>
    <x v="0"/>
  </r>
  <r>
    <x v="4"/>
    <s v="Credit Card"/>
    <x v="1"/>
  </r>
  <r>
    <x v="0"/>
    <s v="Cryptocurrency"/>
    <x v="0"/>
  </r>
  <r>
    <x v="5"/>
    <s v="Debit Card"/>
    <x v="0"/>
  </r>
  <r>
    <x v="0"/>
    <s v="Debit Card"/>
    <x v="0"/>
  </r>
  <r>
    <x v="0"/>
    <s v="Cryptocurrency"/>
    <x v="2"/>
  </r>
  <r>
    <x v="3"/>
    <s v="Debit Card"/>
    <x v="1"/>
  </r>
  <r>
    <x v="6"/>
    <s v="Cryptocurrency"/>
    <x v="2"/>
  </r>
  <r>
    <x v="2"/>
    <s v="Cryptocurrency"/>
    <x v="1"/>
  </r>
  <r>
    <x v="3"/>
    <s v="Credit Card"/>
    <x v="2"/>
  </r>
  <r>
    <x v="5"/>
    <s v="Credit Card"/>
    <x v="0"/>
  </r>
  <r>
    <x v="3"/>
    <s v="Debit Card"/>
    <x v="1"/>
  </r>
  <r>
    <x v="1"/>
    <s v="Debit Card"/>
    <x v="0"/>
  </r>
  <r>
    <x v="4"/>
    <s v="Debit Card"/>
    <x v="1"/>
  </r>
  <r>
    <x v="3"/>
    <s v="Cryptocurrency"/>
    <x v="0"/>
  </r>
  <r>
    <x v="2"/>
    <s v="PayPal"/>
    <x v="0"/>
  </r>
  <r>
    <x v="4"/>
    <s v="Debit Card"/>
    <x v="0"/>
  </r>
  <r>
    <x v="3"/>
    <s v="Cryptocurrency"/>
    <x v="1"/>
  </r>
  <r>
    <x v="0"/>
    <s v="Cryptocurrency"/>
    <x v="2"/>
  </r>
  <r>
    <x v="5"/>
    <s v="PayPal"/>
    <x v="0"/>
  </r>
  <r>
    <x v="5"/>
    <s v="PayPal"/>
    <x v="1"/>
  </r>
  <r>
    <x v="2"/>
    <s v="Credit Card"/>
    <x v="0"/>
  </r>
  <r>
    <x v="4"/>
    <s v="PayPal"/>
    <x v="0"/>
  </r>
  <r>
    <x v="4"/>
    <s v="PayPal"/>
    <x v="2"/>
  </r>
  <r>
    <x v="4"/>
    <s v="PayPal"/>
    <x v="2"/>
  </r>
  <r>
    <x v="3"/>
    <s v="Debit Card"/>
    <x v="0"/>
  </r>
  <r>
    <x v="4"/>
    <s v="PayPal"/>
    <x v="1"/>
  </r>
  <r>
    <x v="1"/>
    <s v="Credit Card"/>
    <x v="0"/>
  </r>
  <r>
    <x v="4"/>
    <s v="Cryptocurrency"/>
    <x v="2"/>
  </r>
  <r>
    <x v="5"/>
    <s v="Debit Card"/>
    <x v="0"/>
  </r>
  <r>
    <x v="6"/>
    <s v="Credit Card"/>
    <x v="2"/>
  </r>
  <r>
    <x v="5"/>
    <s v="Cryptocurrency"/>
    <x v="1"/>
  </r>
  <r>
    <x v="2"/>
    <s v="Credit Card"/>
    <x v="2"/>
  </r>
  <r>
    <x v="2"/>
    <s v="Cryptocurrency"/>
    <x v="0"/>
  </r>
  <r>
    <x v="0"/>
    <s v="Credit Card"/>
    <x v="0"/>
  </r>
  <r>
    <x v="6"/>
    <s v="PayPal"/>
    <x v="1"/>
  </r>
  <r>
    <x v="1"/>
    <s v="PayPal"/>
    <x v="1"/>
  </r>
  <r>
    <x v="5"/>
    <s v="Cryptocurrency"/>
    <x v="1"/>
  </r>
  <r>
    <x v="4"/>
    <s v="Cryptocurrency"/>
    <x v="2"/>
  </r>
  <r>
    <x v="5"/>
    <s v="Credit Card"/>
    <x v="2"/>
  </r>
  <r>
    <x v="4"/>
    <s v="PayPal"/>
    <x v="1"/>
  </r>
  <r>
    <x v="3"/>
    <s v="Cryptocurrency"/>
    <x v="2"/>
  </r>
  <r>
    <x v="4"/>
    <s v="Debit Card"/>
    <x v="2"/>
  </r>
  <r>
    <x v="2"/>
    <s v="Credit Card"/>
    <x v="2"/>
  </r>
  <r>
    <x v="6"/>
    <s v="Debit Card"/>
    <x v="1"/>
  </r>
  <r>
    <x v="6"/>
    <s v="Credit Card"/>
    <x v="1"/>
  </r>
  <r>
    <x v="3"/>
    <s v="Cryptocurrency"/>
    <x v="2"/>
  </r>
  <r>
    <x v="4"/>
    <s v="Cryptocurrency"/>
    <x v="0"/>
  </r>
  <r>
    <x v="6"/>
    <s v="PayPal"/>
    <x v="1"/>
  </r>
  <r>
    <x v="2"/>
    <s v="Credit Card"/>
    <x v="2"/>
  </r>
  <r>
    <x v="1"/>
    <s v="Debit Card"/>
    <x v="1"/>
  </r>
  <r>
    <x v="4"/>
    <s v="Credit Card"/>
    <x v="0"/>
  </r>
  <r>
    <x v="3"/>
    <s v="Debit Card"/>
    <x v="1"/>
  </r>
  <r>
    <x v="5"/>
    <s v="PayPal"/>
    <x v="0"/>
  </r>
  <r>
    <x v="5"/>
    <s v="Debit Card"/>
    <x v="0"/>
  </r>
  <r>
    <x v="3"/>
    <s v="PayPal"/>
    <x v="1"/>
  </r>
  <r>
    <x v="2"/>
    <s v="PayPal"/>
    <x v="2"/>
  </r>
  <r>
    <x v="5"/>
    <s v="Cryptocurrency"/>
    <x v="1"/>
  </r>
  <r>
    <x v="2"/>
    <s v="PayPal"/>
    <x v="0"/>
  </r>
  <r>
    <x v="2"/>
    <s v="Debit Card"/>
    <x v="1"/>
  </r>
  <r>
    <x v="6"/>
    <s v="Credit Card"/>
    <x v="1"/>
  </r>
  <r>
    <x v="4"/>
    <s v="Cryptocurrency"/>
    <x v="1"/>
  </r>
  <r>
    <x v="6"/>
    <s v="PayPal"/>
    <x v="1"/>
  </r>
  <r>
    <x v="4"/>
    <s v="Cryptocurrency"/>
    <x v="2"/>
  </r>
  <r>
    <x v="5"/>
    <s v="Cryptocurrency"/>
    <x v="1"/>
  </r>
  <r>
    <x v="6"/>
    <s v="PayPal"/>
    <x v="0"/>
  </r>
  <r>
    <x v="5"/>
    <s v="Debit Card"/>
    <x v="0"/>
  </r>
  <r>
    <x v="5"/>
    <s v="PayPal"/>
    <x v="1"/>
  </r>
  <r>
    <x v="2"/>
    <s v="Debit Card"/>
    <x v="1"/>
  </r>
  <r>
    <x v="1"/>
    <s v="Cryptocurrency"/>
    <x v="2"/>
  </r>
  <r>
    <x v="0"/>
    <s v="PayPal"/>
    <x v="0"/>
  </r>
  <r>
    <x v="1"/>
    <s v="Cryptocurrency"/>
    <x v="2"/>
  </r>
  <r>
    <x v="0"/>
    <s v="Cryptocurrency"/>
    <x v="0"/>
  </r>
  <r>
    <x v="6"/>
    <s v="Cryptocurrency"/>
    <x v="2"/>
  </r>
  <r>
    <x v="1"/>
    <s v="Debit Card"/>
    <x v="1"/>
  </r>
  <r>
    <x v="6"/>
    <s v="Credit Card"/>
    <x v="2"/>
  </r>
  <r>
    <x v="0"/>
    <s v="PayPal"/>
    <x v="1"/>
  </r>
  <r>
    <x v="4"/>
    <s v="PayPal"/>
    <x v="0"/>
  </r>
  <r>
    <x v="0"/>
    <s v="Credit Card"/>
    <x v="1"/>
  </r>
  <r>
    <x v="2"/>
    <s v="Credit Card"/>
    <x v="1"/>
  </r>
  <r>
    <x v="3"/>
    <s v="Cryptocurrency"/>
    <x v="1"/>
  </r>
  <r>
    <x v="2"/>
    <s v="PayPal"/>
    <x v="0"/>
  </r>
  <r>
    <x v="1"/>
    <s v="PayPal"/>
    <x v="0"/>
  </r>
  <r>
    <x v="2"/>
    <s v="Debit Card"/>
    <x v="0"/>
  </r>
  <r>
    <x v="4"/>
    <s v="Debit Card"/>
    <x v="1"/>
  </r>
  <r>
    <x v="5"/>
    <s v="Credit Card"/>
    <x v="1"/>
  </r>
  <r>
    <x v="3"/>
    <s v="Debit Card"/>
    <x v="1"/>
  </r>
  <r>
    <x v="4"/>
    <s v="Credit Card"/>
    <x v="0"/>
  </r>
  <r>
    <x v="0"/>
    <s v="Cryptocurrency"/>
    <x v="2"/>
  </r>
  <r>
    <x v="5"/>
    <s v="Debit Card"/>
    <x v="2"/>
  </r>
  <r>
    <x v="2"/>
    <s v="PayPal"/>
    <x v="0"/>
  </r>
  <r>
    <x v="5"/>
    <s v="Credit Card"/>
    <x v="1"/>
  </r>
  <r>
    <x v="1"/>
    <s v="PayPal"/>
    <x v="0"/>
  </r>
  <r>
    <x v="3"/>
    <s v="PayPal"/>
    <x v="1"/>
  </r>
  <r>
    <x v="0"/>
    <s v="Credit Card"/>
    <x v="0"/>
  </r>
  <r>
    <x v="6"/>
    <s v="Credit Card"/>
    <x v="0"/>
  </r>
  <r>
    <x v="5"/>
    <s v="Credit Card"/>
    <x v="1"/>
  </r>
  <r>
    <x v="6"/>
    <s v="PayPal"/>
    <x v="0"/>
  </r>
  <r>
    <x v="6"/>
    <s v="Debit Card"/>
    <x v="2"/>
  </r>
  <r>
    <x v="1"/>
    <s v="Cryptocurrency"/>
    <x v="2"/>
  </r>
  <r>
    <x v="2"/>
    <s v="Debit Card"/>
    <x v="0"/>
  </r>
  <r>
    <x v="6"/>
    <s v="PayPal"/>
    <x v="0"/>
  </r>
  <r>
    <x v="5"/>
    <s v="PayPal"/>
    <x v="1"/>
  </r>
  <r>
    <x v="6"/>
    <s v="PayPal"/>
    <x v="1"/>
  </r>
  <r>
    <x v="2"/>
    <s v="PayPal"/>
    <x v="1"/>
  </r>
  <r>
    <x v="1"/>
    <s v="Debit Card"/>
    <x v="1"/>
  </r>
  <r>
    <x v="0"/>
    <s v="Cryptocurrency"/>
    <x v="2"/>
  </r>
  <r>
    <x v="1"/>
    <s v="PayPal"/>
    <x v="0"/>
  </r>
  <r>
    <x v="6"/>
    <s v="Cryptocurrency"/>
    <x v="0"/>
  </r>
  <r>
    <x v="4"/>
    <s v="PayPal"/>
    <x v="2"/>
  </r>
  <r>
    <x v="3"/>
    <s v="PayPal"/>
    <x v="0"/>
  </r>
  <r>
    <x v="6"/>
    <s v="Cryptocurrency"/>
    <x v="2"/>
  </r>
  <r>
    <x v="2"/>
    <s v="PayPal"/>
    <x v="0"/>
  </r>
  <r>
    <x v="4"/>
    <s v="Cryptocurrency"/>
    <x v="0"/>
  </r>
  <r>
    <x v="2"/>
    <s v="PayPal"/>
    <x v="2"/>
  </r>
  <r>
    <x v="6"/>
    <s v="Cryptocurrency"/>
    <x v="1"/>
  </r>
  <r>
    <x v="4"/>
    <s v="Cryptocurrency"/>
    <x v="1"/>
  </r>
  <r>
    <x v="1"/>
    <s v="PayPal"/>
    <x v="1"/>
  </r>
  <r>
    <x v="5"/>
    <s v="Debit Card"/>
    <x v="1"/>
  </r>
  <r>
    <x v="0"/>
    <s v="PayPal"/>
    <x v="1"/>
  </r>
  <r>
    <x v="0"/>
    <s v="Debit Card"/>
    <x v="0"/>
  </r>
  <r>
    <x v="2"/>
    <s v="Debit Card"/>
    <x v="0"/>
  </r>
  <r>
    <x v="1"/>
    <s v="Debit Card"/>
    <x v="2"/>
  </r>
  <r>
    <x v="6"/>
    <s v="Debit Card"/>
    <x v="1"/>
  </r>
  <r>
    <x v="2"/>
    <s v="Credit Card"/>
    <x v="1"/>
  </r>
  <r>
    <x v="5"/>
    <s v="PayPal"/>
    <x v="1"/>
  </r>
  <r>
    <x v="0"/>
    <s v="Debit Card"/>
    <x v="1"/>
  </r>
  <r>
    <x v="4"/>
    <s v="Debit Card"/>
    <x v="1"/>
  </r>
  <r>
    <x v="6"/>
    <s v="Debit Card"/>
    <x v="1"/>
  </r>
  <r>
    <x v="5"/>
    <s v="Cryptocurrency"/>
    <x v="0"/>
  </r>
  <r>
    <x v="2"/>
    <s v="Debit Card"/>
    <x v="2"/>
  </r>
  <r>
    <x v="6"/>
    <s v="PayPal"/>
    <x v="1"/>
  </r>
  <r>
    <x v="6"/>
    <s v="Cryptocurrency"/>
    <x v="1"/>
  </r>
  <r>
    <x v="6"/>
    <s v="Credit Card"/>
    <x v="1"/>
  </r>
  <r>
    <x v="6"/>
    <s v="Credit Card"/>
    <x v="2"/>
  </r>
  <r>
    <x v="2"/>
    <s v="Credit Card"/>
    <x v="1"/>
  </r>
  <r>
    <x v="3"/>
    <s v="Debit Card"/>
    <x v="2"/>
  </r>
  <r>
    <x v="0"/>
    <s v="PayPal"/>
    <x v="0"/>
  </r>
  <r>
    <x v="1"/>
    <s v="Cryptocurrency"/>
    <x v="0"/>
  </r>
  <r>
    <x v="1"/>
    <s v="PayPal"/>
    <x v="2"/>
  </r>
  <r>
    <x v="1"/>
    <s v="Credit Card"/>
    <x v="0"/>
  </r>
  <r>
    <x v="0"/>
    <s v="Credit Card"/>
    <x v="2"/>
  </r>
  <r>
    <x v="6"/>
    <s v="Credit Card"/>
    <x v="0"/>
  </r>
  <r>
    <x v="1"/>
    <s v="Credit Card"/>
    <x v="1"/>
  </r>
  <r>
    <x v="1"/>
    <s v="Cryptocurrency"/>
    <x v="2"/>
  </r>
  <r>
    <x v="5"/>
    <s v="Credit Card"/>
    <x v="2"/>
  </r>
  <r>
    <x v="1"/>
    <s v="Cryptocurrency"/>
    <x v="0"/>
  </r>
  <r>
    <x v="4"/>
    <s v="PayPal"/>
    <x v="1"/>
  </r>
  <r>
    <x v="6"/>
    <s v="Debit Card"/>
    <x v="2"/>
  </r>
  <r>
    <x v="6"/>
    <s v="PayPal"/>
    <x v="0"/>
  </r>
  <r>
    <x v="1"/>
    <s v="Credit Card"/>
    <x v="0"/>
  </r>
  <r>
    <x v="4"/>
    <s v="PayPal"/>
    <x v="2"/>
  </r>
  <r>
    <x v="1"/>
    <s v="PayPal"/>
    <x v="2"/>
  </r>
  <r>
    <x v="5"/>
    <s v="Credit Card"/>
    <x v="0"/>
  </r>
  <r>
    <x v="0"/>
    <s v="PayPal"/>
    <x v="2"/>
  </r>
  <r>
    <x v="1"/>
    <s v="Cryptocurrency"/>
    <x v="1"/>
  </r>
  <r>
    <x v="2"/>
    <s v="PayPal"/>
    <x v="1"/>
  </r>
  <r>
    <x v="3"/>
    <s v="Debit Card"/>
    <x v="0"/>
  </r>
  <r>
    <x v="6"/>
    <s v="PayPal"/>
    <x v="1"/>
  </r>
  <r>
    <x v="3"/>
    <s v="Credit Card"/>
    <x v="0"/>
  </r>
  <r>
    <x v="4"/>
    <s v="Credit Card"/>
    <x v="2"/>
  </r>
  <r>
    <x v="1"/>
    <s v="PayPal"/>
    <x v="0"/>
  </r>
  <r>
    <x v="0"/>
    <s v="Credit Card"/>
    <x v="2"/>
  </r>
  <r>
    <x v="5"/>
    <s v="PayPal"/>
    <x v="2"/>
  </r>
  <r>
    <x v="1"/>
    <s v="Cryptocurrency"/>
    <x v="2"/>
  </r>
  <r>
    <x v="6"/>
    <s v="Cryptocurrency"/>
    <x v="0"/>
  </r>
  <r>
    <x v="4"/>
    <s v="PayPal"/>
    <x v="0"/>
  </r>
  <r>
    <x v="1"/>
    <s v="Debit Card"/>
    <x v="0"/>
  </r>
  <r>
    <x v="5"/>
    <s v="PayPal"/>
    <x v="1"/>
  </r>
  <r>
    <x v="4"/>
    <s v="Debit Card"/>
    <x v="1"/>
  </r>
  <r>
    <x v="6"/>
    <s v="Credit Card"/>
    <x v="2"/>
  </r>
  <r>
    <x v="6"/>
    <s v="Credit Card"/>
    <x v="1"/>
  </r>
  <r>
    <x v="1"/>
    <s v="PayPal"/>
    <x v="0"/>
  </r>
  <r>
    <x v="2"/>
    <s v="Credit Card"/>
    <x v="0"/>
  </r>
  <r>
    <x v="4"/>
    <s v="Cryptocurrency"/>
    <x v="1"/>
  </r>
  <r>
    <x v="3"/>
    <s v="Debit Card"/>
    <x v="1"/>
  </r>
  <r>
    <x v="1"/>
    <s v="Cryptocurrency"/>
    <x v="0"/>
  </r>
  <r>
    <x v="1"/>
    <s v="PayPal"/>
    <x v="2"/>
  </r>
  <r>
    <x v="0"/>
    <s v="Cryptocurrency"/>
    <x v="0"/>
  </r>
  <r>
    <x v="6"/>
    <s v="Cryptocurrency"/>
    <x v="1"/>
  </r>
  <r>
    <x v="3"/>
    <s v="Credit Card"/>
    <x v="0"/>
  </r>
  <r>
    <x v="2"/>
    <s v="PayPal"/>
    <x v="2"/>
  </r>
  <r>
    <x v="3"/>
    <s v="Cryptocurrency"/>
    <x v="1"/>
  </r>
  <r>
    <x v="6"/>
    <s v="Credit Card"/>
    <x v="2"/>
  </r>
  <r>
    <x v="5"/>
    <s v="Debit Card"/>
    <x v="1"/>
  </r>
  <r>
    <x v="3"/>
    <s v="Debit Card"/>
    <x v="0"/>
  </r>
  <r>
    <x v="0"/>
    <s v="Debit Card"/>
    <x v="1"/>
  </r>
  <r>
    <x v="1"/>
    <s v="Debit Card"/>
    <x v="2"/>
  </r>
  <r>
    <x v="5"/>
    <s v="PayPal"/>
    <x v="1"/>
  </r>
  <r>
    <x v="1"/>
    <s v="PayPal"/>
    <x v="1"/>
  </r>
  <r>
    <x v="0"/>
    <s v="PayPal"/>
    <x v="2"/>
  </r>
  <r>
    <x v="6"/>
    <s v="PayPal"/>
    <x v="1"/>
  </r>
  <r>
    <x v="6"/>
    <s v="Debit Card"/>
    <x v="2"/>
  </r>
  <r>
    <x v="0"/>
    <s v="Debit Card"/>
    <x v="0"/>
  </r>
  <r>
    <x v="3"/>
    <s v="PayPal"/>
    <x v="0"/>
  </r>
  <r>
    <x v="3"/>
    <s v="Credit Card"/>
    <x v="1"/>
  </r>
  <r>
    <x v="0"/>
    <s v="Cryptocurrency"/>
    <x v="2"/>
  </r>
  <r>
    <x v="2"/>
    <s v="PayPal"/>
    <x v="2"/>
  </r>
  <r>
    <x v="2"/>
    <s v="Credit Card"/>
    <x v="2"/>
  </r>
  <r>
    <x v="4"/>
    <s v="Cryptocurrency"/>
    <x v="1"/>
  </r>
  <r>
    <x v="4"/>
    <s v="Debit Card"/>
    <x v="1"/>
  </r>
  <r>
    <x v="4"/>
    <s v="Cryptocurrency"/>
    <x v="1"/>
  </r>
  <r>
    <x v="4"/>
    <s v="Debit Card"/>
    <x v="2"/>
  </r>
  <r>
    <x v="5"/>
    <s v="PayPal"/>
    <x v="2"/>
  </r>
  <r>
    <x v="2"/>
    <s v="Cryptocurrency"/>
    <x v="1"/>
  </r>
  <r>
    <x v="5"/>
    <s v="PayPal"/>
    <x v="1"/>
  </r>
  <r>
    <x v="3"/>
    <s v="PayPal"/>
    <x v="0"/>
  </r>
  <r>
    <x v="0"/>
    <s v="Credit Card"/>
    <x v="2"/>
  </r>
  <r>
    <x v="2"/>
    <s v="Debit Card"/>
    <x v="1"/>
  </r>
  <r>
    <x v="2"/>
    <s v="Credit Card"/>
    <x v="0"/>
  </r>
  <r>
    <x v="3"/>
    <s v="Cryptocurrency"/>
    <x v="0"/>
  </r>
  <r>
    <x v="2"/>
    <s v="Cryptocurrency"/>
    <x v="1"/>
  </r>
  <r>
    <x v="2"/>
    <s v="Credit Card"/>
    <x v="1"/>
  </r>
  <r>
    <x v="0"/>
    <s v="Debit Card"/>
    <x v="0"/>
  </r>
  <r>
    <x v="1"/>
    <s v="PayPal"/>
    <x v="2"/>
  </r>
  <r>
    <x v="1"/>
    <s v="Debit Card"/>
    <x v="1"/>
  </r>
  <r>
    <x v="5"/>
    <s v="PayPal"/>
    <x v="1"/>
  </r>
  <r>
    <x v="1"/>
    <s v="Debit Card"/>
    <x v="2"/>
  </r>
  <r>
    <x v="4"/>
    <s v="Debit Card"/>
    <x v="0"/>
  </r>
  <r>
    <x v="5"/>
    <s v="Credit Card"/>
    <x v="1"/>
  </r>
  <r>
    <x v="3"/>
    <s v="Debit Card"/>
    <x v="1"/>
  </r>
  <r>
    <x v="0"/>
    <s v="PayPal"/>
    <x v="2"/>
  </r>
  <r>
    <x v="4"/>
    <s v="Debit Card"/>
    <x v="1"/>
  </r>
  <r>
    <x v="0"/>
    <s v="Credit Card"/>
    <x v="0"/>
  </r>
  <r>
    <x v="3"/>
    <s v="Debit Card"/>
    <x v="2"/>
  </r>
  <r>
    <x v="2"/>
    <s v="Cryptocurrency"/>
    <x v="1"/>
  </r>
  <r>
    <x v="0"/>
    <s v="Debit Card"/>
    <x v="0"/>
  </r>
  <r>
    <x v="1"/>
    <s v="PayPal"/>
    <x v="2"/>
  </r>
  <r>
    <x v="3"/>
    <s v="Credit Card"/>
    <x v="2"/>
  </r>
  <r>
    <x v="1"/>
    <s v="Credit Card"/>
    <x v="2"/>
  </r>
  <r>
    <x v="0"/>
    <s v="Credit Card"/>
    <x v="1"/>
  </r>
  <r>
    <x v="5"/>
    <s v="PayPal"/>
    <x v="2"/>
  </r>
  <r>
    <x v="0"/>
    <s v="PayPal"/>
    <x v="1"/>
  </r>
  <r>
    <x v="4"/>
    <s v="Cryptocurrency"/>
    <x v="1"/>
  </r>
  <r>
    <x v="4"/>
    <s v="PayPal"/>
    <x v="0"/>
  </r>
  <r>
    <x v="4"/>
    <s v="Cryptocurrency"/>
    <x v="1"/>
  </r>
  <r>
    <x v="5"/>
    <s v="Credit Card"/>
    <x v="0"/>
  </r>
  <r>
    <x v="3"/>
    <s v="Cryptocurrency"/>
    <x v="1"/>
  </r>
  <r>
    <x v="1"/>
    <s v="Credit Card"/>
    <x v="0"/>
  </r>
  <r>
    <x v="6"/>
    <s v="Credit Card"/>
    <x v="2"/>
  </r>
  <r>
    <x v="2"/>
    <s v="PayPal"/>
    <x v="0"/>
  </r>
  <r>
    <x v="3"/>
    <s v="Debit Card"/>
    <x v="2"/>
  </r>
  <r>
    <x v="0"/>
    <s v="Debit Card"/>
    <x v="1"/>
  </r>
  <r>
    <x v="6"/>
    <s v="PayPal"/>
    <x v="1"/>
  </r>
  <r>
    <x v="4"/>
    <s v="Debit Card"/>
    <x v="1"/>
  </r>
  <r>
    <x v="1"/>
    <s v="PayPal"/>
    <x v="0"/>
  </r>
  <r>
    <x v="3"/>
    <s v="Cryptocurrency"/>
    <x v="1"/>
  </r>
  <r>
    <x v="6"/>
    <s v="Credit Card"/>
    <x v="2"/>
  </r>
  <r>
    <x v="2"/>
    <s v="Debit Card"/>
    <x v="0"/>
  </r>
  <r>
    <x v="4"/>
    <s v="Debit Card"/>
    <x v="1"/>
  </r>
  <r>
    <x v="5"/>
    <s v="PayPal"/>
    <x v="0"/>
  </r>
  <r>
    <x v="6"/>
    <s v="PayPal"/>
    <x v="0"/>
  </r>
  <r>
    <x v="6"/>
    <s v="Cryptocurrency"/>
    <x v="0"/>
  </r>
  <r>
    <x v="2"/>
    <s v="Debit Card"/>
    <x v="0"/>
  </r>
  <r>
    <x v="2"/>
    <s v="Cryptocurrency"/>
    <x v="0"/>
  </r>
  <r>
    <x v="4"/>
    <s v="Cryptocurrency"/>
    <x v="0"/>
  </r>
  <r>
    <x v="4"/>
    <s v="Debit Card"/>
    <x v="0"/>
  </r>
  <r>
    <x v="1"/>
    <s v="Cryptocurrency"/>
    <x v="0"/>
  </r>
  <r>
    <x v="4"/>
    <s v="Credit Card"/>
    <x v="0"/>
  </r>
  <r>
    <x v="6"/>
    <s v="Debit Card"/>
    <x v="0"/>
  </r>
  <r>
    <x v="2"/>
    <s v="PayPal"/>
    <x v="2"/>
  </r>
  <r>
    <x v="0"/>
    <s v="Cryptocurrency"/>
    <x v="2"/>
  </r>
  <r>
    <x v="6"/>
    <s v="Credit Card"/>
    <x v="1"/>
  </r>
  <r>
    <x v="4"/>
    <s v="Cryptocurrency"/>
    <x v="2"/>
  </r>
  <r>
    <x v="4"/>
    <s v="Debit Card"/>
    <x v="2"/>
  </r>
  <r>
    <x v="6"/>
    <s v="Credit Card"/>
    <x v="2"/>
  </r>
  <r>
    <x v="6"/>
    <s v="Debit Card"/>
    <x v="2"/>
  </r>
  <r>
    <x v="0"/>
    <s v="Credit Card"/>
    <x v="2"/>
  </r>
  <r>
    <x v="0"/>
    <s v="Credit Card"/>
    <x v="2"/>
  </r>
  <r>
    <x v="4"/>
    <s v="Credit Card"/>
    <x v="0"/>
  </r>
  <r>
    <x v="2"/>
    <s v="PayPal"/>
    <x v="2"/>
  </r>
  <r>
    <x v="1"/>
    <s v="Credit Card"/>
    <x v="2"/>
  </r>
  <r>
    <x v="2"/>
    <s v="Cryptocurrency"/>
    <x v="0"/>
  </r>
  <r>
    <x v="3"/>
    <s v="Debit Card"/>
    <x v="1"/>
  </r>
  <r>
    <x v="6"/>
    <s v="Credit Card"/>
    <x v="2"/>
  </r>
  <r>
    <x v="4"/>
    <s v="Cryptocurrency"/>
    <x v="2"/>
  </r>
  <r>
    <x v="2"/>
    <s v="Cryptocurrency"/>
    <x v="2"/>
  </r>
  <r>
    <x v="6"/>
    <s v="Credit Card"/>
    <x v="1"/>
  </r>
  <r>
    <x v="3"/>
    <s v="Cryptocurrency"/>
    <x v="2"/>
  </r>
  <r>
    <x v="6"/>
    <s v="Credit Card"/>
    <x v="1"/>
  </r>
  <r>
    <x v="0"/>
    <s v="Debit Card"/>
    <x v="2"/>
  </r>
  <r>
    <x v="3"/>
    <s v="Credit Card"/>
    <x v="0"/>
  </r>
  <r>
    <x v="4"/>
    <s v="PayPal"/>
    <x v="1"/>
  </r>
  <r>
    <x v="2"/>
    <s v="Credit Card"/>
    <x v="2"/>
  </r>
  <r>
    <x v="2"/>
    <s v="Credit Card"/>
    <x v="1"/>
  </r>
  <r>
    <x v="0"/>
    <s v="Cryptocurrency"/>
    <x v="2"/>
  </r>
  <r>
    <x v="0"/>
    <s v="Debit Card"/>
    <x v="1"/>
  </r>
  <r>
    <x v="3"/>
    <s v="Debit Card"/>
    <x v="2"/>
  </r>
  <r>
    <x v="2"/>
    <s v="Cryptocurrency"/>
    <x v="0"/>
  </r>
  <r>
    <x v="2"/>
    <s v="Cryptocurrency"/>
    <x v="1"/>
  </r>
  <r>
    <x v="6"/>
    <s v="Debit Card"/>
    <x v="2"/>
  </r>
  <r>
    <x v="5"/>
    <s v="Debit Card"/>
    <x v="0"/>
  </r>
  <r>
    <x v="2"/>
    <s v="PayPal"/>
    <x v="2"/>
  </r>
  <r>
    <x v="4"/>
    <s v="PayPal"/>
    <x v="0"/>
  </r>
  <r>
    <x v="5"/>
    <s v="Debit Card"/>
    <x v="0"/>
  </r>
  <r>
    <x v="0"/>
    <s v="Cryptocurrency"/>
    <x v="1"/>
  </r>
  <r>
    <x v="4"/>
    <s v="Debit Card"/>
    <x v="2"/>
  </r>
  <r>
    <x v="1"/>
    <s v="PayPal"/>
    <x v="1"/>
  </r>
  <r>
    <x v="3"/>
    <s v="Debit Card"/>
    <x v="0"/>
  </r>
  <r>
    <x v="3"/>
    <s v="PayPal"/>
    <x v="0"/>
  </r>
  <r>
    <x v="0"/>
    <s v="PayPal"/>
    <x v="2"/>
  </r>
  <r>
    <x v="6"/>
    <s v="Cryptocurrency"/>
    <x v="0"/>
  </r>
  <r>
    <x v="4"/>
    <s v="Debit Card"/>
    <x v="2"/>
  </r>
  <r>
    <x v="4"/>
    <s v="Cryptocurrency"/>
    <x v="1"/>
  </r>
  <r>
    <x v="5"/>
    <s v="Cryptocurrency"/>
    <x v="0"/>
  </r>
  <r>
    <x v="1"/>
    <s v="Cryptocurrency"/>
    <x v="1"/>
  </r>
  <r>
    <x v="2"/>
    <s v="PayPal"/>
    <x v="0"/>
  </r>
  <r>
    <x v="0"/>
    <s v="PayPal"/>
    <x v="1"/>
  </r>
  <r>
    <x v="6"/>
    <s v="Credit Card"/>
    <x v="0"/>
  </r>
  <r>
    <x v="1"/>
    <s v="PayPal"/>
    <x v="0"/>
  </r>
  <r>
    <x v="4"/>
    <s v="Debit Card"/>
    <x v="1"/>
  </r>
  <r>
    <x v="2"/>
    <s v="Credit Card"/>
    <x v="0"/>
  </r>
  <r>
    <x v="0"/>
    <s v="PayPal"/>
    <x v="0"/>
  </r>
  <r>
    <x v="0"/>
    <s v="Debit Card"/>
    <x v="1"/>
  </r>
  <r>
    <x v="1"/>
    <s v="Credit Card"/>
    <x v="1"/>
  </r>
  <r>
    <x v="1"/>
    <s v="Credit Card"/>
    <x v="2"/>
  </r>
  <r>
    <x v="1"/>
    <s v="Debit Card"/>
    <x v="0"/>
  </r>
  <r>
    <x v="1"/>
    <s v="Debit Card"/>
    <x v="1"/>
  </r>
  <r>
    <x v="3"/>
    <s v="Debit Card"/>
    <x v="2"/>
  </r>
  <r>
    <x v="6"/>
    <s v="PayPal"/>
    <x v="0"/>
  </r>
  <r>
    <x v="2"/>
    <s v="PayPal"/>
    <x v="1"/>
  </r>
  <r>
    <x v="0"/>
    <s v="PayPal"/>
    <x v="1"/>
  </r>
  <r>
    <x v="3"/>
    <s v="Debit Card"/>
    <x v="1"/>
  </r>
  <r>
    <x v="0"/>
    <s v="Cryptocurrency"/>
    <x v="0"/>
  </r>
  <r>
    <x v="2"/>
    <s v="PayPal"/>
    <x v="1"/>
  </r>
  <r>
    <x v="2"/>
    <s v="Debit Card"/>
    <x v="1"/>
  </r>
  <r>
    <x v="2"/>
    <s v="Cryptocurrency"/>
    <x v="1"/>
  </r>
  <r>
    <x v="0"/>
    <s v="Credit Card"/>
    <x v="0"/>
  </r>
  <r>
    <x v="2"/>
    <s v="PayPal"/>
    <x v="0"/>
  </r>
  <r>
    <x v="1"/>
    <s v="Cryptocurrency"/>
    <x v="0"/>
  </r>
  <r>
    <x v="6"/>
    <s v="Cryptocurrency"/>
    <x v="0"/>
  </r>
  <r>
    <x v="2"/>
    <s v="Debit Card"/>
    <x v="0"/>
  </r>
  <r>
    <x v="4"/>
    <s v="Cryptocurrency"/>
    <x v="1"/>
  </r>
  <r>
    <x v="6"/>
    <s v="Cryptocurrency"/>
    <x v="2"/>
  </r>
  <r>
    <x v="3"/>
    <s v="Debit Card"/>
    <x v="0"/>
  </r>
  <r>
    <x v="0"/>
    <s v="Credit Card"/>
    <x v="0"/>
  </r>
  <r>
    <x v="5"/>
    <s v="PayPal"/>
    <x v="2"/>
  </r>
  <r>
    <x v="4"/>
    <s v="Debit Card"/>
    <x v="1"/>
  </r>
  <r>
    <x v="0"/>
    <s v="Cryptocurrency"/>
    <x v="1"/>
  </r>
  <r>
    <x v="2"/>
    <s v="PayPal"/>
    <x v="2"/>
  </r>
  <r>
    <x v="4"/>
    <s v="Debit Card"/>
    <x v="0"/>
  </r>
  <r>
    <x v="4"/>
    <s v="Credit Card"/>
    <x v="0"/>
  </r>
  <r>
    <x v="4"/>
    <s v="Debit Card"/>
    <x v="0"/>
  </r>
  <r>
    <x v="4"/>
    <s v="Credit Card"/>
    <x v="0"/>
  </r>
  <r>
    <x v="4"/>
    <s v="Debit Card"/>
    <x v="2"/>
  </r>
  <r>
    <x v="5"/>
    <s v="Credit Card"/>
    <x v="0"/>
  </r>
  <r>
    <x v="2"/>
    <s v="Debit Card"/>
    <x v="0"/>
  </r>
  <r>
    <x v="1"/>
    <s v="Credit Card"/>
    <x v="2"/>
  </r>
  <r>
    <x v="0"/>
    <s v="Debit Card"/>
    <x v="0"/>
  </r>
  <r>
    <x v="0"/>
    <s v="Cryptocurrency"/>
    <x v="0"/>
  </r>
  <r>
    <x v="6"/>
    <s v="Debit Card"/>
    <x v="0"/>
  </r>
  <r>
    <x v="4"/>
    <s v="PayPal"/>
    <x v="0"/>
  </r>
  <r>
    <x v="5"/>
    <s v="PayPal"/>
    <x v="1"/>
  </r>
  <r>
    <x v="5"/>
    <s v="Credit Card"/>
    <x v="2"/>
  </r>
  <r>
    <x v="5"/>
    <s v="PayPal"/>
    <x v="2"/>
  </r>
  <r>
    <x v="3"/>
    <s v="Debit Card"/>
    <x v="1"/>
  </r>
  <r>
    <x v="5"/>
    <s v="Debit Card"/>
    <x v="1"/>
  </r>
  <r>
    <x v="1"/>
    <s v="PayPal"/>
    <x v="1"/>
  </r>
  <r>
    <x v="5"/>
    <s v="PayPal"/>
    <x v="2"/>
  </r>
  <r>
    <x v="0"/>
    <s v="PayPal"/>
    <x v="1"/>
  </r>
  <r>
    <x v="4"/>
    <s v="Debit Card"/>
    <x v="0"/>
  </r>
  <r>
    <x v="6"/>
    <s v="Debit Card"/>
    <x v="1"/>
  </r>
  <r>
    <x v="0"/>
    <s v="PayPal"/>
    <x v="0"/>
  </r>
  <r>
    <x v="4"/>
    <s v="PayPal"/>
    <x v="1"/>
  </r>
  <r>
    <x v="6"/>
    <s v="Cryptocurrency"/>
    <x v="0"/>
  </r>
  <r>
    <x v="6"/>
    <s v="Cryptocurrency"/>
    <x v="1"/>
  </r>
  <r>
    <x v="4"/>
    <s v="Cryptocurrency"/>
    <x v="2"/>
  </r>
  <r>
    <x v="3"/>
    <s v="Debit Card"/>
    <x v="2"/>
  </r>
  <r>
    <x v="1"/>
    <s v="PayPal"/>
    <x v="0"/>
  </r>
  <r>
    <x v="0"/>
    <s v="Debit Card"/>
    <x v="2"/>
  </r>
  <r>
    <x v="4"/>
    <s v="Cryptocurrency"/>
    <x v="0"/>
  </r>
  <r>
    <x v="4"/>
    <s v="Cryptocurrency"/>
    <x v="1"/>
  </r>
  <r>
    <x v="1"/>
    <s v="Credit Card"/>
    <x v="1"/>
  </r>
  <r>
    <x v="2"/>
    <s v="Credit Card"/>
    <x v="0"/>
  </r>
  <r>
    <x v="2"/>
    <s v="PayPal"/>
    <x v="2"/>
  </r>
  <r>
    <x v="6"/>
    <s v="PayPal"/>
    <x v="0"/>
  </r>
  <r>
    <x v="2"/>
    <s v="Credit Card"/>
    <x v="0"/>
  </r>
  <r>
    <x v="6"/>
    <s v="Debit Card"/>
    <x v="1"/>
  </r>
  <r>
    <x v="6"/>
    <s v="PayPal"/>
    <x v="0"/>
  </r>
  <r>
    <x v="5"/>
    <s v="PayPal"/>
    <x v="0"/>
  </r>
  <r>
    <x v="2"/>
    <s v="PayPal"/>
    <x v="0"/>
  </r>
  <r>
    <x v="0"/>
    <s v="PayPal"/>
    <x v="2"/>
  </r>
  <r>
    <x v="6"/>
    <s v="Cryptocurrency"/>
    <x v="2"/>
  </r>
  <r>
    <x v="0"/>
    <s v="Credit Card"/>
    <x v="2"/>
  </r>
  <r>
    <x v="1"/>
    <s v="PayPal"/>
    <x v="2"/>
  </r>
  <r>
    <x v="0"/>
    <s v="Credit Card"/>
    <x v="1"/>
  </r>
  <r>
    <x v="5"/>
    <s v="PayPal"/>
    <x v="2"/>
  </r>
  <r>
    <x v="1"/>
    <s v="Cryptocurrency"/>
    <x v="1"/>
  </r>
  <r>
    <x v="0"/>
    <s v="PayPal"/>
    <x v="1"/>
  </r>
  <r>
    <x v="3"/>
    <s v="Debit Card"/>
    <x v="0"/>
  </r>
  <r>
    <x v="1"/>
    <s v="PayPal"/>
    <x v="0"/>
  </r>
  <r>
    <x v="6"/>
    <s v="PayPal"/>
    <x v="1"/>
  </r>
  <r>
    <x v="2"/>
    <s v="PayPal"/>
    <x v="2"/>
  </r>
  <r>
    <x v="1"/>
    <s v="Credit Card"/>
    <x v="0"/>
  </r>
  <r>
    <x v="3"/>
    <s v="Cryptocurrency"/>
    <x v="0"/>
  </r>
  <r>
    <x v="4"/>
    <s v="PayPal"/>
    <x v="2"/>
  </r>
  <r>
    <x v="3"/>
    <s v="Debit Card"/>
    <x v="0"/>
  </r>
  <r>
    <x v="5"/>
    <s v="Credit Card"/>
    <x v="1"/>
  </r>
  <r>
    <x v="0"/>
    <s v="Debit Card"/>
    <x v="0"/>
  </r>
  <r>
    <x v="2"/>
    <s v="Debit Card"/>
    <x v="2"/>
  </r>
  <r>
    <x v="6"/>
    <s v="Cryptocurrency"/>
    <x v="1"/>
  </r>
  <r>
    <x v="3"/>
    <s v="Debit Card"/>
    <x v="2"/>
  </r>
  <r>
    <x v="4"/>
    <s v="Credit Card"/>
    <x v="2"/>
  </r>
  <r>
    <x v="6"/>
    <s v="Credit Card"/>
    <x v="1"/>
  </r>
  <r>
    <x v="6"/>
    <s v="PayPal"/>
    <x v="1"/>
  </r>
  <r>
    <x v="4"/>
    <s v="PayPal"/>
    <x v="1"/>
  </r>
  <r>
    <x v="4"/>
    <s v="PayPal"/>
    <x v="1"/>
  </r>
  <r>
    <x v="1"/>
    <s v="Debit Card"/>
    <x v="1"/>
  </r>
  <r>
    <x v="5"/>
    <s v="Debit Card"/>
    <x v="2"/>
  </r>
  <r>
    <x v="6"/>
    <s v="Cryptocurrency"/>
    <x v="0"/>
  </r>
  <r>
    <x v="4"/>
    <s v="Debit Card"/>
    <x v="0"/>
  </r>
  <r>
    <x v="4"/>
    <s v="Cryptocurrency"/>
    <x v="0"/>
  </r>
  <r>
    <x v="1"/>
    <s v="PayPal"/>
    <x v="2"/>
  </r>
  <r>
    <x v="2"/>
    <s v="Cryptocurrency"/>
    <x v="1"/>
  </r>
  <r>
    <x v="4"/>
    <s v="Credit Card"/>
    <x v="0"/>
  </r>
  <r>
    <x v="0"/>
    <s v="PayPal"/>
    <x v="1"/>
  </r>
  <r>
    <x v="2"/>
    <s v="PayPal"/>
    <x v="1"/>
  </r>
  <r>
    <x v="1"/>
    <s v="Cryptocurrency"/>
    <x v="2"/>
  </r>
  <r>
    <x v="6"/>
    <s v="Cryptocurrency"/>
    <x v="2"/>
  </r>
  <r>
    <x v="5"/>
    <s v="Debit Card"/>
    <x v="0"/>
  </r>
  <r>
    <x v="5"/>
    <s v="PayPal"/>
    <x v="2"/>
  </r>
  <r>
    <x v="1"/>
    <s v="Debit Card"/>
    <x v="1"/>
  </r>
  <r>
    <x v="0"/>
    <s v="PayPal"/>
    <x v="0"/>
  </r>
  <r>
    <x v="2"/>
    <s v="Cryptocurrency"/>
    <x v="1"/>
  </r>
  <r>
    <x v="3"/>
    <s v="Cryptocurrency"/>
    <x v="2"/>
  </r>
  <r>
    <x v="5"/>
    <s v="PayPal"/>
    <x v="1"/>
  </r>
  <r>
    <x v="0"/>
    <s v="Credit Card"/>
    <x v="0"/>
  </r>
  <r>
    <x v="1"/>
    <s v="PayPal"/>
    <x v="0"/>
  </r>
  <r>
    <x v="4"/>
    <s v="PayPal"/>
    <x v="1"/>
  </r>
  <r>
    <x v="3"/>
    <s v="Credit Card"/>
    <x v="0"/>
  </r>
  <r>
    <x v="2"/>
    <s v="Debit Card"/>
    <x v="0"/>
  </r>
  <r>
    <x v="1"/>
    <s v="Cryptocurrency"/>
    <x v="1"/>
  </r>
  <r>
    <x v="1"/>
    <s v="PayPal"/>
    <x v="0"/>
  </r>
  <r>
    <x v="4"/>
    <s v="Cryptocurrency"/>
    <x v="0"/>
  </r>
  <r>
    <x v="2"/>
    <s v="PayPal"/>
    <x v="2"/>
  </r>
  <r>
    <x v="3"/>
    <s v="PayPal"/>
    <x v="1"/>
  </r>
  <r>
    <x v="5"/>
    <s v="Debit Card"/>
    <x v="0"/>
  </r>
  <r>
    <x v="1"/>
    <s v="Cryptocurrency"/>
    <x v="1"/>
  </r>
  <r>
    <x v="4"/>
    <s v="Debit Card"/>
    <x v="2"/>
  </r>
  <r>
    <x v="5"/>
    <s v="Debit Card"/>
    <x v="0"/>
  </r>
  <r>
    <x v="4"/>
    <s v="Cryptocurrency"/>
    <x v="0"/>
  </r>
  <r>
    <x v="0"/>
    <s v="PayPal"/>
    <x v="0"/>
  </r>
  <r>
    <x v="5"/>
    <s v="Debit Card"/>
    <x v="1"/>
  </r>
  <r>
    <x v="2"/>
    <s v="Cryptocurrency"/>
    <x v="1"/>
  </r>
  <r>
    <x v="4"/>
    <s v="Cryptocurrency"/>
    <x v="1"/>
  </r>
  <r>
    <x v="2"/>
    <s v="Cryptocurrency"/>
    <x v="2"/>
  </r>
  <r>
    <x v="6"/>
    <s v="Credit Card"/>
    <x v="1"/>
  </r>
  <r>
    <x v="4"/>
    <s v="Cryptocurrency"/>
    <x v="1"/>
  </r>
  <r>
    <x v="0"/>
    <s v="Debit Card"/>
    <x v="2"/>
  </r>
  <r>
    <x v="3"/>
    <s v="Debit Card"/>
    <x v="1"/>
  </r>
  <r>
    <x v="4"/>
    <s v="Credit Card"/>
    <x v="2"/>
  </r>
  <r>
    <x v="4"/>
    <s v="Credit Card"/>
    <x v="2"/>
  </r>
  <r>
    <x v="5"/>
    <s v="PayPal"/>
    <x v="1"/>
  </r>
  <r>
    <x v="4"/>
    <s v="Credit Card"/>
    <x v="0"/>
  </r>
  <r>
    <x v="6"/>
    <s v="Debit Card"/>
    <x v="0"/>
  </r>
  <r>
    <x v="3"/>
    <s v="Debit Card"/>
    <x v="0"/>
  </r>
  <r>
    <x v="2"/>
    <s v="PayPal"/>
    <x v="2"/>
  </r>
  <r>
    <x v="4"/>
    <s v="Cryptocurrency"/>
    <x v="1"/>
  </r>
  <r>
    <x v="5"/>
    <s v="Cryptocurrency"/>
    <x v="2"/>
  </r>
  <r>
    <x v="5"/>
    <s v="Credit Card"/>
    <x v="2"/>
  </r>
  <r>
    <x v="6"/>
    <s v="Credit Card"/>
    <x v="1"/>
  </r>
  <r>
    <x v="0"/>
    <s v="Cryptocurrency"/>
    <x v="2"/>
  </r>
  <r>
    <x v="4"/>
    <s v="PayPal"/>
    <x v="2"/>
  </r>
  <r>
    <x v="6"/>
    <s v="Cryptocurrency"/>
    <x v="0"/>
  </r>
  <r>
    <x v="6"/>
    <s v="Cryptocurrency"/>
    <x v="2"/>
  </r>
  <r>
    <x v="4"/>
    <s v="Debit Card"/>
    <x v="0"/>
  </r>
  <r>
    <x v="3"/>
    <s v="PayPal"/>
    <x v="1"/>
  </r>
  <r>
    <x v="0"/>
    <s v="Credit Card"/>
    <x v="2"/>
  </r>
  <r>
    <x v="1"/>
    <s v="Debit Card"/>
    <x v="0"/>
  </r>
  <r>
    <x v="2"/>
    <s v="Debit Card"/>
    <x v="2"/>
  </r>
  <r>
    <x v="3"/>
    <s v="Cryptocurrency"/>
    <x v="2"/>
  </r>
  <r>
    <x v="5"/>
    <s v="PayPal"/>
    <x v="0"/>
  </r>
  <r>
    <x v="6"/>
    <s v="Debit Card"/>
    <x v="1"/>
  </r>
  <r>
    <x v="2"/>
    <s v="Cryptocurrency"/>
    <x v="0"/>
  </r>
  <r>
    <x v="4"/>
    <s v="Debit Card"/>
    <x v="0"/>
  </r>
  <r>
    <x v="5"/>
    <s v="PayPal"/>
    <x v="1"/>
  </r>
  <r>
    <x v="2"/>
    <s v="Cryptocurrency"/>
    <x v="2"/>
  </r>
  <r>
    <x v="4"/>
    <s v="Cryptocurrency"/>
    <x v="2"/>
  </r>
  <r>
    <x v="0"/>
    <s v="Credit Card"/>
    <x v="2"/>
  </r>
  <r>
    <x v="0"/>
    <s v="Cryptocurrency"/>
    <x v="2"/>
  </r>
  <r>
    <x v="5"/>
    <s v="Credit Card"/>
    <x v="1"/>
  </r>
  <r>
    <x v="2"/>
    <s v="Credit Card"/>
    <x v="2"/>
  </r>
  <r>
    <x v="3"/>
    <s v="Cryptocurrency"/>
    <x v="0"/>
  </r>
  <r>
    <x v="1"/>
    <s v="Cryptocurrency"/>
    <x v="0"/>
  </r>
  <r>
    <x v="6"/>
    <s v="Cryptocurrency"/>
    <x v="0"/>
  </r>
  <r>
    <x v="2"/>
    <s v="Credit Card"/>
    <x v="0"/>
  </r>
  <r>
    <x v="6"/>
    <s v="PayPal"/>
    <x v="0"/>
  </r>
  <r>
    <x v="5"/>
    <s v="Debit Card"/>
    <x v="2"/>
  </r>
  <r>
    <x v="2"/>
    <s v="PayPal"/>
    <x v="1"/>
  </r>
  <r>
    <x v="1"/>
    <s v="Cryptocurrency"/>
    <x v="1"/>
  </r>
  <r>
    <x v="6"/>
    <s v="Credit Card"/>
    <x v="0"/>
  </r>
  <r>
    <x v="6"/>
    <s v="Credit Card"/>
    <x v="0"/>
  </r>
  <r>
    <x v="2"/>
    <s v="Credit Card"/>
    <x v="0"/>
  </r>
  <r>
    <x v="4"/>
    <s v="Debit Card"/>
    <x v="1"/>
  </r>
  <r>
    <x v="6"/>
    <s v="Credit Card"/>
    <x v="1"/>
  </r>
  <r>
    <x v="1"/>
    <s v="Cryptocurrency"/>
    <x v="0"/>
  </r>
  <r>
    <x v="6"/>
    <s v="Debit Card"/>
    <x v="2"/>
  </r>
  <r>
    <x v="5"/>
    <s v="Credit Card"/>
    <x v="1"/>
  </r>
  <r>
    <x v="0"/>
    <s v="PayPal"/>
    <x v="2"/>
  </r>
  <r>
    <x v="3"/>
    <s v="Cryptocurrency"/>
    <x v="2"/>
  </r>
  <r>
    <x v="6"/>
    <s v="Debit Card"/>
    <x v="0"/>
  </r>
  <r>
    <x v="3"/>
    <s v="PayPal"/>
    <x v="2"/>
  </r>
  <r>
    <x v="0"/>
    <s v="PayPal"/>
    <x v="1"/>
  </r>
  <r>
    <x v="4"/>
    <s v="Cryptocurrency"/>
    <x v="2"/>
  </r>
  <r>
    <x v="3"/>
    <s v="PayPal"/>
    <x v="1"/>
  </r>
  <r>
    <x v="0"/>
    <s v="Credit Card"/>
    <x v="0"/>
  </r>
  <r>
    <x v="5"/>
    <s v="Cryptocurrency"/>
    <x v="1"/>
  </r>
  <r>
    <x v="2"/>
    <s v="Debit Card"/>
    <x v="1"/>
  </r>
  <r>
    <x v="3"/>
    <s v="Credit Card"/>
    <x v="1"/>
  </r>
  <r>
    <x v="4"/>
    <s v="Cryptocurrency"/>
    <x v="2"/>
  </r>
  <r>
    <x v="3"/>
    <s v="Credit Card"/>
    <x v="2"/>
  </r>
  <r>
    <x v="3"/>
    <s v="Cryptocurrency"/>
    <x v="1"/>
  </r>
  <r>
    <x v="4"/>
    <s v="Debit Card"/>
    <x v="1"/>
  </r>
  <r>
    <x v="6"/>
    <s v="PayPal"/>
    <x v="0"/>
  </r>
  <r>
    <x v="2"/>
    <s v="PayPal"/>
    <x v="2"/>
  </r>
  <r>
    <x v="6"/>
    <s v="Credit Card"/>
    <x v="1"/>
  </r>
  <r>
    <x v="5"/>
    <s v="Cryptocurrency"/>
    <x v="2"/>
  </r>
  <r>
    <x v="3"/>
    <s v="PayPal"/>
    <x v="2"/>
  </r>
  <r>
    <x v="0"/>
    <s v="Credit Card"/>
    <x v="2"/>
  </r>
  <r>
    <x v="5"/>
    <s v="Credit Card"/>
    <x v="2"/>
  </r>
  <r>
    <x v="6"/>
    <s v="Credit Card"/>
    <x v="0"/>
  </r>
  <r>
    <x v="5"/>
    <s v="Credit Card"/>
    <x v="2"/>
  </r>
  <r>
    <x v="0"/>
    <s v="Cryptocurrency"/>
    <x v="1"/>
  </r>
  <r>
    <x v="2"/>
    <s v="PayPal"/>
    <x v="0"/>
  </r>
  <r>
    <x v="2"/>
    <s v="PayPal"/>
    <x v="0"/>
  </r>
  <r>
    <x v="6"/>
    <s v="PayPal"/>
    <x v="0"/>
  </r>
  <r>
    <x v="0"/>
    <s v="PayPal"/>
    <x v="2"/>
  </r>
  <r>
    <x v="1"/>
    <s v="PayPal"/>
    <x v="1"/>
  </r>
  <r>
    <x v="3"/>
    <s v="PayPal"/>
    <x v="1"/>
  </r>
  <r>
    <x v="2"/>
    <s v="Debit Card"/>
    <x v="1"/>
  </r>
  <r>
    <x v="5"/>
    <s v="Credit Card"/>
    <x v="0"/>
  </r>
  <r>
    <x v="6"/>
    <s v="Cryptocurrency"/>
    <x v="2"/>
  </r>
  <r>
    <x v="5"/>
    <s v="Cryptocurrency"/>
    <x v="2"/>
  </r>
  <r>
    <x v="1"/>
    <s v="Debit Card"/>
    <x v="1"/>
  </r>
  <r>
    <x v="1"/>
    <s v="Credit Card"/>
    <x v="1"/>
  </r>
  <r>
    <x v="6"/>
    <s v="Debit Card"/>
    <x v="1"/>
  </r>
  <r>
    <x v="3"/>
    <s v="Credit Card"/>
    <x v="1"/>
  </r>
  <r>
    <x v="3"/>
    <s v="Cryptocurrency"/>
    <x v="1"/>
  </r>
  <r>
    <x v="2"/>
    <s v="Debit Card"/>
    <x v="0"/>
  </r>
  <r>
    <x v="5"/>
    <s v="PayPal"/>
    <x v="2"/>
  </r>
  <r>
    <x v="1"/>
    <s v="Credit Card"/>
    <x v="1"/>
  </r>
  <r>
    <x v="0"/>
    <s v="Credit Card"/>
    <x v="2"/>
  </r>
  <r>
    <x v="3"/>
    <s v="PayPal"/>
    <x v="2"/>
  </r>
  <r>
    <x v="6"/>
    <s v="Debit Card"/>
    <x v="1"/>
  </r>
  <r>
    <x v="2"/>
    <s v="Cryptocurrency"/>
    <x v="0"/>
  </r>
  <r>
    <x v="1"/>
    <s v="PayPal"/>
    <x v="2"/>
  </r>
  <r>
    <x v="6"/>
    <s v="Cryptocurrency"/>
    <x v="2"/>
  </r>
  <r>
    <x v="0"/>
    <s v="Credit Card"/>
    <x v="0"/>
  </r>
  <r>
    <x v="0"/>
    <s v="Cryptocurrency"/>
    <x v="1"/>
  </r>
  <r>
    <x v="4"/>
    <s v="Debit Card"/>
    <x v="2"/>
  </r>
  <r>
    <x v="2"/>
    <s v="Credit Card"/>
    <x v="1"/>
  </r>
  <r>
    <x v="0"/>
    <s v="Debit Card"/>
    <x v="2"/>
  </r>
  <r>
    <x v="2"/>
    <s v="Cryptocurrency"/>
    <x v="1"/>
  </r>
  <r>
    <x v="1"/>
    <s v="Credit Card"/>
    <x v="2"/>
  </r>
  <r>
    <x v="6"/>
    <s v="PayPal"/>
    <x v="0"/>
  </r>
  <r>
    <x v="2"/>
    <s v="Credit Card"/>
    <x v="0"/>
  </r>
  <r>
    <x v="1"/>
    <s v="PayPal"/>
    <x v="1"/>
  </r>
  <r>
    <x v="0"/>
    <s v="Cryptocurrency"/>
    <x v="0"/>
  </r>
  <r>
    <x v="0"/>
    <s v="Cryptocurrency"/>
    <x v="1"/>
  </r>
  <r>
    <x v="0"/>
    <s v="PayPal"/>
    <x v="0"/>
  </r>
  <r>
    <x v="4"/>
    <s v="Cryptocurrency"/>
    <x v="0"/>
  </r>
  <r>
    <x v="5"/>
    <s v="Cryptocurrency"/>
    <x v="0"/>
  </r>
  <r>
    <x v="2"/>
    <s v="Cryptocurrency"/>
    <x v="2"/>
  </r>
  <r>
    <x v="6"/>
    <s v="Debit Card"/>
    <x v="1"/>
  </r>
  <r>
    <x v="5"/>
    <s v="Cryptocurrency"/>
    <x v="0"/>
  </r>
  <r>
    <x v="4"/>
    <s v="Cryptocurrency"/>
    <x v="2"/>
  </r>
  <r>
    <x v="0"/>
    <s v="Debit Card"/>
    <x v="2"/>
  </r>
  <r>
    <x v="2"/>
    <s v="Debit Card"/>
    <x v="0"/>
  </r>
  <r>
    <x v="0"/>
    <s v="Credit Card"/>
    <x v="1"/>
  </r>
  <r>
    <x v="1"/>
    <s v="PayPal"/>
    <x v="1"/>
  </r>
  <r>
    <x v="4"/>
    <s v="Debit Card"/>
    <x v="2"/>
  </r>
  <r>
    <x v="3"/>
    <s v="Credit Card"/>
    <x v="2"/>
  </r>
  <r>
    <x v="4"/>
    <s v="Cryptocurrency"/>
    <x v="2"/>
  </r>
  <r>
    <x v="5"/>
    <s v="Credit Card"/>
    <x v="0"/>
  </r>
  <r>
    <x v="3"/>
    <s v="Debit Card"/>
    <x v="2"/>
  </r>
  <r>
    <x v="5"/>
    <s v="PayPal"/>
    <x v="0"/>
  </r>
  <r>
    <x v="6"/>
    <s v="Cryptocurrency"/>
    <x v="0"/>
  </r>
  <r>
    <x v="2"/>
    <s v="PayPal"/>
    <x v="2"/>
  </r>
  <r>
    <x v="1"/>
    <s v="Debit Card"/>
    <x v="0"/>
  </r>
  <r>
    <x v="1"/>
    <s v="PayPal"/>
    <x v="1"/>
  </r>
  <r>
    <x v="3"/>
    <s v="PayPal"/>
    <x v="2"/>
  </r>
  <r>
    <x v="3"/>
    <s v="Cryptocurrency"/>
    <x v="0"/>
  </r>
  <r>
    <x v="1"/>
    <s v="Cryptocurrency"/>
    <x v="0"/>
  </r>
  <r>
    <x v="5"/>
    <s v="Cryptocurrency"/>
    <x v="0"/>
  </r>
  <r>
    <x v="6"/>
    <s v="Debit Card"/>
    <x v="1"/>
  </r>
  <r>
    <x v="6"/>
    <s v="Debit Card"/>
    <x v="2"/>
  </r>
  <r>
    <x v="1"/>
    <s v="Cryptocurrency"/>
    <x v="0"/>
  </r>
  <r>
    <x v="5"/>
    <s v="Debit Card"/>
    <x v="1"/>
  </r>
  <r>
    <x v="5"/>
    <s v="Credit Card"/>
    <x v="0"/>
  </r>
  <r>
    <x v="0"/>
    <s v="Debit Card"/>
    <x v="0"/>
  </r>
  <r>
    <x v="6"/>
    <s v="Debit Card"/>
    <x v="1"/>
  </r>
  <r>
    <x v="4"/>
    <s v="Cryptocurrency"/>
    <x v="2"/>
  </r>
  <r>
    <x v="5"/>
    <s v="Credit Card"/>
    <x v="1"/>
  </r>
  <r>
    <x v="2"/>
    <s v="Cryptocurrency"/>
    <x v="0"/>
  </r>
  <r>
    <x v="5"/>
    <s v="PayPal"/>
    <x v="2"/>
  </r>
  <r>
    <x v="0"/>
    <s v="Credit Card"/>
    <x v="1"/>
  </r>
  <r>
    <x v="6"/>
    <s v="PayPal"/>
    <x v="2"/>
  </r>
  <r>
    <x v="0"/>
    <s v="Cryptocurrency"/>
    <x v="2"/>
  </r>
  <r>
    <x v="5"/>
    <s v="Cryptocurrency"/>
    <x v="2"/>
  </r>
  <r>
    <x v="2"/>
    <s v="Cryptocurrency"/>
    <x v="2"/>
  </r>
  <r>
    <x v="1"/>
    <s v="PayPal"/>
    <x v="0"/>
  </r>
  <r>
    <x v="5"/>
    <s v="Debit Card"/>
    <x v="2"/>
  </r>
  <r>
    <x v="3"/>
    <s v="Cryptocurrency"/>
    <x v="1"/>
  </r>
  <r>
    <x v="6"/>
    <s v="PayPal"/>
    <x v="2"/>
  </r>
  <r>
    <x v="2"/>
    <s v="Cryptocurrency"/>
    <x v="2"/>
  </r>
  <r>
    <x v="0"/>
    <s v="Credit Card"/>
    <x v="1"/>
  </r>
  <r>
    <x v="5"/>
    <s v="Debit Card"/>
    <x v="1"/>
  </r>
  <r>
    <x v="3"/>
    <s v="Debit Card"/>
    <x v="2"/>
  </r>
  <r>
    <x v="6"/>
    <s v="PayPal"/>
    <x v="0"/>
  </r>
  <r>
    <x v="3"/>
    <s v="Cryptocurrency"/>
    <x v="2"/>
  </r>
  <r>
    <x v="3"/>
    <s v="Cryptocurrency"/>
    <x v="0"/>
  </r>
  <r>
    <x v="4"/>
    <s v="PayPal"/>
    <x v="0"/>
  </r>
  <r>
    <x v="5"/>
    <s v="Cryptocurrency"/>
    <x v="2"/>
  </r>
  <r>
    <x v="6"/>
    <s v="Debit Card"/>
    <x v="0"/>
  </r>
  <r>
    <x v="4"/>
    <s v="Credit Card"/>
    <x v="1"/>
  </r>
  <r>
    <x v="4"/>
    <s v="Debit Card"/>
    <x v="1"/>
  </r>
  <r>
    <x v="0"/>
    <s v="Debit Card"/>
    <x v="0"/>
  </r>
  <r>
    <x v="0"/>
    <s v="PayPal"/>
    <x v="1"/>
  </r>
  <r>
    <x v="1"/>
    <s v="Debit Card"/>
    <x v="2"/>
  </r>
  <r>
    <x v="6"/>
    <s v="PayPal"/>
    <x v="1"/>
  </r>
  <r>
    <x v="2"/>
    <s v="Cryptocurrency"/>
    <x v="0"/>
  </r>
  <r>
    <x v="3"/>
    <s v="Debit Card"/>
    <x v="0"/>
  </r>
  <r>
    <x v="6"/>
    <s v="Cryptocurrency"/>
    <x v="0"/>
  </r>
  <r>
    <x v="2"/>
    <s v="Credit Card"/>
    <x v="1"/>
  </r>
  <r>
    <x v="6"/>
    <s v="Cryptocurrency"/>
    <x v="2"/>
  </r>
  <r>
    <x v="4"/>
    <s v="PayPal"/>
    <x v="2"/>
  </r>
  <r>
    <x v="2"/>
    <s v="Debit Card"/>
    <x v="2"/>
  </r>
  <r>
    <x v="6"/>
    <s v="PayPal"/>
    <x v="2"/>
  </r>
  <r>
    <x v="5"/>
    <s v="Cryptocurrency"/>
    <x v="1"/>
  </r>
  <r>
    <x v="1"/>
    <s v="PayPal"/>
    <x v="2"/>
  </r>
  <r>
    <x v="6"/>
    <s v="Cryptocurrency"/>
    <x v="1"/>
  </r>
  <r>
    <x v="6"/>
    <s v="Cryptocurrency"/>
    <x v="0"/>
  </r>
  <r>
    <x v="1"/>
    <s v="Cryptocurrency"/>
    <x v="2"/>
  </r>
  <r>
    <x v="2"/>
    <s v="PayPal"/>
    <x v="2"/>
  </r>
  <r>
    <x v="2"/>
    <s v="Debit Card"/>
    <x v="2"/>
  </r>
  <r>
    <x v="4"/>
    <s v="Debit Card"/>
    <x v="2"/>
  </r>
  <r>
    <x v="4"/>
    <s v="PayPal"/>
    <x v="1"/>
  </r>
  <r>
    <x v="1"/>
    <s v="Debit Card"/>
    <x v="1"/>
  </r>
  <r>
    <x v="5"/>
    <s v="PayPal"/>
    <x v="2"/>
  </r>
  <r>
    <x v="1"/>
    <s v="PayPal"/>
    <x v="2"/>
  </r>
  <r>
    <x v="1"/>
    <s v="Credit Card"/>
    <x v="2"/>
  </r>
  <r>
    <x v="0"/>
    <s v="PayPal"/>
    <x v="1"/>
  </r>
  <r>
    <x v="2"/>
    <s v="Credit Card"/>
    <x v="2"/>
  </r>
  <r>
    <x v="3"/>
    <s v="Credit Card"/>
    <x v="1"/>
  </r>
  <r>
    <x v="4"/>
    <s v="PayPal"/>
    <x v="2"/>
  </r>
  <r>
    <x v="2"/>
    <s v="Cryptocurrency"/>
    <x v="0"/>
  </r>
  <r>
    <x v="6"/>
    <s v="PayPal"/>
    <x v="2"/>
  </r>
  <r>
    <x v="6"/>
    <s v="PayPal"/>
    <x v="1"/>
  </r>
  <r>
    <x v="5"/>
    <s v="Cryptocurrency"/>
    <x v="2"/>
  </r>
  <r>
    <x v="6"/>
    <s v="Credit Card"/>
    <x v="1"/>
  </r>
  <r>
    <x v="4"/>
    <s v="Cryptocurrency"/>
    <x v="0"/>
  </r>
  <r>
    <x v="5"/>
    <s v="PayPal"/>
    <x v="2"/>
  </r>
  <r>
    <x v="6"/>
    <s v="Debit Card"/>
    <x v="2"/>
  </r>
  <r>
    <x v="2"/>
    <s v="PayPal"/>
    <x v="2"/>
  </r>
  <r>
    <x v="5"/>
    <s v="Debit Card"/>
    <x v="2"/>
  </r>
  <r>
    <x v="3"/>
    <s v="Cryptocurrency"/>
    <x v="0"/>
  </r>
  <r>
    <x v="3"/>
    <s v="Debit Card"/>
    <x v="0"/>
  </r>
  <r>
    <x v="0"/>
    <s v="Credit Card"/>
    <x v="1"/>
  </r>
  <r>
    <x v="5"/>
    <s v="Cryptocurrency"/>
    <x v="0"/>
  </r>
  <r>
    <x v="4"/>
    <s v="PayPal"/>
    <x v="0"/>
  </r>
  <r>
    <x v="2"/>
    <s v="PayPal"/>
    <x v="0"/>
  </r>
  <r>
    <x v="1"/>
    <s v="Debit Card"/>
    <x v="2"/>
  </r>
  <r>
    <x v="1"/>
    <s v="Credit Card"/>
    <x v="1"/>
  </r>
  <r>
    <x v="2"/>
    <s v="Cryptocurrency"/>
    <x v="2"/>
  </r>
  <r>
    <x v="3"/>
    <s v="Credit Card"/>
    <x v="2"/>
  </r>
  <r>
    <x v="2"/>
    <s v="Credit Card"/>
    <x v="0"/>
  </r>
  <r>
    <x v="1"/>
    <s v="Debit Card"/>
    <x v="0"/>
  </r>
  <r>
    <x v="3"/>
    <s v="Debit Card"/>
    <x v="0"/>
  </r>
  <r>
    <x v="3"/>
    <s v="Debit Card"/>
    <x v="2"/>
  </r>
  <r>
    <x v="6"/>
    <s v="Credit Card"/>
    <x v="0"/>
  </r>
  <r>
    <x v="6"/>
    <s v="Credit Card"/>
    <x v="0"/>
  </r>
  <r>
    <x v="6"/>
    <s v="Cryptocurrency"/>
    <x v="0"/>
  </r>
  <r>
    <x v="0"/>
    <s v="Credit Card"/>
    <x v="2"/>
  </r>
  <r>
    <x v="0"/>
    <s v="Credit Card"/>
    <x v="1"/>
  </r>
  <r>
    <x v="5"/>
    <s v="Credit Card"/>
    <x v="2"/>
  </r>
  <r>
    <x v="5"/>
    <s v="Cryptocurrency"/>
    <x v="2"/>
  </r>
  <r>
    <x v="6"/>
    <s v="Credit Card"/>
    <x v="2"/>
  </r>
  <r>
    <x v="5"/>
    <s v="Cryptocurrency"/>
    <x v="2"/>
  </r>
  <r>
    <x v="0"/>
    <s v="PayPal"/>
    <x v="1"/>
  </r>
  <r>
    <x v="5"/>
    <s v="Debit Card"/>
    <x v="2"/>
  </r>
  <r>
    <x v="4"/>
    <s v="Cryptocurrency"/>
    <x v="2"/>
  </r>
  <r>
    <x v="1"/>
    <s v="Debit Card"/>
    <x v="1"/>
  </r>
  <r>
    <x v="0"/>
    <s v="Cryptocurrency"/>
    <x v="0"/>
  </r>
  <r>
    <x v="6"/>
    <s v="Credit Card"/>
    <x v="2"/>
  </r>
  <r>
    <x v="6"/>
    <s v="PayPal"/>
    <x v="0"/>
  </r>
  <r>
    <x v="4"/>
    <s v="PayPal"/>
    <x v="1"/>
  </r>
  <r>
    <x v="3"/>
    <s v="Credit Card"/>
    <x v="1"/>
  </r>
  <r>
    <x v="1"/>
    <s v="Credit Card"/>
    <x v="1"/>
  </r>
  <r>
    <x v="3"/>
    <s v="Debit Card"/>
    <x v="1"/>
  </r>
  <r>
    <x v="2"/>
    <s v="Debit Card"/>
    <x v="2"/>
  </r>
  <r>
    <x v="4"/>
    <s v="PayPal"/>
    <x v="1"/>
  </r>
  <r>
    <x v="0"/>
    <s v="PayPal"/>
    <x v="2"/>
  </r>
  <r>
    <x v="5"/>
    <s v="Cryptocurrency"/>
    <x v="2"/>
  </r>
  <r>
    <x v="5"/>
    <s v="Debit Card"/>
    <x v="0"/>
  </r>
  <r>
    <x v="5"/>
    <s v="PayPal"/>
    <x v="2"/>
  </r>
  <r>
    <x v="1"/>
    <s v="Debit Card"/>
    <x v="2"/>
  </r>
  <r>
    <x v="2"/>
    <s v="Credit Card"/>
    <x v="0"/>
  </r>
  <r>
    <x v="0"/>
    <s v="Credit Card"/>
    <x v="2"/>
  </r>
  <r>
    <x v="0"/>
    <s v="Cryptocurrency"/>
    <x v="1"/>
  </r>
  <r>
    <x v="5"/>
    <s v="PayPal"/>
    <x v="0"/>
  </r>
  <r>
    <x v="5"/>
    <s v="Debit Card"/>
    <x v="1"/>
  </r>
  <r>
    <x v="5"/>
    <s v="PayPal"/>
    <x v="2"/>
  </r>
  <r>
    <x v="2"/>
    <s v="Cryptocurrency"/>
    <x v="2"/>
  </r>
  <r>
    <x v="6"/>
    <s v="Debit Card"/>
    <x v="2"/>
  </r>
  <r>
    <x v="4"/>
    <s v="PayPal"/>
    <x v="2"/>
  </r>
  <r>
    <x v="4"/>
    <s v="PayPal"/>
    <x v="1"/>
  </r>
  <r>
    <x v="4"/>
    <s v="Debit Card"/>
    <x v="2"/>
  </r>
  <r>
    <x v="6"/>
    <s v="PayPal"/>
    <x v="0"/>
  </r>
  <r>
    <x v="1"/>
    <s v="Credit Card"/>
    <x v="1"/>
  </r>
  <r>
    <x v="0"/>
    <s v="PayPal"/>
    <x v="1"/>
  </r>
  <r>
    <x v="0"/>
    <s v="Debit Card"/>
    <x v="0"/>
  </r>
  <r>
    <x v="5"/>
    <s v="Debit Card"/>
    <x v="2"/>
  </r>
  <r>
    <x v="1"/>
    <s v="Cryptocurrency"/>
    <x v="2"/>
  </r>
  <r>
    <x v="1"/>
    <s v="PayPal"/>
    <x v="0"/>
  </r>
  <r>
    <x v="3"/>
    <s v="Credit Card"/>
    <x v="0"/>
  </r>
  <r>
    <x v="3"/>
    <s v="Credit Card"/>
    <x v="1"/>
  </r>
  <r>
    <x v="2"/>
    <s v="Cryptocurrency"/>
    <x v="1"/>
  </r>
  <r>
    <x v="2"/>
    <s v="Credit Card"/>
    <x v="1"/>
  </r>
  <r>
    <x v="6"/>
    <s v="PayPal"/>
    <x v="0"/>
  </r>
  <r>
    <x v="1"/>
    <s v="Debit Card"/>
    <x v="0"/>
  </r>
  <r>
    <x v="0"/>
    <s v="Cryptocurrency"/>
    <x v="1"/>
  </r>
  <r>
    <x v="0"/>
    <s v="PayPal"/>
    <x v="2"/>
  </r>
  <r>
    <x v="0"/>
    <s v="Cryptocurrency"/>
    <x v="1"/>
  </r>
  <r>
    <x v="4"/>
    <s v="PayPal"/>
    <x v="2"/>
  </r>
  <r>
    <x v="2"/>
    <s v="Debit Card"/>
    <x v="1"/>
  </r>
  <r>
    <x v="2"/>
    <s v="PayPal"/>
    <x v="1"/>
  </r>
  <r>
    <x v="4"/>
    <s v="Cryptocurrency"/>
    <x v="1"/>
  </r>
  <r>
    <x v="3"/>
    <s v="PayPal"/>
    <x v="1"/>
  </r>
  <r>
    <x v="3"/>
    <s v="Debit Card"/>
    <x v="0"/>
  </r>
  <r>
    <x v="1"/>
    <s v="Credit Card"/>
    <x v="2"/>
  </r>
  <r>
    <x v="5"/>
    <s v="Credit Card"/>
    <x v="0"/>
  </r>
  <r>
    <x v="4"/>
    <s v="Credit Card"/>
    <x v="1"/>
  </r>
  <r>
    <x v="1"/>
    <s v="PayPal"/>
    <x v="0"/>
  </r>
  <r>
    <x v="1"/>
    <s v="Credit Card"/>
    <x v="2"/>
  </r>
  <r>
    <x v="2"/>
    <s v="PayPal"/>
    <x v="1"/>
  </r>
  <r>
    <x v="2"/>
    <s v="Credit Card"/>
    <x v="2"/>
  </r>
  <r>
    <x v="0"/>
    <s v="Cryptocurrency"/>
    <x v="1"/>
  </r>
  <r>
    <x v="2"/>
    <s v="PayPal"/>
    <x v="1"/>
  </r>
  <r>
    <x v="0"/>
    <s v="Credit Card"/>
    <x v="0"/>
  </r>
  <r>
    <x v="0"/>
    <s v="Debit Card"/>
    <x v="1"/>
  </r>
  <r>
    <x v="0"/>
    <s v="Cryptocurrency"/>
    <x v="1"/>
  </r>
  <r>
    <x v="1"/>
    <s v="Cryptocurrency"/>
    <x v="2"/>
  </r>
  <r>
    <x v="5"/>
    <s v="Debit Card"/>
    <x v="1"/>
  </r>
  <r>
    <x v="4"/>
    <s v="Credit Card"/>
    <x v="1"/>
  </r>
  <r>
    <x v="6"/>
    <s v="Cryptocurrency"/>
    <x v="1"/>
  </r>
  <r>
    <x v="1"/>
    <s v="PayPal"/>
    <x v="2"/>
  </r>
  <r>
    <x v="3"/>
    <s v="PayPal"/>
    <x v="0"/>
  </r>
  <r>
    <x v="0"/>
    <s v="Debit Card"/>
    <x v="2"/>
  </r>
  <r>
    <x v="1"/>
    <s v="PayPal"/>
    <x v="0"/>
  </r>
  <r>
    <x v="5"/>
    <s v="Debit Card"/>
    <x v="1"/>
  </r>
  <r>
    <x v="1"/>
    <s v="Debit Card"/>
    <x v="1"/>
  </r>
  <r>
    <x v="5"/>
    <s v="Credit Card"/>
    <x v="2"/>
  </r>
  <r>
    <x v="4"/>
    <s v="Debit Card"/>
    <x v="2"/>
  </r>
  <r>
    <x v="1"/>
    <s v="Debit Card"/>
    <x v="0"/>
  </r>
  <r>
    <x v="6"/>
    <s v="Debit Card"/>
    <x v="1"/>
  </r>
  <r>
    <x v="2"/>
    <s v="PayPal"/>
    <x v="1"/>
  </r>
  <r>
    <x v="1"/>
    <s v="Cryptocurrency"/>
    <x v="0"/>
  </r>
  <r>
    <x v="6"/>
    <s v="Cryptocurrency"/>
    <x v="0"/>
  </r>
  <r>
    <x v="2"/>
    <s v="PayPal"/>
    <x v="1"/>
  </r>
  <r>
    <x v="4"/>
    <s v="Cryptocurrency"/>
    <x v="2"/>
  </r>
  <r>
    <x v="5"/>
    <s v="Cryptocurrency"/>
    <x v="0"/>
  </r>
  <r>
    <x v="2"/>
    <s v="PayPal"/>
    <x v="2"/>
  </r>
  <r>
    <x v="0"/>
    <s v="Credit Card"/>
    <x v="1"/>
  </r>
  <r>
    <x v="3"/>
    <s v="Debit Card"/>
    <x v="0"/>
  </r>
  <r>
    <x v="3"/>
    <s v="Credit Card"/>
    <x v="2"/>
  </r>
  <r>
    <x v="5"/>
    <s v="Debit Card"/>
    <x v="1"/>
  </r>
  <r>
    <x v="5"/>
    <s v="Cryptocurrency"/>
    <x v="1"/>
  </r>
  <r>
    <x v="6"/>
    <s v="Credit Card"/>
    <x v="0"/>
  </r>
  <r>
    <x v="0"/>
    <s v="Credit Card"/>
    <x v="0"/>
  </r>
  <r>
    <x v="5"/>
    <s v="Credit Card"/>
    <x v="0"/>
  </r>
  <r>
    <x v="0"/>
    <s v="Credit Card"/>
    <x v="2"/>
  </r>
  <r>
    <x v="1"/>
    <s v="Debit Card"/>
    <x v="1"/>
  </r>
  <r>
    <x v="3"/>
    <s v="PayPal"/>
    <x v="1"/>
  </r>
  <r>
    <x v="0"/>
    <s v="Debit Card"/>
    <x v="2"/>
  </r>
  <r>
    <x v="3"/>
    <s v="Cryptocurrency"/>
    <x v="0"/>
  </r>
  <r>
    <x v="1"/>
    <s v="Debit Card"/>
    <x v="1"/>
  </r>
  <r>
    <x v="0"/>
    <s v="Debit Card"/>
    <x v="1"/>
  </r>
  <r>
    <x v="2"/>
    <s v="PayPal"/>
    <x v="1"/>
  </r>
  <r>
    <x v="3"/>
    <s v="Debit Card"/>
    <x v="2"/>
  </r>
  <r>
    <x v="3"/>
    <s v="Credit Card"/>
    <x v="2"/>
  </r>
  <r>
    <x v="6"/>
    <s v="PayPal"/>
    <x v="2"/>
  </r>
  <r>
    <x v="5"/>
    <s v="Cryptocurrency"/>
    <x v="2"/>
  </r>
  <r>
    <x v="0"/>
    <s v="Cryptocurrency"/>
    <x v="1"/>
  </r>
  <r>
    <x v="5"/>
    <s v="Credit Card"/>
    <x v="1"/>
  </r>
  <r>
    <x v="5"/>
    <s v="Debit Card"/>
    <x v="1"/>
  </r>
  <r>
    <x v="3"/>
    <s v="PayPal"/>
    <x v="0"/>
  </r>
  <r>
    <x v="2"/>
    <s v="Cryptocurrency"/>
    <x v="2"/>
  </r>
  <r>
    <x v="4"/>
    <s v="PayPal"/>
    <x v="2"/>
  </r>
  <r>
    <x v="1"/>
    <s v="Debit Card"/>
    <x v="1"/>
  </r>
  <r>
    <x v="5"/>
    <s v="Cryptocurrency"/>
    <x v="0"/>
  </r>
  <r>
    <x v="2"/>
    <s v="Cryptocurrency"/>
    <x v="2"/>
  </r>
  <r>
    <x v="6"/>
    <s v="PayPal"/>
    <x v="0"/>
  </r>
  <r>
    <x v="1"/>
    <s v="Credit Card"/>
    <x v="2"/>
  </r>
  <r>
    <x v="2"/>
    <s v="Credit Card"/>
    <x v="0"/>
  </r>
  <r>
    <x v="5"/>
    <s v="Debit Card"/>
    <x v="2"/>
  </r>
  <r>
    <x v="5"/>
    <s v="Debit Card"/>
    <x v="1"/>
  </r>
  <r>
    <x v="0"/>
    <s v="Cryptocurrency"/>
    <x v="1"/>
  </r>
  <r>
    <x v="1"/>
    <s v="Credit Card"/>
    <x v="2"/>
  </r>
  <r>
    <x v="2"/>
    <s v="PayPal"/>
    <x v="2"/>
  </r>
  <r>
    <x v="6"/>
    <s v="Cryptocurrency"/>
    <x v="0"/>
  </r>
  <r>
    <x v="3"/>
    <s v="Debit Card"/>
    <x v="1"/>
  </r>
  <r>
    <x v="1"/>
    <s v="Credit Card"/>
    <x v="0"/>
  </r>
  <r>
    <x v="5"/>
    <s v="PayPal"/>
    <x v="0"/>
  </r>
  <r>
    <x v="1"/>
    <s v="Credit Card"/>
    <x v="0"/>
  </r>
  <r>
    <x v="6"/>
    <s v="PayPal"/>
    <x v="2"/>
  </r>
  <r>
    <x v="4"/>
    <s v="Cryptocurrency"/>
    <x v="1"/>
  </r>
  <r>
    <x v="0"/>
    <s v="PayPal"/>
    <x v="1"/>
  </r>
  <r>
    <x v="1"/>
    <s v="PayPal"/>
    <x v="0"/>
  </r>
  <r>
    <x v="0"/>
    <s v="Debit Card"/>
    <x v="1"/>
  </r>
  <r>
    <x v="5"/>
    <s v="Credit Card"/>
    <x v="1"/>
  </r>
  <r>
    <x v="0"/>
    <s v="Credit Card"/>
    <x v="0"/>
  </r>
  <r>
    <x v="0"/>
    <s v="Credit Card"/>
    <x v="1"/>
  </r>
  <r>
    <x v="6"/>
    <s v="Debit Card"/>
    <x v="1"/>
  </r>
  <r>
    <x v="5"/>
    <s v="Credit Card"/>
    <x v="1"/>
  </r>
  <r>
    <x v="0"/>
    <s v="Credit Card"/>
    <x v="0"/>
  </r>
  <r>
    <x v="4"/>
    <s v="Cryptocurrency"/>
    <x v="2"/>
  </r>
  <r>
    <x v="5"/>
    <s v="Debit Card"/>
    <x v="0"/>
  </r>
  <r>
    <x v="6"/>
    <s v="Cryptocurrency"/>
    <x v="0"/>
  </r>
  <r>
    <x v="0"/>
    <s v="Cryptocurrency"/>
    <x v="2"/>
  </r>
  <r>
    <x v="4"/>
    <s v="Credit Card"/>
    <x v="2"/>
  </r>
  <r>
    <x v="4"/>
    <s v="PayPal"/>
    <x v="1"/>
  </r>
  <r>
    <x v="5"/>
    <s v="Cryptocurrency"/>
    <x v="1"/>
  </r>
  <r>
    <x v="0"/>
    <s v="Credit Card"/>
    <x v="0"/>
  </r>
  <r>
    <x v="6"/>
    <s v="Credit Card"/>
    <x v="2"/>
  </r>
  <r>
    <x v="1"/>
    <s v="Credit Card"/>
    <x v="1"/>
  </r>
  <r>
    <x v="0"/>
    <s v="Debit Card"/>
    <x v="1"/>
  </r>
  <r>
    <x v="1"/>
    <s v="PayPal"/>
    <x v="1"/>
  </r>
  <r>
    <x v="3"/>
    <s v="Debit Card"/>
    <x v="2"/>
  </r>
  <r>
    <x v="5"/>
    <s v="Cryptocurrency"/>
    <x v="1"/>
  </r>
  <r>
    <x v="0"/>
    <s v="Cryptocurrency"/>
    <x v="2"/>
  </r>
  <r>
    <x v="0"/>
    <s v="Cryptocurrency"/>
    <x v="2"/>
  </r>
  <r>
    <x v="1"/>
    <s v="Credit Card"/>
    <x v="2"/>
  </r>
  <r>
    <x v="2"/>
    <s v="PayPal"/>
    <x v="0"/>
  </r>
  <r>
    <x v="6"/>
    <s v="Credit Card"/>
    <x v="2"/>
  </r>
  <r>
    <x v="0"/>
    <s v="PayPal"/>
    <x v="0"/>
  </r>
  <r>
    <x v="0"/>
    <s v="Debit Card"/>
    <x v="0"/>
  </r>
  <r>
    <x v="5"/>
    <s v="Debit Card"/>
    <x v="2"/>
  </r>
  <r>
    <x v="0"/>
    <s v="Cryptocurrency"/>
    <x v="2"/>
  </r>
  <r>
    <x v="0"/>
    <s v="Debit Card"/>
    <x v="0"/>
  </r>
  <r>
    <x v="1"/>
    <s v="Credit Card"/>
    <x v="0"/>
  </r>
  <r>
    <x v="2"/>
    <s v="PayPal"/>
    <x v="0"/>
  </r>
  <r>
    <x v="6"/>
    <s v="Debit Card"/>
    <x v="2"/>
  </r>
  <r>
    <x v="4"/>
    <s v="Credit Card"/>
    <x v="1"/>
  </r>
  <r>
    <x v="6"/>
    <s v="Cryptocurrency"/>
    <x v="0"/>
  </r>
  <r>
    <x v="0"/>
    <s v="PayPal"/>
    <x v="0"/>
  </r>
  <r>
    <x v="5"/>
    <s v="Cryptocurrency"/>
    <x v="0"/>
  </r>
  <r>
    <x v="2"/>
    <s v="Cryptocurrency"/>
    <x v="1"/>
  </r>
  <r>
    <x v="2"/>
    <s v="Debit Card"/>
    <x v="1"/>
  </r>
  <r>
    <x v="5"/>
    <s v="PayPal"/>
    <x v="0"/>
  </r>
  <r>
    <x v="0"/>
    <s v="PayPal"/>
    <x v="0"/>
  </r>
  <r>
    <x v="1"/>
    <s v="Credit Card"/>
    <x v="0"/>
  </r>
  <r>
    <x v="5"/>
    <s v="Debit Card"/>
    <x v="0"/>
  </r>
  <r>
    <x v="0"/>
    <s v="Debit Card"/>
    <x v="2"/>
  </r>
  <r>
    <x v="3"/>
    <s v="Credit Card"/>
    <x v="1"/>
  </r>
  <r>
    <x v="5"/>
    <s v="Debit Card"/>
    <x v="0"/>
  </r>
  <r>
    <x v="5"/>
    <s v="Credit Card"/>
    <x v="0"/>
  </r>
  <r>
    <x v="4"/>
    <s v="Debit Card"/>
    <x v="1"/>
  </r>
  <r>
    <x v="2"/>
    <s v="Debit Card"/>
    <x v="1"/>
  </r>
  <r>
    <x v="1"/>
    <s v="Credit Card"/>
    <x v="1"/>
  </r>
  <r>
    <x v="6"/>
    <s v="Cryptocurrency"/>
    <x v="2"/>
  </r>
  <r>
    <x v="5"/>
    <s v="Cryptocurrency"/>
    <x v="0"/>
  </r>
  <r>
    <x v="0"/>
    <s v="Credit Card"/>
    <x v="2"/>
  </r>
  <r>
    <x v="4"/>
    <s v="Credit Card"/>
    <x v="0"/>
  </r>
  <r>
    <x v="4"/>
    <s v="PayPal"/>
    <x v="0"/>
  </r>
  <r>
    <x v="6"/>
    <s v="Debit Card"/>
    <x v="1"/>
  </r>
  <r>
    <x v="6"/>
    <s v="Cryptocurrency"/>
    <x v="0"/>
  </r>
  <r>
    <x v="3"/>
    <s v="PayPal"/>
    <x v="2"/>
  </r>
  <r>
    <x v="0"/>
    <s v="Credit Card"/>
    <x v="1"/>
  </r>
  <r>
    <x v="2"/>
    <s v="Credit Card"/>
    <x v="1"/>
  </r>
  <r>
    <x v="2"/>
    <s v="PayPal"/>
    <x v="1"/>
  </r>
  <r>
    <x v="5"/>
    <s v="Cryptocurrency"/>
    <x v="1"/>
  </r>
  <r>
    <x v="5"/>
    <s v="Debit Card"/>
    <x v="0"/>
  </r>
  <r>
    <x v="2"/>
    <s v="Debit Card"/>
    <x v="2"/>
  </r>
  <r>
    <x v="4"/>
    <s v="Cryptocurrency"/>
    <x v="2"/>
  </r>
  <r>
    <x v="4"/>
    <s v="Debit Card"/>
    <x v="0"/>
  </r>
  <r>
    <x v="3"/>
    <s v="Cryptocurrency"/>
    <x v="0"/>
  </r>
  <r>
    <x v="5"/>
    <s v="Cryptocurrency"/>
    <x v="1"/>
  </r>
  <r>
    <x v="3"/>
    <s v="Debit Card"/>
    <x v="1"/>
  </r>
  <r>
    <x v="2"/>
    <s v="Cryptocurrency"/>
    <x v="2"/>
  </r>
  <r>
    <x v="6"/>
    <s v="PayPal"/>
    <x v="2"/>
  </r>
  <r>
    <x v="6"/>
    <s v="Cryptocurrency"/>
    <x v="2"/>
  </r>
  <r>
    <x v="6"/>
    <s v="Cryptocurrency"/>
    <x v="2"/>
  </r>
  <r>
    <x v="0"/>
    <s v="Debit Card"/>
    <x v="0"/>
  </r>
  <r>
    <x v="0"/>
    <s v="Cryptocurrency"/>
    <x v="2"/>
  </r>
  <r>
    <x v="0"/>
    <s v="Cryptocurrency"/>
    <x v="2"/>
  </r>
  <r>
    <x v="0"/>
    <s v="Cryptocurrency"/>
    <x v="2"/>
  </r>
  <r>
    <x v="5"/>
    <s v="Debit Card"/>
    <x v="2"/>
  </r>
  <r>
    <x v="6"/>
    <s v="Credit Card"/>
    <x v="2"/>
  </r>
  <r>
    <x v="2"/>
    <s v="Credit Card"/>
    <x v="1"/>
  </r>
  <r>
    <x v="0"/>
    <s v="PayPal"/>
    <x v="2"/>
  </r>
  <r>
    <x v="1"/>
    <s v="Credit Card"/>
    <x v="2"/>
  </r>
  <r>
    <x v="1"/>
    <s v="Debit Card"/>
    <x v="2"/>
  </r>
  <r>
    <x v="1"/>
    <s v="Debit Card"/>
    <x v="2"/>
  </r>
  <r>
    <x v="3"/>
    <s v="Cryptocurrency"/>
    <x v="1"/>
  </r>
  <r>
    <x v="6"/>
    <s v="PayPal"/>
    <x v="2"/>
  </r>
  <r>
    <x v="0"/>
    <s v="Credit Card"/>
    <x v="1"/>
  </r>
  <r>
    <x v="6"/>
    <s v="Debit Card"/>
    <x v="2"/>
  </r>
  <r>
    <x v="0"/>
    <s v="Cryptocurrency"/>
    <x v="1"/>
  </r>
  <r>
    <x v="2"/>
    <s v="Cryptocurrency"/>
    <x v="2"/>
  </r>
  <r>
    <x v="5"/>
    <s v="Credit Card"/>
    <x v="1"/>
  </r>
  <r>
    <x v="5"/>
    <s v="Credit Card"/>
    <x v="2"/>
  </r>
  <r>
    <x v="5"/>
    <s v="Debit Card"/>
    <x v="0"/>
  </r>
  <r>
    <x v="5"/>
    <s v="Cryptocurrency"/>
    <x v="0"/>
  </r>
  <r>
    <x v="2"/>
    <s v="Cryptocurrency"/>
    <x v="2"/>
  </r>
  <r>
    <x v="1"/>
    <s v="Credit Card"/>
    <x v="2"/>
  </r>
  <r>
    <x v="2"/>
    <s v="PayPal"/>
    <x v="2"/>
  </r>
  <r>
    <x v="3"/>
    <s v="PayPal"/>
    <x v="1"/>
  </r>
  <r>
    <x v="3"/>
    <s v="PayPal"/>
    <x v="2"/>
  </r>
  <r>
    <x v="2"/>
    <s v="Debit Card"/>
    <x v="2"/>
  </r>
  <r>
    <x v="2"/>
    <s v="Debit Card"/>
    <x v="2"/>
  </r>
  <r>
    <x v="2"/>
    <s v="Cryptocurrency"/>
    <x v="1"/>
  </r>
  <r>
    <x v="1"/>
    <s v="Debit Card"/>
    <x v="0"/>
  </r>
  <r>
    <x v="3"/>
    <s v="Cryptocurrency"/>
    <x v="1"/>
  </r>
  <r>
    <x v="4"/>
    <s v="Credit Card"/>
    <x v="1"/>
  </r>
  <r>
    <x v="5"/>
    <s v="Debit Card"/>
    <x v="1"/>
  </r>
  <r>
    <x v="0"/>
    <s v="PayPal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000">
  <r>
    <n v="49"/>
    <x v="0"/>
  </r>
  <r>
    <n v="161"/>
    <x v="1"/>
  </r>
  <r>
    <n v="87"/>
    <x v="2"/>
  </r>
  <r>
    <n v="321"/>
    <x v="2"/>
  </r>
  <r>
    <n v="386"/>
    <x v="2"/>
  </r>
  <r>
    <n v="408"/>
    <x v="3"/>
  </r>
  <r>
    <n v="475"/>
    <x v="4"/>
  </r>
  <r>
    <n v="258"/>
    <x v="0"/>
  </r>
  <r>
    <n v="183"/>
    <x v="2"/>
  </r>
  <r>
    <n v="164"/>
    <x v="5"/>
  </r>
  <r>
    <n v="411"/>
    <x v="4"/>
  </r>
  <r>
    <n v="160"/>
    <x v="1"/>
  </r>
  <r>
    <n v="348"/>
    <x v="5"/>
  </r>
  <r>
    <n v="451"/>
    <x v="4"/>
  </r>
  <r>
    <n v="69"/>
    <x v="1"/>
  </r>
  <r>
    <n v="166"/>
    <x v="1"/>
  </r>
  <r>
    <n v="449"/>
    <x v="3"/>
  </r>
  <r>
    <n v="441"/>
    <x v="2"/>
  </r>
  <r>
    <n v="224"/>
    <x v="2"/>
  </r>
  <r>
    <n v="44"/>
    <x v="5"/>
  </r>
  <r>
    <n v="202"/>
    <x v="3"/>
  </r>
  <r>
    <n v="39"/>
    <x v="2"/>
  </r>
  <r>
    <n v="319"/>
    <x v="2"/>
  </r>
  <r>
    <n v="150"/>
    <x v="1"/>
  </r>
  <r>
    <n v="496"/>
    <x v="4"/>
  </r>
  <r>
    <n v="347"/>
    <x v="1"/>
  </r>
  <r>
    <n v="201"/>
    <x v="5"/>
  </r>
  <r>
    <n v="415"/>
    <x v="3"/>
  </r>
  <r>
    <n v="32"/>
    <x v="4"/>
  </r>
  <r>
    <n v="338"/>
    <x v="3"/>
  </r>
  <r>
    <n v="52"/>
    <x v="3"/>
  </r>
  <r>
    <n v="447"/>
    <x v="0"/>
  </r>
  <r>
    <n v="312"/>
    <x v="3"/>
  </r>
  <r>
    <n v="406"/>
    <x v="1"/>
  </r>
  <r>
    <n v="350"/>
    <x v="2"/>
  </r>
  <r>
    <n v="99"/>
    <x v="0"/>
  </r>
  <r>
    <n v="53"/>
    <x v="2"/>
  </r>
  <r>
    <n v="484"/>
    <x v="1"/>
  </r>
  <r>
    <n v="211"/>
    <x v="0"/>
  </r>
  <r>
    <n v="248"/>
    <x v="3"/>
  </r>
  <r>
    <n v="197"/>
    <x v="2"/>
  </r>
  <r>
    <n v="253"/>
    <x v="5"/>
  </r>
  <r>
    <n v="352"/>
    <x v="5"/>
  </r>
  <r>
    <n v="97"/>
    <x v="3"/>
  </r>
  <r>
    <n v="283"/>
    <x v="1"/>
  </r>
  <r>
    <n v="307"/>
    <x v="0"/>
  </r>
  <r>
    <n v="203"/>
    <x v="3"/>
  </r>
  <r>
    <n v="22"/>
    <x v="3"/>
  </r>
  <r>
    <n v="382"/>
    <x v="0"/>
  </r>
  <r>
    <n v="302"/>
    <x v="2"/>
  </r>
  <r>
    <n v="76"/>
    <x v="1"/>
  </r>
  <r>
    <n v="125"/>
    <x v="1"/>
  </r>
  <r>
    <n v="113"/>
    <x v="1"/>
  </r>
  <r>
    <n v="183"/>
    <x v="0"/>
  </r>
  <r>
    <n v="272"/>
    <x v="4"/>
  </r>
  <r>
    <n v="19"/>
    <x v="4"/>
  </r>
  <r>
    <n v="204"/>
    <x v="2"/>
  </r>
  <r>
    <n v="345"/>
    <x v="0"/>
  </r>
  <r>
    <n v="294"/>
    <x v="0"/>
  </r>
  <r>
    <n v="318"/>
    <x v="0"/>
  </r>
  <r>
    <n v="396"/>
    <x v="0"/>
  </r>
  <r>
    <n v="455"/>
    <x v="1"/>
  </r>
  <r>
    <n v="175"/>
    <x v="4"/>
  </r>
  <r>
    <n v="36"/>
    <x v="3"/>
  </r>
  <r>
    <n v="349"/>
    <x v="2"/>
  </r>
  <r>
    <n v="262"/>
    <x v="5"/>
  </r>
  <r>
    <n v="378"/>
    <x v="3"/>
  </r>
  <r>
    <n v="469"/>
    <x v="5"/>
  </r>
  <r>
    <n v="87"/>
    <x v="1"/>
  </r>
  <r>
    <n v="471"/>
    <x v="2"/>
  </r>
  <r>
    <n v="469"/>
    <x v="0"/>
  </r>
  <r>
    <n v="298"/>
    <x v="3"/>
  </r>
  <r>
    <n v="331"/>
    <x v="3"/>
  </r>
  <r>
    <n v="238"/>
    <x v="1"/>
  </r>
  <r>
    <n v="231"/>
    <x v="2"/>
  </r>
  <r>
    <n v="457"/>
    <x v="2"/>
  </r>
  <r>
    <n v="373"/>
    <x v="3"/>
  </r>
  <r>
    <n v="11"/>
    <x v="5"/>
  </r>
  <r>
    <n v="425"/>
    <x v="4"/>
  </r>
  <r>
    <n v="231"/>
    <x v="5"/>
  </r>
  <r>
    <n v="483"/>
    <x v="5"/>
  </r>
  <r>
    <n v="55"/>
    <x v="2"/>
  </r>
  <r>
    <n v="375"/>
    <x v="0"/>
  </r>
  <r>
    <n v="336"/>
    <x v="1"/>
  </r>
  <r>
    <n v="196"/>
    <x v="2"/>
  </r>
  <r>
    <n v="285"/>
    <x v="3"/>
  </r>
  <r>
    <n v="155"/>
    <x v="5"/>
  </r>
  <r>
    <n v="275"/>
    <x v="2"/>
  </r>
  <r>
    <n v="341"/>
    <x v="1"/>
  </r>
  <r>
    <n v="321"/>
    <x v="4"/>
  </r>
  <r>
    <n v="456"/>
    <x v="5"/>
  </r>
  <r>
    <n v="15"/>
    <x v="0"/>
  </r>
  <r>
    <n v="410"/>
    <x v="4"/>
  </r>
  <r>
    <n v="29"/>
    <x v="1"/>
  </r>
  <r>
    <n v="427"/>
    <x v="3"/>
  </r>
  <r>
    <n v="166"/>
    <x v="0"/>
  </r>
  <r>
    <n v="192"/>
    <x v="5"/>
  </r>
  <r>
    <n v="88"/>
    <x v="4"/>
  </r>
  <r>
    <n v="127"/>
    <x v="4"/>
  </r>
  <r>
    <n v="327"/>
    <x v="3"/>
  </r>
  <r>
    <n v="10"/>
    <x v="4"/>
  </r>
  <r>
    <n v="181"/>
    <x v="2"/>
  </r>
  <r>
    <n v="238"/>
    <x v="1"/>
  </r>
  <r>
    <n v="380"/>
    <x v="0"/>
  </r>
  <r>
    <n v="444"/>
    <x v="0"/>
  </r>
  <r>
    <n v="83"/>
    <x v="0"/>
  </r>
  <r>
    <n v="452"/>
    <x v="3"/>
  </r>
  <r>
    <n v="53"/>
    <x v="3"/>
  </r>
  <r>
    <n v="89"/>
    <x v="4"/>
  </r>
  <r>
    <n v="359"/>
    <x v="3"/>
  </r>
  <r>
    <n v="487"/>
    <x v="5"/>
  </r>
  <r>
    <n v="337"/>
    <x v="2"/>
  </r>
  <r>
    <n v="427"/>
    <x v="2"/>
  </r>
  <r>
    <n v="397"/>
    <x v="2"/>
  </r>
  <r>
    <n v="200"/>
    <x v="5"/>
  </r>
  <r>
    <n v="464"/>
    <x v="3"/>
  </r>
  <r>
    <n v="495"/>
    <x v="4"/>
  </r>
  <r>
    <n v="286"/>
    <x v="5"/>
  </r>
  <r>
    <n v="446"/>
    <x v="3"/>
  </r>
  <r>
    <n v="342"/>
    <x v="5"/>
  </r>
  <r>
    <n v="396"/>
    <x v="1"/>
  </r>
  <r>
    <n v="491"/>
    <x v="3"/>
  </r>
  <r>
    <n v="239"/>
    <x v="3"/>
  </r>
  <r>
    <n v="106"/>
    <x v="4"/>
  </r>
  <r>
    <n v="388"/>
    <x v="1"/>
  </r>
  <r>
    <n v="452"/>
    <x v="3"/>
  </r>
  <r>
    <n v="368"/>
    <x v="2"/>
  </r>
  <r>
    <n v="325"/>
    <x v="2"/>
  </r>
  <r>
    <n v="42"/>
    <x v="2"/>
  </r>
  <r>
    <n v="344"/>
    <x v="2"/>
  </r>
  <r>
    <n v="77"/>
    <x v="5"/>
  </r>
  <r>
    <n v="237"/>
    <x v="2"/>
  </r>
  <r>
    <n v="480"/>
    <x v="3"/>
  </r>
  <r>
    <n v="152"/>
    <x v="2"/>
  </r>
  <r>
    <n v="308"/>
    <x v="1"/>
  </r>
  <r>
    <n v="14"/>
    <x v="0"/>
  </r>
  <r>
    <n v="233"/>
    <x v="0"/>
  </r>
  <r>
    <n v="169"/>
    <x v="5"/>
  </r>
  <r>
    <n v="358"/>
    <x v="2"/>
  </r>
  <r>
    <n v="404"/>
    <x v="1"/>
  </r>
  <r>
    <n v="131"/>
    <x v="0"/>
  </r>
  <r>
    <n v="32"/>
    <x v="0"/>
  </r>
  <r>
    <n v="478"/>
    <x v="3"/>
  </r>
  <r>
    <n v="88"/>
    <x v="2"/>
  </r>
  <r>
    <n v="395"/>
    <x v="1"/>
  </r>
  <r>
    <n v="385"/>
    <x v="5"/>
  </r>
  <r>
    <n v="280"/>
    <x v="3"/>
  </r>
  <r>
    <n v="164"/>
    <x v="1"/>
  </r>
  <r>
    <n v="433"/>
    <x v="3"/>
  </r>
  <r>
    <n v="460"/>
    <x v="1"/>
  </r>
  <r>
    <n v="374"/>
    <x v="0"/>
  </r>
  <r>
    <n v="147"/>
    <x v="0"/>
  </r>
  <r>
    <n v="129"/>
    <x v="2"/>
  </r>
  <r>
    <n v="217"/>
    <x v="5"/>
  </r>
  <r>
    <n v="426"/>
    <x v="1"/>
  </r>
  <r>
    <n v="81"/>
    <x v="2"/>
  </r>
  <r>
    <n v="296"/>
    <x v="4"/>
  </r>
  <r>
    <n v="466"/>
    <x v="2"/>
  </r>
  <r>
    <n v="424"/>
    <x v="3"/>
  </r>
  <r>
    <n v="233"/>
    <x v="0"/>
  </r>
  <r>
    <n v="413"/>
    <x v="5"/>
  </r>
  <r>
    <n v="278"/>
    <x v="2"/>
  </r>
  <r>
    <n v="351"/>
    <x v="1"/>
  </r>
  <r>
    <n v="354"/>
    <x v="4"/>
  </r>
  <r>
    <n v="192"/>
    <x v="4"/>
  </r>
  <r>
    <n v="176"/>
    <x v="1"/>
  </r>
  <r>
    <n v="482"/>
    <x v="2"/>
  </r>
  <r>
    <n v="87"/>
    <x v="0"/>
  </r>
  <r>
    <n v="163"/>
    <x v="4"/>
  </r>
  <r>
    <n v="419"/>
    <x v="1"/>
  </r>
  <r>
    <n v="203"/>
    <x v="5"/>
  </r>
  <r>
    <n v="405"/>
    <x v="5"/>
  </r>
  <r>
    <n v="496"/>
    <x v="5"/>
  </r>
  <r>
    <n v="328"/>
    <x v="2"/>
  </r>
  <r>
    <n v="85"/>
    <x v="1"/>
  </r>
  <r>
    <n v="386"/>
    <x v="0"/>
  </r>
  <r>
    <n v="245"/>
    <x v="1"/>
  </r>
  <r>
    <n v="97"/>
    <x v="5"/>
  </r>
  <r>
    <n v="216"/>
    <x v="2"/>
  </r>
  <r>
    <n v="331"/>
    <x v="5"/>
  </r>
  <r>
    <n v="451"/>
    <x v="1"/>
  </r>
  <r>
    <n v="326"/>
    <x v="0"/>
  </r>
  <r>
    <n v="358"/>
    <x v="0"/>
  </r>
  <r>
    <n v="91"/>
    <x v="4"/>
  </r>
  <r>
    <n v="478"/>
    <x v="3"/>
  </r>
  <r>
    <n v="16"/>
    <x v="2"/>
  </r>
  <r>
    <n v="44"/>
    <x v="4"/>
  </r>
  <r>
    <n v="100"/>
    <x v="2"/>
  </r>
  <r>
    <n v="44"/>
    <x v="4"/>
  </r>
  <r>
    <n v="37"/>
    <x v="5"/>
  </r>
  <r>
    <n v="48"/>
    <x v="5"/>
  </r>
  <r>
    <n v="371"/>
    <x v="3"/>
  </r>
  <r>
    <n v="176"/>
    <x v="4"/>
  </r>
  <r>
    <n v="312"/>
    <x v="3"/>
  </r>
  <r>
    <n v="375"/>
    <x v="5"/>
  </r>
  <r>
    <n v="134"/>
    <x v="4"/>
  </r>
  <r>
    <n v="91"/>
    <x v="3"/>
  </r>
  <r>
    <n v="359"/>
    <x v="1"/>
  </r>
  <r>
    <n v="172"/>
    <x v="5"/>
  </r>
  <r>
    <n v="490"/>
    <x v="1"/>
  </r>
  <r>
    <n v="16"/>
    <x v="0"/>
  </r>
  <r>
    <n v="291"/>
    <x v="3"/>
  </r>
  <r>
    <n v="119"/>
    <x v="0"/>
  </r>
  <r>
    <n v="35"/>
    <x v="3"/>
  </r>
  <r>
    <n v="88"/>
    <x v="5"/>
  </r>
  <r>
    <n v="312"/>
    <x v="2"/>
  </r>
  <r>
    <n v="238"/>
    <x v="0"/>
  </r>
  <r>
    <n v="132"/>
    <x v="4"/>
  </r>
  <r>
    <n v="456"/>
    <x v="1"/>
  </r>
  <r>
    <n v="281"/>
    <x v="4"/>
  </r>
  <r>
    <n v="281"/>
    <x v="2"/>
  </r>
  <r>
    <n v="73"/>
    <x v="1"/>
  </r>
  <r>
    <n v="365"/>
    <x v="5"/>
  </r>
  <r>
    <n v="61"/>
    <x v="2"/>
  </r>
  <r>
    <n v="399"/>
    <x v="5"/>
  </r>
  <r>
    <n v="102"/>
    <x v="4"/>
  </r>
  <r>
    <n v="88"/>
    <x v="1"/>
  </r>
  <r>
    <n v="92"/>
    <x v="4"/>
  </r>
  <r>
    <n v="295"/>
    <x v="3"/>
  </r>
  <r>
    <n v="139"/>
    <x v="3"/>
  </r>
  <r>
    <n v="416"/>
    <x v="5"/>
  </r>
  <r>
    <n v="173"/>
    <x v="0"/>
  </r>
  <r>
    <n v="75"/>
    <x v="1"/>
  </r>
  <r>
    <n v="173"/>
    <x v="3"/>
  </r>
  <r>
    <n v="421"/>
    <x v="3"/>
  </r>
  <r>
    <n v="29"/>
    <x v="1"/>
  </r>
  <r>
    <n v="180"/>
    <x v="0"/>
  </r>
  <r>
    <n v="469"/>
    <x v="4"/>
  </r>
  <r>
    <n v="381"/>
    <x v="5"/>
  </r>
  <r>
    <n v="263"/>
    <x v="5"/>
  </r>
  <r>
    <n v="48"/>
    <x v="5"/>
  </r>
  <r>
    <n v="447"/>
    <x v="2"/>
  </r>
  <r>
    <n v="415"/>
    <x v="5"/>
  </r>
  <r>
    <n v="429"/>
    <x v="5"/>
  </r>
  <r>
    <n v="26"/>
    <x v="2"/>
  </r>
  <r>
    <n v="101"/>
    <x v="2"/>
  </r>
  <r>
    <n v="461"/>
    <x v="3"/>
  </r>
  <r>
    <n v="246"/>
    <x v="0"/>
  </r>
  <r>
    <n v="91"/>
    <x v="2"/>
  </r>
  <r>
    <n v="152"/>
    <x v="5"/>
  </r>
  <r>
    <n v="283"/>
    <x v="0"/>
  </r>
  <r>
    <n v="61"/>
    <x v="3"/>
  </r>
  <r>
    <n v="410"/>
    <x v="1"/>
  </r>
  <r>
    <n v="88"/>
    <x v="1"/>
  </r>
  <r>
    <n v="322"/>
    <x v="5"/>
  </r>
  <r>
    <n v="217"/>
    <x v="2"/>
  </r>
  <r>
    <n v="180"/>
    <x v="4"/>
  </r>
  <r>
    <n v="11"/>
    <x v="3"/>
  </r>
  <r>
    <n v="455"/>
    <x v="5"/>
  </r>
  <r>
    <n v="487"/>
    <x v="4"/>
  </r>
  <r>
    <n v="459"/>
    <x v="3"/>
  </r>
  <r>
    <n v="74"/>
    <x v="2"/>
  </r>
  <r>
    <n v="54"/>
    <x v="2"/>
  </r>
  <r>
    <n v="292"/>
    <x v="0"/>
  </r>
  <r>
    <n v="23"/>
    <x v="1"/>
  </r>
  <r>
    <n v="147"/>
    <x v="1"/>
  </r>
  <r>
    <n v="221"/>
    <x v="5"/>
  </r>
  <r>
    <n v="40"/>
    <x v="2"/>
  </r>
  <r>
    <n v="365"/>
    <x v="0"/>
  </r>
  <r>
    <n v="360"/>
    <x v="3"/>
  </r>
  <r>
    <n v="127"/>
    <x v="3"/>
  </r>
  <r>
    <n v="30"/>
    <x v="2"/>
  </r>
  <r>
    <n v="222"/>
    <x v="0"/>
  </r>
  <r>
    <n v="168"/>
    <x v="5"/>
  </r>
  <r>
    <n v="317"/>
    <x v="4"/>
  </r>
  <r>
    <n v="285"/>
    <x v="2"/>
  </r>
  <r>
    <n v="420"/>
    <x v="1"/>
  </r>
  <r>
    <n v="100"/>
    <x v="0"/>
  </r>
  <r>
    <n v="426"/>
    <x v="0"/>
  </r>
  <r>
    <n v="263"/>
    <x v="4"/>
  </r>
  <r>
    <n v="162"/>
    <x v="0"/>
  </r>
  <r>
    <n v="19"/>
    <x v="1"/>
  </r>
  <r>
    <n v="358"/>
    <x v="1"/>
  </r>
  <r>
    <n v="183"/>
    <x v="4"/>
  </r>
  <r>
    <n v="63"/>
    <x v="3"/>
  </r>
  <r>
    <n v="446"/>
    <x v="4"/>
  </r>
  <r>
    <n v="352"/>
    <x v="4"/>
  </r>
  <r>
    <n v="209"/>
    <x v="1"/>
  </r>
  <r>
    <n v="311"/>
    <x v="2"/>
  </r>
  <r>
    <n v="293"/>
    <x v="3"/>
  </r>
  <r>
    <n v="119"/>
    <x v="2"/>
  </r>
  <r>
    <n v="329"/>
    <x v="0"/>
  </r>
  <r>
    <n v="141"/>
    <x v="2"/>
  </r>
  <r>
    <n v="15"/>
    <x v="3"/>
  </r>
  <r>
    <n v="30"/>
    <x v="1"/>
  </r>
  <r>
    <n v="145"/>
    <x v="5"/>
  </r>
  <r>
    <n v="250"/>
    <x v="2"/>
  </r>
  <r>
    <n v="243"/>
    <x v="3"/>
  </r>
  <r>
    <n v="392"/>
    <x v="4"/>
  </r>
  <r>
    <n v="389"/>
    <x v="4"/>
  </r>
  <r>
    <n v="414"/>
    <x v="1"/>
  </r>
  <r>
    <n v="415"/>
    <x v="1"/>
  </r>
  <r>
    <n v="494"/>
    <x v="3"/>
  </r>
  <r>
    <n v="109"/>
    <x v="1"/>
  </r>
  <r>
    <n v="200"/>
    <x v="2"/>
  </r>
  <r>
    <n v="134"/>
    <x v="1"/>
  </r>
  <r>
    <n v="250"/>
    <x v="4"/>
  </r>
  <r>
    <n v="305"/>
    <x v="2"/>
  </r>
  <r>
    <n v="256"/>
    <x v="3"/>
  </r>
  <r>
    <n v="214"/>
    <x v="0"/>
  </r>
  <r>
    <n v="272"/>
    <x v="1"/>
  </r>
  <r>
    <n v="144"/>
    <x v="4"/>
  </r>
  <r>
    <n v="381"/>
    <x v="4"/>
  </r>
  <r>
    <n v="292"/>
    <x v="4"/>
  </r>
  <r>
    <n v="358"/>
    <x v="3"/>
  </r>
  <r>
    <n v="426"/>
    <x v="5"/>
  </r>
  <r>
    <n v="474"/>
    <x v="1"/>
  </r>
  <r>
    <n v="286"/>
    <x v="2"/>
  </r>
  <r>
    <n v="498"/>
    <x v="4"/>
  </r>
  <r>
    <n v="32"/>
    <x v="3"/>
  </r>
  <r>
    <n v="84"/>
    <x v="2"/>
  </r>
  <r>
    <n v="210"/>
    <x v="0"/>
  </r>
  <r>
    <n v="231"/>
    <x v="1"/>
  </r>
  <r>
    <n v="246"/>
    <x v="4"/>
  </r>
  <r>
    <n v="174"/>
    <x v="4"/>
  </r>
  <r>
    <n v="298"/>
    <x v="0"/>
  </r>
  <r>
    <n v="344"/>
    <x v="1"/>
  </r>
  <r>
    <n v="264"/>
    <x v="4"/>
  </r>
  <r>
    <n v="380"/>
    <x v="5"/>
  </r>
  <r>
    <n v="160"/>
    <x v="1"/>
  </r>
  <r>
    <n v="55"/>
    <x v="5"/>
  </r>
  <r>
    <n v="70"/>
    <x v="2"/>
  </r>
  <r>
    <n v="256"/>
    <x v="4"/>
  </r>
  <r>
    <n v="436"/>
    <x v="1"/>
  </r>
  <r>
    <n v="394"/>
    <x v="1"/>
  </r>
  <r>
    <n v="131"/>
    <x v="3"/>
  </r>
  <r>
    <n v="98"/>
    <x v="4"/>
  </r>
  <r>
    <n v="276"/>
    <x v="4"/>
  </r>
  <r>
    <n v="251"/>
    <x v="0"/>
  </r>
  <r>
    <n v="233"/>
    <x v="2"/>
  </r>
  <r>
    <n v="136"/>
    <x v="0"/>
  </r>
  <r>
    <n v="248"/>
    <x v="3"/>
  </r>
  <r>
    <n v="180"/>
    <x v="4"/>
  </r>
  <r>
    <n v="254"/>
    <x v="2"/>
  </r>
  <r>
    <n v="108"/>
    <x v="0"/>
  </r>
  <r>
    <n v="183"/>
    <x v="1"/>
  </r>
  <r>
    <n v="53"/>
    <x v="4"/>
  </r>
  <r>
    <n v="120"/>
    <x v="0"/>
  </r>
  <r>
    <n v="118"/>
    <x v="2"/>
  </r>
  <r>
    <n v="113"/>
    <x v="4"/>
  </r>
  <r>
    <n v="138"/>
    <x v="2"/>
  </r>
  <r>
    <n v="178"/>
    <x v="4"/>
  </r>
  <r>
    <n v="105"/>
    <x v="5"/>
  </r>
  <r>
    <n v="283"/>
    <x v="5"/>
  </r>
  <r>
    <n v="154"/>
    <x v="4"/>
  </r>
  <r>
    <n v="240"/>
    <x v="0"/>
  </r>
  <r>
    <n v="29"/>
    <x v="3"/>
  </r>
  <r>
    <n v="202"/>
    <x v="4"/>
  </r>
  <r>
    <n v="348"/>
    <x v="3"/>
  </r>
  <r>
    <n v="380"/>
    <x v="1"/>
  </r>
  <r>
    <n v="254"/>
    <x v="4"/>
  </r>
  <r>
    <n v="477"/>
    <x v="4"/>
  </r>
  <r>
    <n v="385"/>
    <x v="5"/>
  </r>
  <r>
    <n v="336"/>
    <x v="5"/>
  </r>
  <r>
    <n v="171"/>
    <x v="3"/>
  </r>
  <r>
    <n v="33"/>
    <x v="5"/>
  </r>
  <r>
    <n v="193"/>
    <x v="5"/>
  </r>
  <r>
    <n v="153"/>
    <x v="5"/>
  </r>
  <r>
    <n v="140"/>
    <x v="0"/>
  </r>
  <r>
    <n v="196"/>
    <x v="3"/>
  </r>
  <r>
    <n v="298"/>
    <x v="3"/>
  </r>
  <r>
    <n v="477"/>
    <x v="0"/>
  </r>
  <r>
    <n v="308"/>
    <x v="3"/>
  </r>
  <r>
    <n v="193"/>
    <x v="4"/>
  </r>
  <r>
    <n v="420"/>
    <x v="4"/>
  </r>
  <r>
    <n v="128"/>
    <x v="1"/>
  </r>
  <r>
    <n v="133"/>
    <x v="4"/>
  </r>
  <r>
    <n v="413"/>
    <x v="5"/>
  </r>
  <r>
    <n v="28"/>
    <x v="5"/>
  </r>
  <r>
    <n v="453"/>
    <x v="2"/>
  </r>
  <r>
    <n v="186"/>
    <x v="1"/>
  </r>
  <r>
    <n v="287"/>
    <x v="2"/>
  </r>
  <r>
    <n v="45"/>
    <x v="2"/>
  </r>
  <r>
    <n v="463"/>
    <x v="3"/>
  </r>
  <r>
    <n v="241"/>
    <x v="0"/>
  </r>
  <r>
    <n v="11"/>
    <x v="1"/>
  </r>
  <r>
    <n v="123"/>
    <x v="0"/>
  </r>
  <r>
    <n v="411"/>
    <x v="3"/>
  </r>
  <r>
    <n v="469"/>
    <x v="5"/>
  </r>
  <r>
    <n v="120"/>
    <x v="1"/>
  </r>
  <r>
    <n v="348"/>
    <x v="4"/>
  </r>
  <r>
    <n v="103"/>
    <x v="5"/>
  </r>
  <r>
    <n v="470"/>
    <x v="2"/>
  </r>
  <r>
    <n v="241"/>
    <x v="3"/>
  </r>
  <r>
    <n v="277"/>
    <x v="5"/>
  </r>
  <r>
    <n v="158"/>
    <x v="5"/>
  </r>
  <r>
    <n v="23"/>
    <x v="0"/>
  </r>
  <r>
    <n v="200"/>
    <x v="5"/>
  </r>
  <r>
    <n v="264"/>
    <x v="5"/>
  </r>
  <r>
    <n v="309"/>
    <x v="3"/>
  </r>
  <r>
    <n v="30"/>
    <x v="0"/>
  </r>
  <r>
    <n v="289"/>
    <x v="2"/>
  </r>
  <r>
    <n v="432"/>
    <x v="4"/>
  </r>
  <r>
    <n v="393"/>
    <x v="5"/>
  </r>
  <r>
    <n v="203"/>
    <x v="1"/>
  </r>
  <r>
    <n v="43"/>
    <x v="0"/>
  </r>
  <r>
    <n v="311"/>
    <x v="0"/>
  </r>
  <r>
    <n v="23"/>
    <x v="0"/>
  </r>
  <r>
    <n v="370"/>
    <x v="0"/>
  </r>
  <r>
    <n v="343"/>
    <x v="1"/>
  </r>
  <r>
    <n v="391"/>
    <x v="5"/>
  </r>
  <r>
    <n v="405"/>
    <x v="1"/>
  </r>
  <r>
    <n v="14"/>
    <x v="5"/>
  </r>
  <r>
    <n v="11"/>
    <x v="3"/>
  </r>
  <r>
    <n v="335"/>
    <x v="5"/>
  </r>
  <r>
    <n v="408"/>
    <x v="3"/>
  </r>
  <r>
    <n v="302"/>
    <x v="5"/>
  </r>
  <r>
    <n v="329"/>
    <x v="4"/>
  </r>
  <r>
    <n v="328"/>
    <x v="1"/>
  </r>
  <r>
    <n v="353"/>
    <x v="4"/>
  </r>
  <r>
    <n v="386"/>
    <x v="0"/>
  </r>
  <r>
    <n v="401"/>
    <x v="2"/>
  </r>
  <r>
    <n v="286"/>
    <x v="1"/>
  </r>
  <r>
    <n v="20"/>
    <x v="4"/>
  </r>
  <r>
    <n v="167"/>
    <x v="2"/>
  </r>
  <r>
    <n v="427"/>
    <x v="2"/>
  </r>
  <r>
    <n v="13"/>
    <x v="3"/>
  </r>
  <r>
    <n v="53"/>
    <x v="1"/>
  </r>
  <r>
    <n v="197"/>
    <x v="1"/>
  </r>
  <r>
    <n v="429"/>
    <x v="3"/>
  </r>
  <r>
    <n v="282"/>
    <x v="3"/>
  </r>
  <r>
    <n v="248"/>
    <x v="1"/>
  </r>
  <r>
    <n v="406"/>
    <x v="2"/>
  </r>
  <r>
    <n v="249"/>
    <x v="1"/>
  </r>
  <r>
    <n v="12"/>
    <x v="4"/>
  </r>
  <r>
    <n v="57"/>
    <x v="3"/>
  </r>
  <r>
    <n v="247"/>
    <x v="2"/>
  </r>
  <r>
    <n v="25"/>
    <x v="4"/>
  </r>
  <r>
    <n v="425"/>
    <x v="4"/>
  </r>
  <r>
    <n v="315"/>
    <x v="1"/>
  </r>
  <r>
    <n v="466"/>
    <x v="3"/>
  </r>
  <r>
    <n v="207"/>
    <x v="0"/>
  </r>
  <r>
    <n v="248"/>
    <x v="2"/>
  </r>
  <r>
    <n v="278"/>
    <x v="0"/>
  </r>
  <r>
    <n v="315"/>
    <x v="5"/>
  </r>
  <r>
    <n v="190"/>
    <x v="1"/>
  </r>
  <r>
    <n v="190"/>
    <x v="4"/>
  </r>
  <r>
    <n v="408"/>
    <x v="5"/>
  </r>
  <r>
    <n v="227"/>
    <x v="3"/>
  </r>
  <r>
    <n v="479"/>
    <x v="0"/>
  </r>
  <r>
    <n v="415"/>
    <x v="2"/>
  </r>
  <r>
    <n v="204"/>
    <x v="0"/>
  </r>
  <r>
    <n v="205"/>
    <x v="2"/>
  </r>
  <r>
    <n v="64"/>
    <x v="2"/>
  </r>
  <r>
    <n v="281"/>
    <x v="1"/>
  </r>
  <r>
    <n v="78"/>
    <x v="1"/>
  </r>
  <r>
    <n v="343"/>
    <x v="5"/>
  </r>
  <r>
    <n v="318"/>
    <x v="2"/>
  </r>
  <r>
    <n v="444"/>
    <x v="2"/>
  </r>
  <r>
    <n v="171"/>
    <x v="1"/>
  </r>
  <r>
    <n v="309"/>
    <x v="4"/>
  </r>
  <r>
    <n v="447"/>
    <x v="1"/>
  </r>
  <r>
    <n v="120"/>
    <x v="2"/>
  </r>
  <r>
    <n v="168"/>
    <x v="3"/>
  </r>
  <r>
    <n v="203"/>
    <x v="5"/>
  </r>
  <r>
    <n v="436"/>
    <x v="0"/>
  </r>
  <r>
    <n v="195"/>
    <x v="5"/>
  </r>
  <r>
    <n v="454"/>
    <x v="2"/>
  </r>
  <r>
    <n v="187"/>
    <x v="4"/>
  </r>
  <r>
    <n v="277"/>
    <x v="3"/>
  </r>
  <r>
    <n v="257"/>
    <x v="2"/>
  </r>
  <r>
    <n v="12"/>
    <x v="2"/>
  </r>
  <r>
    <n v="362"/>
    <x v="1"/>
  </r>
  <r>
    <n v="89"/>
    <x v="5"/>
  </r>
  <r>
    <n v="123"/>
    <x v="3"/>
  </r>
  <r>
    <n v="427"/>
    <x v="4"/>
  </r>
  <r>
    <n v="439"/>
    <x v="0"/>
  </r>
  <r>
    <n v="396"/>
    <x v="5"/>
  </r>
  <r>
    <n v="453"/>
    <x v="4"/>
  </r>
  <r>
    <n v="356"/>
    <x v="2"/>
  </r>
  <r>
    <n v="192"/>
    <x v="3"/>
  </r>
  <r>
    <n v="483"/>
    <x v="2"/>
  </r>
  <r>
    <n v="17"/>
    <x v="1"/>
  </r>
  <r>
    <n v="272"/>
    <x v="2"/>
  </r>
  <r>
    <n v="195"/>
    <x v="1"/>
  </r>
  <r>
    <n v="416"/>
    <x v="5"/>
  </r>
  <r>
    <n v="459"/>
    <x v="1"/>
  </r>
  <r>
    <n v="168"/>
    <x v="0"/>
  </r>
  <r>
    <n v="307"/>
    <x v="2"/>
  </r>
  <r>
    <n v="270"/>
    <x v="5"/>
  </r>
  <r>
    <n v="358"/>
    <x v="4"/>
  </r>
  <r>
    <n v="301"/>
    <x v="2"/>
  </r>
  <r>
    <n v="277"/>
    <x v="4"/>
  </r>
  <r>
    <n v="423"/>
    <x v="4"/>
  </r>
  <r>
    <n v="197"/>
    <x v="4"/>
  </r>
  <r>
    <n v="100"/>
    <x v="2"/>
  </r>
  <r>
    <n v="338"/>
    <x v="5"/>
  </r>
  <r>
    <n v="130"/>
    <x v="5"/>
  </r>
  <r>
    <n v="383"/>
    <x v="2"/>
  </r>
  <r>
    <n v="411"/>
    <x v="5"/>
  </r>
  <r>
    <n v="347"/>
    <x v="3"/>
  </r>
  <r>
    <n v="302"/>
    <x v="2"/>
  </r>
  <r>
    <n v="361"/>
    <x v="3"/>
  </r>
  <r>
    <n v="148"/>
    <x v="3"/>
  </r>
  <r>
    <n v="162"/>
    <x v="2"/>
  </r>
  <r>
    <n v="379"/>
    <x v="2"/>
  </r>
  <r>
    <n v="373"/>
    <x v="4"/>
  </r>
  <r>
    <n v="354"/>
    <x v="0"/>
  </r>
  <r>
    <n v="76"/>
    <x v="5"/>
  </r>
  <r>
    <n v="316"/>
    <x v="1"/>
  </r>
  <r>
    <n v="331"/>
    <x v="3"/>
  </r>
  <r>
    <n v="418"/>
    <x v="4"/>
  </r>
  <r>
    <n v="309"/>
    <x v="3"/>
  </r>
  <r>
    <n v="252"/>
    <x v="1"/>
  </r>
  <r>
    <n v="146"/>
    <x v="1"/>
  </r>
  <r>
    <n v="352"/>
    <x v="2"/>
  </r>
  <r>
    <n v="43"/>
    <x v="4"/>
  </r>
  <r>
    <n v="440"/>
    <x v="1"/>
  </r>
  <r>
    <n v="376"/>
    <x v="3"/>
  </r>
  <r>
    <n v="137"/>
    <x v="3"/>
  </r>
  <r>
    <n v="301"/>
    <x v="5"/>
  </r>
  <r>
    <n v="410"/>
    <x v="2"/>
  </r>
  <r>
    <n v="298"/>
    <x v="3"/>
  </r>
  <r>
    <n v="54"/>
    <x v="4"/>
  </r>
  <r>
    <n v="486"/>
    <x v="5"/>
  </r>
  <r>
    <n v="38"/>
    <x v="1"/>
  </r>
  <r>
    <n v="442"/>
    <x v="1"/>
  </r>
  <r>
    <n v="474"/>
    <x v="2"/>
  </r>
  <r>
    <n v="96"/>
    <x v="4"/>
  </r>
  <r>
    <n v="160"/>
    <x v="0"/>
  </r>
  <r>
    <n v="451"/>
    <x v="1"/>
  </r>
  <r>
    <n v="184"/>
    <x v="2"/>
  </r>
  <r>
    <n v="50"/>
    <x v="2"/>
  </r>
  <r>
    <n v="299"/>
    <x v="1"/>
  </r>
  <r>
    <n v="495"/>
    <x v="5"/>
  </r>
  <r>
    <n v="132"/>
    <x v="5"/>
  </r>
  <r>
    <n v="395"/>
    <x v="3"/>
  </r>
  <r>
    <n v="34"/>
    <x v="2"/>
  </r>
  <r>
    <n v="348"/>
    <x v="5"/>
  </r>
  <r>
    <n v="247"/>
    <x v="3"/>
  </r>
  <r>
    <n v="216"/>
    <x v="4"/>
  </r>
  <r>
    <n v="299"/>
    <x v="4"/>
  </r>
  <r>
    <n v="315"/>
    <x v="3"/>
  </r>
  <r>
    <n v="35"/>
    <x v="2"/>
  </r>
  <r>
    <n v="359"/>
    <x v="4"/>
  </r>
  <r>
    <n v="361"/>
    <x v="5"/>
  </r>
  <r>
    <n v="273"/>
    <x v="4"/>
  </r>
  <r>
    <n v="47"/>
    <x v="4"/>
  </r>
  <r>
    <n v="477"/>
    <x v="4"/>
  </r>
  <r>
    <n v="418"/>
    <x v="0"/>
  </r>
  <r>
    <n v="274"/>
    <x v="0"/>
  </r>
  <r>
    <n v="102"/>
    <x v="4"/>
  </r>
  <r>
    <n v="164"/>
    <x v="1"/>
  </r>
  <r>
    <n v="478"/>
    <x v="0"/>
  </r>
  <r>
    <n v="100"/>
    <x v="4"/>
  </r>
  <r>
    <n v="264"/>
    <x v="1"/>
  </r>
  <r>
    <n v="208"/>
    <x v="5"/>
  </r>
  <r>
    <n v="56"/>
    <x v="3"/>
  </r>
  <r>
    <n v="207"/>
    <x v="1"/>
  </r>
  <r>
    <n v="187"/>
    <x v="1"/>
  </r>
  <r>
    <n v="62"/>
    <x v="2"/>
  </r>
  <r>
    <n v="182"/>
    <x v="2"/>
  </r>
  <r>
    <n v="468"/>
    <x v="4"/>
  </r>
  <r>
    <n v="389"/>
    <x v="4"/>
  </r>
  <r>
    <n v="155"/>
    <x v="3"/>
  </r>
  <r>
    <n v="331"/>
    <x v="2"/>
  </r>
  <r>
    <n v="131"/>
    <x v="1"/>
  </r>
  <r>
    <n v="376"/>
    <x v="1"/>
  </r>
  <r>
    <n v="106"/>
    <x v="2"/>
  </r>
  <r>
    <n v="445"/>
    <x v="3"/>
  </r>
  <r>
    <n v="345"/>
    <x v="5"/>
  </r>
  <r>
    <n v="432"/>
    <x v="5"/>
  </r>
  <r>
    <n v="362"/>
    <x v="3"/>
  </r>
  <r>
    <n v="174"/>
    <x v="2"/>
  </r>
  <r>
    <n v="490"/>
    <x v="5"/>
  </r>
  <r>
    <n v="32"/>
    <x v="3"/>
  </r>
  <r>
    <n v="48"/>
    <x v="4"/>
  </r>
  <r>
    <n v="141"/>
    <x v="0"/>
  </r>
  <r>
    <n v="368"/>
    <x v="1"/>
  </r>
  <r>
    <n v="227"/>
    <x v="3"/>
  </r>
  <r>
    <n v="484"/>
    <x v="5"/>
  </r>
  <r>
    <n v="14"/>
    <x v="5"/>
  </r>
  <r>
    <n v="328"/>
    <x v="5"/>
  </r>
  <r>
    <n v="279"/>
    <x v="2"/>
  </r>
  <r>
    <n v="158"/>
    <x v="4"/>
  </r>
  <r>
    <n v="422"/>
    <x v="4"/>
  </r>
  <r>
    <n v="235"/>
    <x v="0"/>
  </r>
  <r>
    <n v="331"/>
    <x v="2"/>
  </r>
  <r>
    <n v="148"/>
    <x v="4"/>
  </r>
  <r>
    <n v="198"/>
    <x v="5"/>
  </r>
  <r>
    <n v="81"/>
    <x v="4"/>
  </r>
  <r>
    <n v="131"/>
    <x v="3"/>
  </r>
  <r>
    <n v="210"/>
    <x v="2"/>
  </r>
  <r>
    <n v="301"/>
    <x v="3"/>
  </r>
  <r>
    <n v="466"/>
    <x v="5"/>
  </r>
  <r>
    <n v="336"/>
    <x v="4"/>
  </r>
  <r>
    <n v="280"/>
    <x v="2"/>
  </r>
  <r>
    <n v="495"/>
    <x v="4"/>
  </r>
  <r>
    <n v="144"/>
    <x v="0"/>
  </r>
  <r>
    <n v="165"/>
    <x v="3"/>
  </r>
  <r>
    <n v="479"/>
    <x v="5"/>
  </r>
  <r>
    <n v="285"/>
    <x v="0"/>
  </r>
  <r>
    <n v="93"/>
    <x v="4"/>
  </r>
  <r>
    <n v="299"/>
    <x v="5"/>
  </r>
  <r>
    <n v="10"/>
    <x v="4"/>
  </r>
  <r>
    <n v="82"/>
    <x v="5"/>
  </r>
  <r>
    <n v="27"/>
    <x v="5"/>
  </r>
  <r>
    <n v="105"/>
    <x v="3"/>
  </r>
  <r>
    <n v="330"/>
    <x v="4"/>
  </r>
  <r>
    <n v="462"/>
    <x v="1"/>
  </r>
  <r>
    <n v="250"/>
    <x v="0"/>
  </r>
  <r>
    <n v="30"/>
    <x v="2"/>
  </r>
  <r>
    <n v="364"/>
    <x v="2"/>
  </r>
  <r>
    <n v="404"/>
    <x v="2"/>
  </r>
  <r>
    <n v="499"/>
    <x v="5"/>
  </r>
  <r>
    <n v="480"/>
    <x v="2"/>
  </r>
  <r>
    <n v="417"/>
    <x v="0"/>
  </r>
  <r>
    <n v="215"/>
    <x v="0"/>
  </r>
  <r>
    <n v="234"/>
    <x v="5"/>
  </r>
  <r>
    <n v="103"/>
    <x v="4"/>
  </r>
  <r>
    <n v="191"/>
    <x v="0"/>
  </r>
  <r>
    <n v="82"/>
    <x v="1"/>
  </r>
  <r>
    <n v="468"/>
    <x v="3"/>
  </r>
  <r>
    <n v="366"/>
    <x v="0"/>
  </r>
  <r>
    <n v="53"/>
    <x v="4"/>
  </r>
  <r>
    <n v="102"/>
    <x v="5"/>
  </r>
  <r>
    <n v="259"/>
    <x v="1"/>
  </r>
  <r>
    <n v="81"/>
    <x v="4"/>
  </r>
  <r>
    <n v="135"/>
    <x v="5"/>
  </r>
  <r>
    <n v="465"/>
    <x v="2"/>
  </r>
  <r>
    <n v="163"/>
    <x v="4"/>
  </r>
  <r>
    <n v="321"/>
    <x v="1"/>
  </r>
  <r>
    <n v="212"/>
    <x v="5"/>
  </r>
  <r>
    <n v="453"/>
    <x v="4"/>
  </r>
  <r>
    <n v="34"/>
    <x v="1"/>
  </r>
  <r>
    <n v="197"/>
    <x v="5"/>
  </r>
  <r>
    <n v="361"/>
    <x v="1"/>
  </r>
  <r>
    <n v="166"/>
    <x v="5"/>
  </r>
  <r>
    <n v="168"/>
    <x v="3"/>
  </r>
  <r>
    <n v="336"/>
    <x v="2"/>
  </r>
  <r>
    <n v="212"/>
    <x v="2"/>
  </r>
  <r>
    <n v="185"/>
    <x v="2"/>
  </r>
  <r>
    <n v="124"/>
    <x v="0"/>
  </r>
  <r>
    <n v="256"/>
    <x v="2"/>
  </r>
  <r>
    <n v="58"/>
    <x v="4"/>
  </r>
  <r>
    <n v="135"/>
    <x v="0"/>
  </r>
  <r>
    <n v="163"/>
    <x v="2"/>
  </r>
  <r>
    <n v="120"/>
    <x v="4"/>
  </r>
  <r>
    <n v="439"/>
    <x v="0"/>
  </r>
  <r>
    <n v="223"/>
    <x v="0"/>
  </r>
  <r>
    <n v="485"/>
    <x v="3"/>
  </r>
  <r>
    <n v="474"/>
    <x v="0"/>
  </r>
  <r>
    <n v="259"/>
    <x v="2"/>
  </r>
  <r>
    <n v="53"/>
    <x v="3"/>
  </r>
  <r>
    <n v="221"/>
    <x v="4"/>
  </r>
  <r>
    <n v="46"/>
    <x v="0"/>
  </r>
  <r>
    <n v="253"/>
    <x v="0"/>
  </r>
  <r>
    <n v="478"/>
    <x v="0"/>
  </r>
  <r>
    <n v="145"/>
    <x v="5"/>
  </r>
  <r>
    <n v="366"/>
    <x v="5"/>
  </r>
  <r>
    <n v="301"/>
    <x v="4"/>
  </r>
  <r>
    <n v="26"/>
    <x v="2"/>
  </r>
  <r>
    <n v="208"/>
    <x v="4"/>
  </r>
  <r>
    <n v="109"/>
    <x v="0"/>
  </r>
  <r>
    <n v="451"/>
    <x v="4"/>
  </r>
  <r>
    <n v="33"/>
    <x v="0"/>
  </r>
  <r>
    <n v="467"/>
    <x v="5"/>
  </r>
  <r>
    <n v="123"/>
    <x v="1"/>
  </r>
  <r>
    <n v="139"/>
    <x v="3"/>
  </r>
  <r>
    <n v="103"/>
    <x v="1"/>
  </r>
  <r>
    <n v="207"/>
    <x v="0"/>
  </r>
  <r>
    <n v="267"/>
    <x v="5"/>
  </r>
  <r>
    <n v="266"/>
    <x v="2"/>
  </r>
  <r>
    <n v="240"/>
    <x v="1"/>
  </r>
  <r>
    <n v="315"/>
    <x v="4"/>
  </r>
  <r>
    <n v="276"/>
    <x v="1"/>
  </r>
  <r>
    <n v="308"/>
    <x v="5"/>
  </r>
  <r>
    <n v="297"/>
    <x v="5"/>
  </r>
  <r>
    <n v="326"/>
    <x v="4"/>
  </r>
  <r>
    <n v="352"/>
    <x v="0"/>
  </r>
  <r>
    <n v="180"/>
    <x v="5"/>
  </r>
  <r>
    <n v="362"/>
    <x v="0"/>
  </r>
  <r>
    <n v="154"/>
    <x v="4"/>
  </r>
  <r>
    <n v="287"/>
    <x v="0"/>
  </r>
  <r>
    <n v="303"/>
    <x v="4"/>
  </r>
  <r>
    <n v="447"/>
    <x v="2"/>
  </r>
  <r>
    <n v="480"/>
    <x v="5"/>
  </r>
  <r>
    <n v="438"/>
    <x v="5"/>
  </r>
  <r>
    <n v="295"/>
    <x v="1"/>
  </r>
  <r>
    <n v="479"/>
    <x v="4"/>
  </r>
  <r>
    <n v="214"/>
    <x v="5"/>
  </r>
  <r>
    <n v="69"/>
    <x v="2"/>
  </r>
  <r>
    <n v="344"/>
    <x v="1"/>
  </r>
  <r>
    <n v="163"/>
    <x v="2"/>
  </r>
  <r>
    <n v="217"/>
    <x v="3"/>
  </r>
  <r>
    <n v="177"/>
    <x v="3"/>
  </r>
  <r>
    <n v="304"/>
    <x v="5"/>
  </r>
  <r>
    <n v="90"/>
    <x v="2"/>
  </r>
  <r>
    <n v="108"/>
    <x v="2"/>
  </r>
  <r>
    <n v="96"/>
    <x v="5"/>
  </r>
  <r>
    <n v="247"/>
    <x v="5"/>
  </r>
  <r>
    <n v="245"/>
    <x v="2"/>
  </r>
  <r>
    <n v="366"/>
    <x v="3"/>
  </r>
  <r>
    <n v="170"/>
    <x v="0"/>
  </r>
  <r>
    <n v="447"/>
    <x v="0"/>
  </r>
  <r>
    <n v="369"/>
    <x v="0"/>
  </r>
  <r>
    <n v="62"/>
    <x v="1"/>
  </r>
  <r>
    <n v="294"/>
    <x v="3"/>
  </r>
  <r>
    <n v="10"/>
    <x v="3"/>
  </r>
  <r>
    <n v="389"/>
    <x v="3"/>
  </r>
  <r>
    <n v="55"/>
    <x v="0"/>
  </r>
  <r>
    <n v="208"/>
    <x v="0"/>
  </r>
  <r>
    <n v="198"/>
    <x v="5"/>
  </r>
  <r>
    <n v="280"/>
    <x v="5"/>
  </r>
  <r>
    <n v="161"/>
    <x v="4"/>
  </r>
  <r>
    <n v="439"/>
    <x v="3"/>
  </r>
  <r>
    <n v="339"/>
    <x v="5"/>
  </r>
  <r>
    <n v="52"/>
    <x v="3"/>
  </r>
  <r>
    <n v="297"/>
    <x v="5"/>
  </r>
  <r>
    <n v="40"/>
    <x v="1"/>
  </r>
  <r>
    <n v="379"/>
    <x v="3"/>
  </r>
  <r>
    <n v="82"/>
    <x v="3"/>
  </r>
  <r>
    <n v="192"/>
    <x v="0"/>
  </r>
  <r>
    <n v="286"/>
    <x v="1"/>
  </r>
  <r>
    <n v="452"/>
    <x v="3"/>
  </r>
  <r>
    <n v="417"/>
    <x v="4"/>
  </r>
  <r>
    <n v="371"/>
    <x v="0"/>
  </r>
  <r>
    <n v="110"/>
    <x v="5"/>
  </r>
  <r>
    <n v="274"/>
    <x v="1"/>
  </r>
  <r>
    <n v="412"/>
    <x v="0"/>
  </r>
  <r>
    <n v="341"/>
    <x v="4"/>
  </r>
  <r>
    <n v="388"/>
    <x v="1"/>
  </r>
  <r>
    <n v="446"/>
    <x v="4"/>
  </r>
  <r>
    <n v="223"/>
    <x v="1"/>
  </r>
  <r>
    <n v="417"/>
    <x v="2"/>
  </r>
  <r>
    <n v="390"/>
    <x v="0"/>
  </r>
  <r>
    <n v="33"/>
    <x v="1"/>
  </r>
  <r>
    <n v="302"/>
    <x v="0"/>
  </r>
  <r>
    <n v="121"/>
    <x v="0"/>
  </r>
  <r>
    <n v="112"/>
    <x v="4"/>
  </r>
  <r>
    <n v="375"/>
    <x v="0"/>
  </r>
  <r>
    <n v="97"/>
    <x v="4"/>
  </r>
  <r>
    <n v="306"/>
    <x v="2"/>
  </r>
  <r>
    <n v="136"/>
    <x v="1"/>
  </r>
  <r>
    <n v="12"/>
    <x v="0"/>
  </r>
  <r>
    <n v="379"/>
    <x v="2"/>
  </r>
  <r>
    <n v="205"/>
    <x v="3"/>
  </r>
  <r>
    <n v="335"/>
    <x v="0"/>
  </r>
  <r>
    <n v="449"/>
    <x v="2"/>
  </r>
  <r>
    <n v="453"/>
    <x v="2"/>
  </r>
  <r>
    <n v="252"/>
    <x v="0"/>
  </r>
  <r>
    <n v="379"/>
    <x v="3"/>
  </r>
  <r>
    <n v="280"/>
    <x v="4"/>
  </r>
  <r>
    <n v="187"/>
    <x v="3"/>
  </r>
  <r>
    <n v="373"/>
    <x v="0"/>
  </r>
  <r>
    <n v="482"/>
    <x v="5"/>
  </r>
  <r>
    <n v="360"/>
    <x v="2"/>
  </r>
  <r>
    <n v="463"/>
    <x v="4"/>
  </r>
  <r>
    <n v="13"/>
    <x v="1"/>
  </r>
  <r>
    <n v="129"/>
    <x v="5"/>
  </r>
  <r>
    <n v="290"/>
    <x v="0"/>
  </r>
  <r>
    <n v="50"/>
    <x v="0"/>
  </r>
  <r>
    <n v="241"/>
    <x v="2"/>
  </r>
  <r>
    <n v="383"/>
    <x v="5"/>
  </r>
  <r>
    <n v="384"/>
    <x v="2"/>
  </r>
  <r>
    <n v="302"/>
    <x v="4"/>
  </r>
  <r>
    <n v="24"/>
    <x v="5"/>
  </r>
  <r>
    <n v="416"/>
    <x v="3"/>
  </r>
  <r>
    <n v="272"/>
    <x v="4"/>
  </r>
  <r>
    <n v="294"/>
    <x v="3"/>
  </r>
  <r>
    <n v="18"/>
    <x v="3"/>
  </r>
  <r>
    <n v="409"/>
    <x v="5"/>
  </r>
  <r>
    <n v="290"/>
    <x v="3"/>
  </r>
  <r>
    <n v="102"/>
    <x v="5"/>
  </r>
  <r>
    <n v="119"/>
    <x v="4"/>
  </r>
  <r>
    <n v="87"/>
    <x v="2"/>
  </r>
  <r>
    <n v="273"/>
    <x v="5"/>
  </r>
  <r>
    <n v="281"/>
    <x v="1"/>
  </r>
  <r>
    <n v="115"/>
    <x v="2"/>
  </r>
  <r>
    <n v="483"/>
    <x v="5"/>
  </r>
  <r>
    <n v="129"/>
    <x v="2"/>
  </r>
  <r>
    <n v="292"/>
    <x v="4"/>
  </r>
  <r>
    <n v="307"/>
    <x v="4"/>
  </r>
  <r>
    <n v="306"/>
    <x v="0"/>
  </r>
  <r>
    <n v="71"/>
    <x v="2"/>
  </r>
  <r>
    <n v="253"/>
    <x v="0"/>
  </r>
  <r>
    <n v="68"/>
    <x v="5"/>
  </r>
  <r>
    <n v="366"/>
    <x v="5"/>
  </r>
  <r>
    <n v="166"/>
    <x v="3"/>
  </r>
  <r>
    <n v="136"/>
    <x v="2"/>
  </r>
  <r>
    <n v="358"/>
    <x v="0"/>
  </r>
  <r>
    <n v="399"/>
    <x v="0"/>
  </r>
  <r>
    <n v="285"/>
    <x v="1"/>
  </r>
  <r>
    <n v="424"/>
    <x v="4"/>
  </r>
  <r>
    <n v="467"/>
    <x v="4"/>
  </r>
  <r>
    <n v="443"/>
    <x v="0"/>
  </r>
  <r>
    <n v="214"/>
    <x v="1"/>
  </r>
  <r>
    <n v="437"/>
    <x v="4"/>
  </r>
  <r>
    <n v="419"/>
    <x v="1"/>
  </r>
  <r>
    <n v="129"/>
    <x v="1"/>
  </r>
  <r>
    <n v="75"/>
    <x v="0"/>
  </r>
  <r>
    <n v="346"/>
    <x v="5"/>
  </r>
  <r>
    <n v="480"/>
    <x v="4"/>
  </r>
  <r>
    <n v="188"/>
    <x v="4"/>
  </r>
  <r>
    <n v="420"/>
    <x v="5"/>
  </r>
  <r>
    <n v="204"/>
    <x v="4"/>
  </r>
  <r>
    <n v="355"/>
    <x v="0"/>
  </r>
  <r>
    <n v="200"/>
    <x v="4"/>
  </r>
  <r>
    <n v="178"/>
    <x v="0"/>
  </r>
  <r>
    <n v="337"/>
    <x v="4"/>
  </r>
  <r>
    <n v="24"/>
    <x v="0"/>
  </r>
  <r>
    <n v="167"/>
    <x v="2"/>
  </r>
  <r>
    <n v="289"/>
    <x v="0"/>
  </r>
  <r>
    <n v="450"/>
    <x v="0"/>
  </r>
  <r>
    <n v="165"/>
    <x v="4"/>
  </r>
  <r>
    <n v="391"/>
    <x v="1"/>
  </r>
  <r>
    <n v="318"/>
    <x v="2"/>
  </r>
  <r>
    <n v="157"/>
    <x v="4"/>
  </r>
  <r>
    <n v="25"/>
    <x v="3"/>
  </r>
  <r>
    <n v="112"/>
    <x v="4"/>
  </r>
  <r>
    <n v="479"/>
    <x v="2"/>
  </r>
  <r>
    <n v="233"/>
    <x v="0"/>
  </r>
  <r>
    <n v="44"/>
    <x v="5"/>
  </r>
  <r>
    <n v="456"/>
    <x v="0"/>
  </r>
  <r>
    <n v="486"/>
    <x v="1"/>
  </r>
  <r>
    <n v="308"/>
    <x v="3"/>
  </r>
  <r>
    <n v="161"/>
    <x v="3"/>
  </r>
  <r>
    <n v="316"/>
    <x v="0"/>
  </r>
  <r>
    <n v="133"/>
    <x v="1"/>
  </r>
  <r>
    <n v="270"/>
    <x v="3"/>
  </r>
  <r>
    <n v="85"/>
    <x v="5"/>
  </r>
  <r>
    <n v="65"/>
    <x v="0"/>
  </r>
  <r>
    <n v="393"/>
    <x v="0"/>
  </r>
  <r>
    <n v="181"/>
    <x v="2"/>
  </r>
  <r>
    <n v="416"/>
    <x v="5"/>
  </r>
  <r>
    <n v="243"/>
    <x v="4"/>
  </r>
  <r>
    <n v="381"/>
    <x v="2"/>
  </r>
  <r>
    <n v="71"/>
    <x v="2"/>
  </r>
  <r>
    <n v="219"/>
    <x v="3"/>
  </r>
  <r>
    <n v="335"/>
    <x v="0"/>
  </r>
  <r>
    <n v="435"/>
    <x v="1"/>
  </r>
  <r>
    <n v="423"/>
    <x v="3"/>
  </r>
  <r>
    <n v="304"/>
    <x v="4"/>
  </r>
  <r>
    <n v="455"/>
    <x v="4"/>
  </r>
  <r>
    <n v="449"/>
    <x v="4"/>
  </r>
  <r>
    <n v="39"/>
    <x v="3"/>
  </r>
  <r>
    <n v="139"/>
    <x v="4"/>
  </r>
  <r>
    <n v="345"/>
    <x v="2"/>
  </r>
  <r>
    <n v="500"/>
    <x v="0"/>
  </r>
  <r>
    <n v="365"/>
    <x v="1"/>
  </r>
  <r>
    <n v="479"/>
    <x v="1"/>
  </r>
  <r>
    <n v="63"/>
    <x v="2"/>
  </r>
  <r>
    <n v="104"/>
    <x v="1"/>
  </r>
  <r>
    <n v="380"/>
    <x v="2"/>
  </r>
  <r>
    <n v="500"/>
    <x v="5"/>
  </r>
  <r>
    <n v="247"/>
    <x v="3"/>
  </r>
  <r>
    <n v="486"/>
    <x v="1"/>
  </r>
  <r>
    <n v="220"/>
    <x v="4"/>
  </r>
  <r>
    <n v="21"/>
    <x v="0"/>
  </r>
  <r>
    <n v="417"/>
    <x v="3"/>
  </r>
  <r>
    <n v="191"/>
    <x v="0"/>
  </r>
  <r>
    <n v="460"/>
    <x v="1"/>
  </r>
  <r>
    <n v="413"/>
    <x v="1"/>
  </r>
  <r>
    <n v="484"/>
    <x v="0"/>
  </r>
  <r>
    <n v="227"/>
    <x v="5"/>
  </r>
  <r>
    <n v="313"/>
    <x v="5"/>
  </r>
  <r>
    <n v="491"/>
    <x v="5"/>
  </r>
  <r>
    <n v="50"/>
    <x v="1"/>
  </r>
  <r>
    <n v="73"/>
    <x v="4"/>
  </r>
  <r>
    <n v="139"/>
    <x v="1"/>
  </r>
  <r>
    <n v="327"/>
    <x v="5"/>
  </r>
  <r>
    <n v="206"/>
    <x v="4"/>
  </r>
  <r>
    <n v="23"/>
    <x v="2"/>
  </r>
  <r>
    <n v="158"/>
    <x v="0"/>
  </r>
  <r>
    <n v="459"/>
    <x v="0"/>
  </r>
  <r>
    <n v="30"/>
    <x v="3"/>
  </r>
  <r>
    <n v="42"/>
    <x v="4"/>
  </r>
  <r>
    <n v="242"/>
    <x v="5"/>
  </r>
  <r>
    <n v="25"/>
    <x v="4"/>
  </r>
  <r>
    <n v="140"/>
    <x v="5"/>
  </r>
  <r>
    <n v="192"/>
    <x v="1"/>
  </r>
  <r>
    <n v="267"/>
    <x v="5"/>
  </r>
  <r>
    <n v="410"/>
    <x v="5"/>
  </r>
  <r>
    <n v="281"/>
    <x v="1"/>
  </r>
  <r>
    <n v="478"/>
    <x v="3"/>
  </r>
  <r>
    <n v="44"/>
    <x v="0"/>
  </r>
  <r>
    <n v="250"/>
    <x v="1"/>
  </r>
  <r>
    <n v="225"/>
    <x v="1"/>
  </r>
  <r>
    <n v="473"/>
    <x v="2"/>
  </r>
  <r>
    <n v="236"/>
    <x v="4"/>
  </r>
  <r>
    <n v="349"/>
    <x v="1"/>
  </r>
  <r>
    <n v="139"/>
    <x v="0"/>
  </r>
  <r>
    <n v="278"/>
    <x v="5"/>
  </r>
  <r>
    <n v="242"/>
    <x v="0"/>
  </r>
  <r>
    <n v="251"/>
    <x v="4"/>
  </r>
  <r>
    <n v="268"/>
    <x v="0"/>
  </r>
  <r>
    <n v="322"/>
    <x v="3"/>
  </r>
  <r>
    <n v="356"/>
    <x v="2"/>
  </r>
  <r>
    <n v="28"/>
    <x v="1"/>
  </r>
  <r>
    <n v="43"/>
    <x v="1"/>
  </r>
  <r>
    <n v="391"/>
    <x v="5"/>
  </r>
  <r>
    <n v="300"/>
    <x v="5"/>
  </r>
  <r>
    <n v="75"/>
    <x v="1"/>
  </r>
  <r>
    <n v="154"/>
    <x v="1"/>
  </r>
  <r>
    <n v="179"/>
    <x v="4"/>
  </r>
  <r>
    <n v="147"/>
    <x v="2"/>
  </r>
  <r>
    <n v="235"/>
    <x v="5"/>
  </r>
  <r>
    <n v="390"/>
    <x v="1"/>
  </r>
  <r>
    <n v="116"/>
    <x v="2"/>
  </r>
  <r>
    <n v="492"/>
    <x v="2"/>
  </r>
  <r>
    <n v="159"/>
    <x v="0"/>
  </r>
  <r>
    <n v="279"/>
    <x v="5"/>
  </r>
  <r>
    <n v="386"/>
    <x v="0"/>
  </r>
  <r>
    <n v="332"/>
    <x v="4"/>
  </r>
  <r>
    <n v="176"/>
    <x v="3"/>
  </r>
  <r>
    <n v="221"/>
    <x v="0"/>
  </r>
  <r>
    <n v="263"/>
    <x v="2"/>
  </r>
  <r>
    <n v="222"/>
    <x v="2"/>
  </r>
  <r>
    <n v="39"/>
    <x v="5"/>
  </r>
  <r>
    <n v="445"/>
    <x v="5"/>
  </r>
  <r>
    <n v="164"/>
    <x v="5"/>
  </r>
  <r>
    <n v="101"/>
    <x v="2"/>
  </r>
  <r>
    <n v="424"/>
    <x v="2"/>
  </r>
  <r>
    <n v="182"/>
    <x v="5"/>
  </r>
  <r>
    <n v="115"/>
    <x v="0"/>
  </r>
  <r>
    <n v="33"/>
    <x v="4"/>
  </r>
  <r>
    <n v="259"/>
    <x v="5"/>
  </r>
  <r>
    <n v="309"/>
    <x v="5"/>
  </r>
  <r>
    <n v="367"/>
    <x v="2"/>
  </r>
  <r>
    <n v="472"/>
    <x v="5"/>
  </r>
  <r>
    <n v="449"/>
    <x v="5"/>
  </r>
  <r>
    <n v="302"/>
    <x v="4"/>
  </r>
  <r>
    <n v="70"/>
    <x v="1"/>
  </r>
  <r>
    <n v="157"/>
    <x v="3"/>
  </r>
  <r>
    <n v="17"/>
    <x v="2"/>
  </r>
  <r>
    <n v="173"/>
    <x v="5"/>
  </r>
  <r>
    <n v="301"/>
    <x v="0"/>
  </r>
  <r>
    <n v="357"/>
    <x v="2"/>
  </r>
  <r>
    <n v="48"/>
    <x v="1"/>
  </r>
  <r>
    <n v="351"/>
    <x v="3"/>
  </r>
  <r>
    <n v="491"/>
    <x v="0"/>
  </r>
  <r>
    <n v="164"/>
    <x v="2"/>
  </r>
  <r>
    <n v="304"/>
    <x v="2"/>
  </r>
  <r>
    <n v="166"/>
    <x v="4"/>
  </r>
  <r>
    <n v="225"/>
    <x v="0"/>
  </r>
  <r>
    <n v="163"/>
    <x v="0"/>
  </r>
  <r>
    <n v="419"/>
    <x v="0"/>
  </r>
  <r>
    <n v="293"/>
    <x v="2"/>
  </r>
  <r>
    <n v="171"/>
    <x v="1"/>
  </r>
  <r>
    <n v="438"/>
    <x v="3"/>
  </r>
  <r>
    <n v="247"/>
    <x v="2"/>
  </r>
  <r>
    <n v="85"/>
    <x v="3"/>
  </r>
  <r>
    <n v="203"/>
    <x v="0"/>
  </r>
  <r>
    <n v="219"/>
    <x v="2"/>
  </r>
  <r>
    <n v="285"/>
    <x v="2"/>
  </r>
  <r>
    <n v="115"/>
    <x v="4"/>
  </r>
  <r>
    <n v="322"/>
    <x v="4"/>
  </r>
  <r>
    <n v="348"/>
    <x v="3"/>
  </r>
  <r>
    <n v="482"/>
    <x v="3"/>
  </r>
  <r>
    <n v="384"/>
    <x v="5"/>
  </r>
  <r>
    <n v="178"/>
    <x v="3"/>
  </r>
  <r>
    <n v="91"/>
    <x v="1"/>
  </r>
  <r>
    <n v="175"/>
    <x v="5"/>
  </r>
  <r>
    <n v="187"/>
    <x v="5"/>
  </r>
  <r>
    <n v="352"/>
    <x v="4"/>
  </r>
  <r>
    <n v="448"/>
    <x v="3"/>
  </r>
  <r>
    <n v="81"/>
    <x v="2"/>
  </r>
  <r>
    <n v="321"/>
    <x v="2"/>
  </r>
  <r>
    <n v="114"/>
    <x v="2"/>
  </r>
  <r>
    <n v="493"/>
    <x v="0"/>
  </r>
  <r>
    <n v="475"/>
    <x v="1"/>
  </r>
  <r>
    <n v="287"/>
    <x v="1"/>
  </r>
  <r>
    <n v="138"/>
    <x v="5"/>
  </r>
  <r>
    <n v="198"/>
    <x v="3"/>
  </r>
  <r>
    <n v="164"/>
    <x v="3"/>
  </r>
  <r>
    <n v="65"/>
    <x v="1"/>
  </r>
  <r>
    <n v="388"/>
    <x v="0"/>
  </r>
  <r>
    <n v="412"/>
    <x v="0"/>
  </r>
  <r>
    <n v="267"/>
    <x v="4"/>
  </r>
  <r>
    <n v="29"/>
    <x v="3"/>
  </r>
  <r>
    <n v="454"/>
    <x v="1"/>
  </r>
  <r>
    <n v="119"/>
    <x v="1"/>
  </r>
  <r>
    <n v="311"/>
    <x v="5"/>
  </r>
  <r>
    <n v="122"/>
    <x v="2"/>
  </r>
  <r>
    <n v="300"/>
    <x v="1"/>
  </r>
  <r>
    <n v="59"/>
    <x v="1"/>
  </r>
  <r>
    <n v="34"/>
    <x v="0"/>
  </r>
  <r>
    <n v="23"/>
    <x v="1"/>
  </r>
  <r>
    <n v="168"/>
    <x v="0"/>
  </r>
  <r>
    <n v="306"/>
    <x v="3"/>
  </r>
  <r>
    <n v="433"/>
    <x v="3"/>
  </r>
  <r>
    <n v="221"/>
    <x v="1"/>
  </r>
  <r>
    <n v="236"/>
    <x v="1"/>
  </r>
  <r>
    <n v="75"/>
    <x v="0"/>
  </r>
  <r>
    <n v="325"/>
    <x v="0"/>
  </r>
  <r>
    <n v="217"/>
    <x v="2"/>
  </r>
  <r>
    <n v="178"/>
    <x v="5"/>
  </r>
  <r>
    <n v="74"/>
    <x v="0"/>
  </r>
  <r>
    <n v="373"/>
    <x v="4"/>
  </r>
  <r>
    <n v="64"/>
    <x v="2"/>
  </r>
  <r>
    <n v="129"/>
    <x v="1"/>
  </r>
  <r>
    <n v="297"/>
    <x v="1"/>
  </r>
  <r>
    <n v="235"/>
    <x v="1"/>
  </r>
  <r>
    <n v="390"/>
    <x v="3"/>
  </r>
  <r>
    <n v="362"/>
    <x v="1"/>
  </r>
  <r>
    <n v="136"/>
    <x v="0"/>
  </r>
  <r>
    <n v="159"/>
    <x v="4"/>
  </r>
  <r>
    <n v="99"/>
    <x v="4"/>
  </r>
  <r>
    <n v="157"/>
    <x v="3"/>
  </r>
  <r>
    <n v="12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ubscription Plan">
  <location ref="H4:H8" firstHeaderRow="1" firstDataRow="1" firstDataCol="1"/>
  <pivotFields count="5">
    <pivotField showAll="0"/>
    <pivotField showAll="0"/>
    <pivotField showAll="0"/>
    <pivotField showAll="0"/>
    <pivotField axis="axisRow" numFmtId="2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formats count="1">
    <format dxfId="9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>
  <location ref="J3:K39" firstHeaderRow="1" firstDataRow="1" firstDataCol="2"/>
  <pivotFields count="2">
    <pivotField axis="axisRow" compact="0" outline="0" showAll="0" defaultSubtotal="0">
      <items count="5">
        <item x="2"/>
        <item x="1"/>
        <item x="0"/>
        <item x="3"/>
        <item x="4"/>
      </items>
    </pivotField>
    <pivotField axis="axisRow" compact="0" outline="0" showAll="0" defaultSubtotal="0">
      <items count="7">
        <item x="0"/>
        <item x="5"/>
        <item x="3"/>
        <item x="1"/>
        <item x="4"/>
        <item x="6"/>
        <item x="2"/>
      </items>
    </pivotField>
  </pivotFields>
  <rowFields count="2">
    <field x="0"/>
    <field x="1"/>
  </rowFields>
  <row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M48:N55" firstHeaderRow="1" firstDataRow="1" firstDataCol="1"/>
  <pivotFields count="2">
    <pivotField dataField="1" showAll="0"/>
    <pivotField axis="axisRow" showAll="0">
      <items count="7">
        <item x="4"/>
        <item x="5"/>
        <item x="1"/>
        <item x="0"/>
        <item x="2"/>
        <item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Watch_Hours" fld="0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M35:Q44" firstHeaderRow="1" firstDataRow="2" firstDataCol="1"/>
  <pivotFields count="3"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Monthly_Price" fld="2" subtotal="count" baseField="0" baseItem="0"/>
  </dataFields>
  <formats count="4">
    <format dxfId="3">
      <pivotArea collapsedLevelsAreSubtotals="1" fieldPosition="0">
        <references count="2">
          <reference field="0" count="1">
            <x v="0"/>
          </reference>
          <reference field="2" count="1" selected="0">
            <x v="2"/>
          </reference>
        </references>
      </pivotArea>
    </format>
    <format dxfId="2">
      <pivotArea collapsedLevelsAreSubtotals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1">
      <pivotArea collapsedLevelsAreSubtotals="1" fieldPosition="0">
        <references count="2">
          <reference field="0" count="1">
            <x v="6"/>
          </reference>
          <reference field="2" count="1" selected="0">
            <x v="0"/>
          </reference>
        </references>
      </pivotArea>
    </format>
    <format dxfId="0">
      <pivotArea field="0" grandCol="1" collapsedLevelsAreSubtotals="1" axis="axisRow" fieldPosition="0">
        <references count="1">
          <reference field="0" count="1"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W3:AE9" firstHeaderRow="1" firstDataRow="2" firstDataCol="1"/>
  <pivotFields count="4">
    <pivotField axis="axisCol" multipleItemSelectionAllowed="1" showAll="0">
      <items count="9">
        <item x="0"/>
        <item x="1"/>
        <item x="2"/>
        <item x="3"/>
        <item h="1" x="7"/>
        <item x="4"/>
        <item x="5"/>
        <item x="6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>
      <items count="21">
        <item x="0"/>
        <item x="16"/>
        <item x="14"/>
        <item x="5"/>
        <item x="15"/>
        <item x="9"/>
        <item x="17"/>
        <item x="4"/>
        <item x="11"/>
        <item x="3"/>
        <item x="13"/>
        <item x="2"/>
        <item x="7"/>
        <item x="10"/>
        <item x="8"/>
        <item x="6"/>
        <item x="12"/>
        <item x="1"/>
        <item x="18"/>
        <item x="19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colItems>
  <dataFields count="1">
    <dataField name="Sum of b" fld="3" baseField="0" baseItem="0"/>
  </dataFields>
  <formats count="2">
    <format dxfId="6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4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>
  <location ref="M2:N31" firstHeaderRow="1" firstDataRow="1" firstDataCol="2"/>
  <pivotFields count="2">
    <pivotField axis="axisRow" compact="0" outline="0" showAll="0" defaultSubtotal="0">
      <items count="7">
        <item x="4"/>
        <item x="1"/>
        <item x="6"/>
        <item x="5"/>
        <item x="3"/>
        <item x="2"/>
        <item x="0"/>
      </items>
    </pivotField>
    <pivotField axis="axisRow" compact="0" outline="0" showAll="0" defaultSubtotal="0">
      <items count="4">
        <item x="2"/>
        <item x="3"/>
        <item x="1"/>
        <item x="0"/>
      </items>
    </pivotField>
  </pivotFields>
  <rowFields count="2">
    <field x="0"/>
    <field x="1"/>
  </rowFields>
  <rowItems count="2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tabSelected="1" topLeftCell="I1" workbookViewId="0">
      <selection activeCell="O1" sqref="O1:O1048576"/>
    </sheetView>
    <sheetView workbookViewId="1">
      <selection activeCell="G1" sqref="G1:G1048576"/>
    </sheetView>
    <sheetView topLeftCell="L971" workbookViewId="2">
      <selection activeCell="M1" sqref="M1:N1001"/>
    </sheetView>
  </sheetViews>
  <sheetFormatPr defaultRowHeight="14.4"/>
  <cols>
    <col min="1" max="1" width="7.5546875" bestFit="1" customWidth="1"/>
    <col min="2" max="2" width="10.6640625" bestFit="1" customWidth="1"/>
    <col min="3" max="4" width="10.5546875" bestFit="1" customWidth="1"/>
    <col min="5" max="5" width="12.77734375" bestFit="1" customWidth="1"/>
    <col min="6" max="6" width="12.109375" bestFit="1" customWidth="1"/>
    <col min="7" max="7" width="13.6640625" bestFit="1" customWidth="1"/>
    <col min="8" max="8" width="13.33203125" bestFit="1" customWidth="1"/>
    <col min="9" max="9" width="12.21875" bestFit="1" customWidth="1"/>
    <col min="10" max="10" width="15.77734375" bestFit="1" customWidth="1"/>
    <col min="11" max="11" width="20.6640625" bestFit="1" customWidth="1"/>
    <col min="12" max="12" width="19.5546875" bestFit="1" customWidth="1"/>
    <col min="13" max="13" width="8.33203125" bestFit="1" customWidth="1"/>
    <col min="14" max="14" width="15.6640625" bestFit="1" customWidth="1"/>
    <col min="15" max="15" width="18.77734375" bestFit="1" customWidth="1"/>
    <col min="16" max="16" width="27.109375" bestFit="1" customWidth="1"/>
    <col min="17" max="17" width="19.44140625" bestFit="1" customWidth="1"/>
    <col min="18" max="18" width="23.21875" bestFit="1" customWidth="1"/>
    <col min="19" max="19" width="17.33203125" bestFit="1" customWidth="1"/>
    <col min="20" max="20" width="12.88671875" bestFit="1" customWidth="1"/>
    <col min="21" max="21" width="16.109375" bestFit="1" customWidth="1"/>
    <col min="22" max="22" width="10" bestFit="1" customWidth="1"/>
    <col min="23" max="23" width="18.77734375" bestFit="1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>
        <v>2518</v>
      </c>
      <c r="B2" t="s">
        <v>23</v>
      </c>
      <c r="C2" s="1" t="s">
        <v>24</v>
      </c>
      <c r="D2" s="1" t="s">
        <v>25</v>
      </c>
      <c r="E2">
        <v>7.99</v>
      </c>
      <c r="F2">
        <v>49</v>
      </c>
      <c r="G2" t="s">
        <v>26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27</v>
      </c>
      <c r="N2" t="s">
        <v>28</v>
      </c>
      <c r="O2" t="s">
        <v>29</v>
      </c>
      <c r="P2">
        <v>84</v>
      </c>
      <c r="Q2">
        <v>3.3</v>
      </c>
      <c r="R2" t="b">
        <v>0</v>
      </c>
      <c r="S2" t="s">
        <v>30</v>
      </c>
      <c r="T2">
        <v>2878</v>
      </c>
      <c r="U2" t="s">
        <v>31</v>
      </c>
      <c r="V2" t="s">
        <v>32</v>
      </c>
      <c r="W2" t="s">
        <v>33</v>
      </c>
    </row>
    <row r="3" spans="1:23">
      <c r="A3">
        <v>6430</v>
      </c>
      <c r="B3" t="s">
        <v>34</v>
      </c>
      <c r="C3" s="1">
        <v>44989</v>
      </c>
      <c r="D3" s="1" t="s">
        <v>35</v>
      </c>
      <c r="E3">
        <v>7.99</v>
      </c>
      <c r="F3">
        <v>161</v>
      </c>
      <c r="G3" t="s">
        <v>36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27</v>
      </c>
      <c r="N3" t="s">
        <v>28</v>
      </c>
      <c r="O3" t="s">
        <v>37</v>
      </c>
      <c r="P3">
        <v>69</v>
      </c>
      <c r="Q3">
        <v>4</v>
      </c>
      <c r="R3" t="b">
        <v>0</v>
      </c>
      <c r="S3" t="s">
        <v>30</v>
      </c>
      <c r="T3">
        <v>2291</v>
      </c>
      <c r="U3" t="s">
        <v>38</v>
      </c>
      <c r="V3" t="s">
        <v>39</v>
      </c>
      <c r="W3" t="s">
        <v>40</v>
      </c>
    </row>
    <row r="4" spans="1:23">
      <c r="A4">
        <v>1798</v>
      </c>
      <c r="B4" t="s">
        <v>41</v>
      </c>
      <c r="C4" s="1">
        <v>44965</v>
      </c>
      <c r="D4" s="1" t="s">
        <v>42</v>
      </c>
      <c r="E4">
        <v>11.99</v>
      </c>
      <c r="F4">
        <v>87</v>
      </c>
      <c r="G4" t="s">
        <v>26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43</v>
      </c>
      <c r="N4" t="s">
        <v>44</v>
      </c>
      <c r="O4" t="s">
        <v>45</v>
      </c>
      <c r="P4">
        <v>56</v>
      </c>
      <c r="Q4">
        <v>3.1</v>
      </c>
      <c r="R4" t="b">
        <v>0</v>
      </c>
      <c r="S4" t="s">
        <v>30</v>
      </c>
      <c r="T4">
        <v>1692</v>
      </c>
      <c r="U4" t="s">
        <v>38</v>
      </c>
      <c r="V4" t="s">
        <v>32</v>
      </c>
      <c r="W4" t="s">
        <v>33</v>
      </c>
    </row>
    <row r="5" spans="1:23">
      <c r="A5">
        <v>5255</v>
      </c>
      <c r="B5" t="s">
        <v>46</v>
      </c>
      <c r="C5" s="1" t="s">
        <v>47</v>
      </c>
      <c r="D5" s="1">
        <v>45334</v>
      </c>
      <c r="E5">
        <v>15.99</v>
      </c>
      <c r="F5">
        <v>321</v>
      </c>
      <c r="G5" t="s">
        <v>48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49</v>
      </c>
      <c r="N5" t="s">
        <v>44</v>
      </c>
      <c r="O5" t="s">
        <v>45</v>
      </c>
      <c r="P5">
        <v>47</v>
      </c>
      <c r="Q5">
        <v>4.5999999999999996</v>
      </c>
      <c r="R5" t="b">
        <v>0</v>
      </c>
      <c r="S5" t="s">
        <v>30</v>
      </c>
      <c r="T5">
        <v>952</v>
      </c>
      <c r="U5" t="s">
        <v>38</v>
      </c>
      <c r="V5" t="s">
        <v>39</v>
      </c>
      <c r="W5" t="s">
        <v>40</v>
      </c>
    </row>
    <row r="6" spans="1:23">
      <c r="A6">
        <v>2854</v>
      </c>
      <c r="B6" t="s">
        <v>50</v>
      </c>
      <c r="C6" s="1">
        <v>45083</v>
      </c>
      <c r="D6" s="1" t="s">
        <v>35</v>
      </c>
      <c r="E6">
        <v>11.99</v>
      </c>
      <c r="F6">
        <v>386</v>
      </c>
      <c r="G6" t="s">
        <v>51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27</v>
      </c>
      <c r="N6" t="s">
        <v>28</v>
      </c>
      <c r="O6" t="s">
        <v>45</v>
      </c>
      <c r="P6">
        <v>39</v>
      </c>
      <c r="Q6">
        <v>3.7</v>
      </c>
      <c r="R6" t="b">
        <v>0</v>
      </c>
      <c r="S6" t="s">
        <v>30</v>
      </c>
      <c r="T6">
        <v>1823</v>
      </c>
      <c r="U6" t="s">
        <v>38</v>
      </c>
      <c r="V6" t="s">
        <v>39</v>
      </c>
      <c r="W6" t="s">
        <v>33</v>
      </c>
    </row>
    <row r="7" spans="1:23">
      <c r="A7">
        <v>6735</v>
      </c>
      <c r="B7" t="s">
        <v>52</v>
      </c>
      <c r="C7" s="1" t="s">
        <v>53</v>
      </c>
      <c r="D7" s="1" t="s">
        <v>54</v>
      </c>
      <c r="E7">
        <v>15.99</v>
      </c>
      <c r="F7">
        <v>408</v>
      </c>
      <c r="G7" t="s">
        <v>51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55</v>
      </c>
      <c r="N7" t="s">
        <v>56</v>
      </c>
      <c r="O7" t="s">
        <v>57</v>
      </c>
      <c r="P7">
        <v>71</v>
      </c>
      <c r="Q7">
        <v>4.3</v>
      </c>
      <c r="R7" t="b">
        <v>1</v>
      </c>
      <c r="S7" t="s">
        <v>30</v>
      </c>
      <c r="T7">
        <v>33</v>
      </c>
      <c r="U7" t="s">
        <v>58</v>
      </c>
      <c r="V7" t="s">
        <v>59</v>
      </c>
      <c r="W7" t="s">
        <v>60</v>
      </c>
    </row>
    <row r="8" spans="1:23">
      <c r="A8">
        <v>2995</v>
      </c>
      <c r="B8" t="s">
        <v>61</v>
      </c>
      <c r="C8" s="1" t="s">
        <v>62</v>
      </c>
      <c r="D8" s="1">
        <v>45577</v>
      </c>
      <c r="E8">
        <v>7.99</v>
      </c>
      <c r="F8">
        <v>475</v>
      </c>
      <c r="G8" t="s">
        <v>63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27</v>
      </c>
      <c r="N8" t="s">
        <v>56</v>
      </c>
      <c r="O8" t="s">
        <v>64</v>
      </c>
      <c r="P8">
        <v>1</v>
      </c>
      <c r="Q8">
        <v>4.5</v>
      </c>
      <c r="R8" t="b">
        <v>0</v>
      </c>
      <c r="S8" t="s">
        <v>30</v>
      </c>
      <c r="T8">
        <v>755</v>
      </c>
      <c r="U8" t="s">
        <v>65</v>
      </c>
      <c r="V8" t="s">
        <v>32</v>
      </c>
      <c r="W8" t="s">
        <v>33</v>
      </c>
    </row>
    <row r="9" spans="1:23">
      <c r="A9">
        <v>5120</v>
      </c>
      <c r="B9" t="s">
        <v>66</v>
      </c>
      <c r="C9" s="1" t="s">
        <v>67</v>
      </c>
      <c r="D9" s="1" t="s">
        <v>42</v>
      </c>
      <c r="E9">
        <v>15.99</v>
      </c>
      <c r="F9">
        <v>258</v>
      </c>
      <c r="G9" t="s">
        <v>26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68</v>
      </c>
      <c r="N9" t="s">
        <v>44</v>
      </c>
      <c r="O9" t="s">
        <v>29</v>
      </c>
      <c r="P9">
        <v>32</v>
      </c>
      <c r="Q9">
        <v>3.7</v>
      </c>
      <c r="R9" t="b">
        <v>1</v>
      </c>
      <c r="S9" t="s">
        <v>30</v>
      </c>
      <c r="T9">
        <v>2866</v>
      </c>
      <c r="U9" t="s">
        <v>31</v>
      </c>
      <c r="V9" t="s">
        <v>69</v>
      </c>
      <c r="W9" t="s">
        <v>33</v>
      </c>
    </row>
    <row r="10" spans="1:23">
      <c r="A10">
        <v>6063</v>
      </c>
      <c r="B10" t="s">
        <v>70</v>
      </c>
      <c r="C10" s="1" t="s">
        <v>71</v>
      </c>
      <c r="D10" s="1" t="s">
        <v>72</v>
      </c>
      <c r="E10">
        <v>15.99</v>
      </c>
      <c r="F10">
        <v>183</v>
      </c>
      <c r="G10" t="s">
        <v>73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74</v>
      </c>
      <c r="N10" t="s">
        <v>75</v>
      </c>
      <c r="O10" t="s">
        <v>45</v>
      </c>
      <c r="P10">
        <v>26</v>
      </c>
      <c r="Q10">
        <v>3.3</v>
      </c>
      <c r="R10" t="b">
        <v>1</v>
      </c>
      <c r="S10" t="s">
        <v>30</v>
      </c>
      <c r="T10">
        <v>336</v>
      </c>
      <c r="U10" t="s">
        <v>76</v>
      </c>
      <c r="V10" t="s">
        <v>39</v>
      </c>
      <c r="W10" t="s">
        <v>33</v>
      </c>
    </row>
    <row r="11" spans="1:23">
      <c r="A11">
        <v>6896</v>
      </c>
      <c r="B11" t="s">
        <v>77</v>
      </c>
      <c r="C11" s="1">
        <v>44969</v>
      </c>
      <c r="D11" s="1" t="s">
        <v>42</v>
      </c>
      <c r="E11">
        <v>7.99</v>
      </c>
      <c r="F11">
        <v>164</v>
      </c>
      <c r="G11" t="s">
        <v>51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27</v>
      </c>
      <c r="N11" t="s">
        <v>56</v>
      </c>
      <c r="O11" t="s">
        <v>78</v>
      </c>
      <c r="P11">
        <v>90</v>
      </c>
      <c r="Q11">
        <v>3.2</v>
      </c>
      <c r="R11" t="b">
        <v>0</v>
      </c>
      <c r="S11" t="s">
        <v>30</v>
      </c>
      <c r="T11">
        <v>3898</v>
      </c>
      <c r="U11" t="s">
        <v>65</v>
      </c>
      <c r="V11" t="s">
        <v>79</v>
      </c>
      <c r="W11" t="s">
        <v>33</v>
      </c>
    </row>
    <row r="12" spans="1:23">
      <c r="A12">
        <v>8447</v>
      </c>
      <c r="B12" t="s">
        <v>80</v>
      </c>
      <c r="C12" s="1" t="s">
        <v>81</v>
      </c>
      <c r="D12" s="1" t="s">
        <v>82</v>
      </c>
      <c r="E12">
        <v>11.99</v>
      </c>
      <c r="F12">
        <v>411</v>
      </c>
      <c r="G12" t="s">
        <v>73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49</v>
      </c>
      <c r="N12" t="s">
        <v>56</v>
      </c>
      <c r="O12" t="s">
        <v>64</v>
      </c>
      <c r="P12">
        <v>47</v>
      </c>
      <c r="Q12">
        <v>3.7</v>
      </c>
      <c r="R12" t="b">
        <v>0</v>
      </c>
      <c r="S12" t="s">
        <v>30</v>
      </c>
      <c r="T12">
        <v>650</v>
      </c>
      <c r="U12" t="s">
        <v>76</v>
      </c>
      <c r="V12" t="s">
        <v>79</v>
      </c>
      <c r="W12" t="s">
        <v>33</v>
      </c>
    </row>
    <row r="13" spans="1:23">
      <c r="A13">
        <v>1433</v>
      </c>
      <c r="B13" t="s">
        <v>83</v>
      </c>
      <c r="C13" s="1">
        <v>45325</v>
      </c>
      <c r="D13" s="1" t="s">
        <v>84</v>
      </c>
      <c r="E13">
        <v>15.99</v>
      </c>
      <c r="F13">
        <v>160</v>
      </c>
      <c r="G13" t="s">
        <v>36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43</v>
      </c>
      <c r="N13" t="s">
        <v>44</v>
      </c>
      <c r="O13" t="s">
        <v>37</v>
      </c>
      <c r="P13">
        <v>57</v>
      </c>
      <c r="Q13">
        <v>3</v>
      </c>
      <c r="R13" t="b">
        <v>0</v>
      </c>
      <c r="S13" t="s">
        <v>30</v>
      </c>
      <c r="T13">
        <v>185</v>
      </c>
      <c r="U13" t="s">
        <v>65</v>
      </c>
      <c r="V13" t="s">
        <v>32</v>
      </c>
      <c r="W13" t="s">
        <v>33</v>
      </c>
    </row>
    <row r="14" spans="1:23">
      <c r="A14">
        <v>4511</v>
      </c>
      <c r="B14" t="s">
        <v>85</v>
      </c>
      <c r="C14" s="1" t="s">
        <v>86</v>
      </c>
      <c r="D14" s="1" t="s">
        <v>87</v>
      </c>
      <c r="E14">
        <v>7.99</v>
      </c>
      <c r="F14">
        <v>348</v>
      </c>
      <c r="G14" t="s">
        <v>36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74</v>
      </c>
      <c r="N14" t="s">
        <v>44</v>
      </c>
      <c r="O14" t="s">
        <v>78</v>
      </c>
      <c r="P14">
        <v>38</v>
      </c>
      <c r="Q14">
        <v>4.3</v>
      </c>
      <c r="R14" t="b">
        <v>0</v>
      </c>
      <c r="S14" t="s">
        <v>30</v>
      </c>
      <c r="T14">
        <v>1547</v>
      </c>
      <c r="U14" t="s">
        <v>31</v>
      </c>
      <c r="V14" t="s">
        <v>69</v>
      </c>
      <c r="W14" t="s">
        <v>33</v>
      </c>
    </row>
    <row r="15" spans="1:23">
      <c r="A15">
        <v>9966</v>
      </c>
      <c r="B15" t="s">
        <v>88</v>
      </c>
      <c r="C15" s="1" t="s">
        <v>89</v>
      </c>
      <c r="D15" s="1" t="s">
        <v>90</v>
      </c>
      <c r="E15">
        <v>7.99</v>
      </c>
      <c r="F15">
        <v>451</v>
      </c>
      <c r="G15" t="s">
        <v>51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49</v>
      </c>
      <c r="N15" t="s">
        <v>75</v>
      </c>
      <c r="O15" t="s">
        <v>64</v>
      </c>
      <c r="P15">
        <v>62</v>
      </c>
      <c r="Q15">
        <v>3</v>
      </c>
      <c r="R15" t="b">
        <v>1</v>
      </c>
      <c r="S15" t="s">
        <v>30</v>
      </c>
      <c r="T15">
        <v>3788</v>
      </c>
      <c r="U15" t="s">
        <v>31</v>
      </c>
      <c r="V15" t="s">
        <v>59</v>
      </c>
      <c r="W15" t="s">
        <v>33</v>
      </c>
    </row>
    <row r="16" spans="1:23">
      <c r="A16">
        <v>7093</v>
      </c>
      <c r="B16" t="s">
        <v>91</v>
      </c>
      <c r="C16" s="1">
        <v>45113</v>
      </c>
      <c r="D16" s="1">
        <v>45608</v>
      </c>
      <c r="E16">
        <v>7.99</v>
      </c>
      <c r="F16">
        <v>69</v>
      </c>
      <c r="G16" t="s">
        <v>51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92</v>
      </c>
      <c r="N16" t="s">
        <v>28</v>
      </c>
      <c r="O16" t="s">
        <v>37</v>
      </c>
      <c r="P16">
        <v>0</v>
      </c>
      <c r="Q16">
        <v>4.7</v>
      </c>
      <c r="R16" t="b">
        <v>1</v>
      </c>
      <c r="S16" t="s">
        <v>30</v>
      </c>
      <c r="T16">
        <v>1051</v>
      </c>
      <c r="U16" t="s">
        <v>38</v>
      </c>
      <c r="V16" t="s">
        <v>59</v>
      </c>
      <c r="W16" t="s">
        <v>93</v>
      </c>
    </row>
    <row r="17" spans="1:23">
      <c r="A17">
        <v>4351</v>
      </c>
      <c r="B17" t="s">
        <v>94</v>
      </c>
      <c r="C17" s="1" t="s">
        <v>95</v>
      </c>
      <c r="D17" s="1" t="s">
        <v>90</v>
      </c>
      <c r="E17">
        <v>11.99</v>
      </c>
      <c r="F17">
        <v>166</v>
      </c>
      <c r="G17" t="s">
        <v>63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27</v>
      </c>
      <c r="N17" t="s">
        <v>28</v>
      </c>
      <c r="O17" t="s">
        <v>37</v>
      </c>
      <c r="P17">
        <v>25</v>
      </c>
      <c r="Q17">
        <v>4.3</v>
      </c>
      <c r="R17" t="b">
        <v>1</v>
      </c>
      <c r="S17" t="s">
        <v>30</v>
      </c>
      <c r="T17">
        <v>633</v>
      </c>
      <c r="U17" t="s">
        <v>58</v>
      </c>
      <c r="V17" t="s">
        <v>32</v>
      </c>
      <c r="W17" t="s">
        <v>93</v>
      </c>
    </row>
    <row r="18" spans="1:23">
      <c r="A18">
        <v>6007</v>
      </c>
      <c r="B18" t="s">
        <v>96</v>
      </c>
      <c r="C18" s="1" t="s">
        <v>97</v>
      </c>
      <c r="D18" s="1" t="s">
        <v>72</v>
      </c>
      <c r="E18">
        <v>7.99</v>
      </c>
      <c r="F18">
        <v>449</v>
      </c>
      <c r="G18" t="s">
        <v>63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74</v>
      </c>
      <c r="N18" t="s">
        <v>44</v>
      </c>
      <c r="O18" t="s">
        <v>57</v>
      </c>
      <c r="P18">
        <v>65</v>
      </c>
      <c r="Q18">
        <v>4.5999999999999996</v>
      </c>
      <c r="R18" t="b">
        <v>0</v>
      </c>
      <c r="S18" t="s">
        <v>30</v>
      </c>
      <c r="T18">
        <v>4133</v>
      </c>
      <c r="U18" t="s">
        <v>31</v>
      </c>
      <c r="V18" t="s">
        <v>39</v>
      </c>
      <c r="W18" t="s">
        <v>40</v>
      </c>
    </row>
    <row r="19" spans="1:23">
      <c r="A19">
        <v>9710</v>
      </c>
      <c r="B19" t="s">
        <v>98</v>
      </c>
      <c r="C19" s="1">
        <v>44963</v>
      </c>
      <c r="D19" s="1" t="s">
        <v>99</v>
      </c>
      <c r="E19">
        <v>7.99</v>
      </c>
      <c r="F19">
        <v>441</v>
      </c>
      <c r="G19" t="s">
        <v>100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74</v>
      </c>
      <c r="N19" t="s">
        <v>28</v>
      </c>
      <c r="O19" t="s">
        <v>45</v>
      </c>
      <c r="P19">
        <v>50</v>
      </c>
      <c r="Q19">
        <v>3.1</v>
      </c>
      <c r="R19" t="b">
        <v>1</v>
      </c>
      <c r="S19" t="s">
        <v>30</v>
      </c>
      <c r="T19">
        <v>1159</v>
      </c>
      <c r="U19" t="s">
        <v>38</v>
      </c>
      <c r="V19" t="s">
        <v>32</v>
      </c>
      <c r="W19" t="s">
        <v>60</v>
      </c>
    </row>
    <row r="20" spans="1:23">
      <c r="A20">
        <v>9034</v>
      </c>
      <c r="B20" t="s">
        <v>101</v>
      </c>
      <c r="C20" s="1" t="s">
        <v>102</v>
      </c>
      <c r="D20" s="1" t="s">
        <v>103</v>
      </c>
      <c r="E20">
        <v>15.99</v>
      </c>
      <c r="F20">
        <v>224</v>
      </c>
      <c r="G20" t="s">
        <v>73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43</v>
      </c>
      <c r="N20" t="s">
        <v>44</v>
      </c>
      <c r="O20" t="s">
        <v>45</v>
      </c>
      <c r="P20">
        <v>11</v>
      </c>
      <c r="Q20">
        <v>4.5</v>
      </c>
      <c r="R20" t="b">
        <v>1</v>
      </c>
      <c r="S20" t="s">
        <v>30</v>
      </c>
      <c r="T20">
        <v>4673</v>
      </c>
      <c r="U20" t="s">
        <v>76</v>
      </c>
      <c r="V20" t="s">
        <v>59</v>
      </c>
      <c r="W20" t="s">
        <v>93</v>
      </c>
    </row>
    <row r="21" spans="1:23">
      <c r="A21">
        <v>6197</v>
      </c>
      <c r="B21" t="s">
        <v>104</v>
      </c>
      <c r="C21" s="1">
        <v>44992</v>
      </c>
      <c r="D21" s="1" t="s">
        <v>105</v>
      </c>
      <c r="E21">
        <v>15.99</v>
      </c>
      <c r="F21">
        <v>44</v>
      </c>
      <c r="G21" t="s">
        <v>26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55</v>
      </c>
      <c r="N21" t="s">
        <v>28</v>
      </c>
      <c r="O21" t="s">
        <v>78</v>
      </c>
      <c r="P21">
        <v>78</v>
      </c>
      <c r="Q21">
        <v>3</v>
      </c>
      <c r="R21" t="b">
        <v>0</v>
      </c>
      <c r="S21" t="s">
        <v>30</v>
      </c>
      <c r="T21">
        <v>4200</v>
      </c>
      <c r="U21" t="s">
        <v>65</v>
      </c>
      <c r="V21" t="s">
        <v>69</v>
      </c>
      <c r="W21" t="s">
        <v>40</v>
      </c>
    </row>
    <row r="22" spans="1:23">
      <c r="A22">
        <v>2820</v>
      </c>
      <c r="B22" t="s">
        <v>106</v>
      </c>
      <c r="C22" s="1" t="s">
        <v>107</v>
      </c>
      <c r="D22" s="1">
        <v>45303</v>
      </c>
      <c r="E22">
        <v>7.99</v>
      </c>
      <c r="F22">
        <v>202</v>
      </c>
      <c r="G22" t="s">
        <v>36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27</v>
      </c>
      <c r="N22" t="s">
        <v>75</v>
      </c>
      <c r="O22" t="s">
        <v>57</v>
      </c>
      <c r="P22">
        <v>42</v>
      </c>
      <c r="Q22">
        <v>4.5999999999999996</v>
      </c>
      <c r="R22" t="b">
        <v>0</v>
      </c>
      <c r="S22" t="s">
        <v>30</v>
      </c>
      <c r="T22">
        <v>3607</v>
      </c>
      <c r="U22" t="s">
        <v>38</v>
      </c>
      <c r="V22" t="s">
        <v>32</v>
      </c>
      <c r="W22" t="s">
        <v>33</v>
      </c>
    </row>
    <row r="23" spans="1:23">
      <c r="A23">
        <v>1101</v>
      </c>
      <c r="B23" t="s">
        <v>52</v>
      </c>
      <c r="C23" s="1" t="s">
        <v>108</v>
      </c>
      <c r="D23" s="1" t="s">
        <v>109</v>
      </c>
      <c r="E23">
        <v>15.99</v>
      </c>
      <c r="F23">
        <v>39</v>
      </c>
      <c r="G23" t="s">
        <v>63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68</v>
      </c>
      <c r="N23" t="s">
        <v>28</v>
      </c>
      <c r="O23" t="s">
        <v>45</v>
      </c>
      <c r="P23">
        <v>3</v>
      </c>
      <c r="Q23">
        <v>4.5</v>
      </c>
      <c r="R23" t="b">
        <v>1</v>
      </c>
      <c r="S23" t="s">
        <v>30</v>
      </c>
      <c r="T23">
        <v>4602</v>
      </c>
      <c r="U23" t="s">
        <v>58</v>
      </c>
      <c r="V23" t="s">
        <v>79</v>
      </c>
      <c r="W23" t="s">
        <v>40</v>
      </c>
    </row>
    <row r="24" spans="1:23">
      <c r="A24">
        <v>1650</v>
      </c>
      <c r="B24" t="s">
        <v>98</v>
      </c>
      <c r="C24" s="1" t="s">
        <v>62</v>
      </c>
      <c r="D24" s="1" t="s">
        <v>109</v>
      </c>
      <c r="E24">
        <v>15.99</v>
      </c>
      <c r="F24">
        <v>319</v>
      </c>
      <c r="G24" t="s">
        <v>100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92</v>
      </c>
      <c r="N24" t="s">
        <v>75</v>
      </c>
      <c r="O24" t="s">
        <v>45</v>
      </c>
      <c r="P24">
        <v>27</v>
      </c>
      <c r="Q24">
        <v>3.6</v>
      </c>
      <c r="R24" t="b">
        <v>1</v>
      </c>
      <c r="S24" t="s">
        <v>30</v>
      </c>
      <c r="T24">
        <v>256</v>
      </c>
      <c r="U24" t="s">
        <v>58</v>
      </c>
      <c r="V24" t="s">
        <v>32</v>
      </c>
      <c r="W24" t="s">
        <v>93</v>
      </c>
    </row>
    <row r="25" spans="1:23">
      <c r="A25">
        <v>4884</v>
      </c>
      <c r="B25" t="s">
        <v>110</v>
      </c>
      <c r="C25" s="1" t="s">
        <v>111</v>
      </c>
      <c r="D25" s="1" t="s">
        <v>87</v>
      </c>
      <c r="E25">
        <v>15.99</v>
      </c>
      <c r="F25">
        <v>150</v>
      </c>
      <c r="G25" t="s">
        <v>48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43</v>
      </c>
      <c r="N25" t="s">
        <v>44</v>
      </c>
      <c r="O25" t="s">
        <v>37</v>
      </c>
      <c r="P25">
        <v>60</v>
      </c>
      <c r="Q25">
        <v>3.7</v>
      </c>
      <c r="R25" t="b">
        <v>0</v>
      </c>
      <c r="S25" t="s">
        <v>30</v>
      </c>
      <c r="T25">
        <v>2406</v>
      </c>
      <c r="U25" t="s">
        <v>65</v>
      </c>
      <c r="V25" t="s">
        <v>79</v>
      </c>
      <c r="W25" t="s">
        <v>40</v>
      </c>
    </row>
    <row r="26" spans="1:23">
      <c r="A26">
        <v>8321</v>
      </c>
      <c r="B26" t="s">
        <v>112</v>
      </c>
      <c r="C26" s="1" t="s">
        <v>113</v>
      </c>
      <c r="D26" s="1" t="s">
        <v>109</v>
      </c>
      <c r="E26">
        <v>11.99</v>
      </c>
      <c r="F26">
        <v>496</v>
      </c>
      <c r="G26" t="s">
        <v>100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55</v>
      </c>
      <c r="N26" t="s">
        <v>56</v>
      </c>
      <c r="O26" t="s">
        <v>64</v>
      </c>
      <c r="P26">
        <v>91</v>
      </c>
      <c r="Q26">
        <v>4</v>
      </c>
      <c r="R26" t="b">
        <v>1</v>
      </c>
      <c r="S26" t="s">
        <v>30</v>
      </c>
      <c r="T26">
        <v>1394</v>
      </c>
      <c r="U26" t="s">
        <v>58</v>
      </c>
      <c r="V26" t="s">
        <v>79</v>
      </c>
      <c r="W26" t="s">
        <v>93</v>
      </c>
    </row>
    <row r="27" spans="1:23">
      <c r="A27">
        <v>2381</v>
      </c>
      <c r="B27" t="s">
        <v>114</v>
      </c>
      <c r="C27" s="1" t="s">
        <v>115</v>
      </c>
      <c r="D27" s="1" t="s">
        <v>35</v>
      </c>
      <c r="E27">
        <v>7.99</v>
      </c>
      <c r="F27">
        <v>347</v>
      </c>
      <c r="G27" t="s">
        <v>63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27</v>
      </c>
      <c r="N27" t="s">
        <v>56</v>
      </c>
      <c r="O27" t="s">
        <v>37</v>
      </c>
      <c r="P27">
        <v>76</v>
      </c>
      <c r="Q27">
        <v>4.3</v>
      </c>
      <c r="R27" t="b">
        <v>1</v>
      </c>
      <c r="S27" t="s">
        <v>30</v>
      </c>
      <c r="T27">
        <v>1856</v>
      </c>
      <c r="U27" t="s">
        <v>38</v>
      </c>
      <c r="V27" t="s">
        <v>59</v>
      </c>
      <c r="W27" t="s">
        <v>93</v>
      </c>
    </row>
    <row r="28" spans="1:23">
      <c r="A28">
        <v>9507</v>
      </c>
      <c r="B28" t="s">
        <v>116</v>
      </c>
      <c r="C28" s="1" t="s">
        <v>117</v>
      </c>
      <c r="D28" s="1" t="s">
        <v>54</v>
      </c>
      <c r="E28">
        <v>11.99</v>
      </c>
      <c r="F28">
        <v>201</v>
      </c>
      <c r="G28" t="s">
        <v>26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27</v>
      </c>
      <c r="N28" t="s">
        <v>75</v>
      </c>
      <c r="O28" t="s">
        <v>78</v>
      </c>
      <c r="P28">
        <v>69</v>
      </c>
      <c r="Q28">
        <v>4.9000000000000004</v>
      </c>
      <c r="R28" t="b">
        <v>1</v>
      </c>
      <c r="S28" t="s">
        <v>30</v>
      </c>
      <c r="T28">
        <v>1665</v>
      </c>
      <c r="U28" t="s">
        <v>58</v>
      </c>
      <c r="V28" t="s">
        <v>59</v>
      </c>
      <c r="W28" t="s">
        <v>93</v>
      </c>
    </row>
    <row r="29" spans="1:23">
      <c r="A29">
        <v>2851</v>
      </c>
      <c r="B29" t="s">
        <v>118</v>
      </c>
      <c r="C29" s="1" t="s">
        <v>119</v>
      </c>
      <c r="D29" s="1" t="s">
        <v>109</v>
      </c>
      <c r="E29">
        <v>15.99</v>
      </c>
      <c r="F29">
        <v>415</v>
      </c>
      <c r="G29" t="s">
        <v>100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68</v>
      </c>
      <c r="N29" t="s">
        <v>75</v>
      </c>
      <c r="O29" t="s">
        <v>57</v>
      </c>
      <c r="P29">
        <v>98</v>
      </c>
      <c r="Q29">
        <v>3.9</v>
      </c>
      <c r="R29" t="b">
        <v>0</v>
      </c>
      <c r="S29" t="s">
        <v>30</v>
      </c>
      <c r="T29">
        <v>2759</v>
      </c>
      <c r="U29" t="s">
        <v>76</v>
      </c>
      <c r="V29" t="s">
        <v>32</v>
      </c>
      <c r="W29" t="s">
        <v>40</v>
      </c>
    </row>
    <row r="30" spans="1:23">
      <c r="A30">
        <v>4083</v>
      </c>
      <c r="B30" t="s">
        <v>120</v>
      </c>
      <c r="C30" s="1" t="s">
        <v>121</v>
      </c>
      <c r="D30" s="1">
        <v>45577</v>
      </c>
      <c r="E30">
        <v>11.99</v>
      </c>
      <c r="F30">
        <v>32</v>
      </c>
      <c r="G30" t="s">
        <v>63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92</v>
      </c>
      <c r="N30" t="s">
        <v>56</v>
      </c>
      <c r="O30" t="s">
        <v>64</v>
      </c>
      <c r="P30">
        <v>85</v>
      </c>
      <c r="Q30">
        <v>3.7</v>
      </c>
      <c r="R30" t="b">
        <v>1</v>
      </c>
      <c r="S30" t="s">
        <v>30</v>
      </c>
      <c r="T30">
        <v>3433</v>
      </c>
      <c r="U30" t="s">
        <v>65</v>
      </c>
      <c r="V30" t="s">
        <v>32</v>
      </c>
      <c r="W30" t="s">
        <v>93</v>
      </c>
    </row>
    <row r="31" spans="1:23">
      <c r="A31">
        <v>4608</v>
      </c>
      <c r="B31" t="s">
        <v>122</v>
      </c>
      <c r="C31" s="1" t="s">
        <v>123</v>
      </c>
      <c r="D31" s="1" t="s">
        <v>105</v>
      </c>
      <c r="E31">
        <v>11.99</v>
      </c>
      <c r="F31">
        <v>338</v>
      </c>
      <c r="G31" t="s">
        <v>73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49</v>
      </c>
      <c r="N31" t="s">
        <v>75</v>
      </c>
      <c r="O31" t="s">
        <v>57</v>
      </c>
      <c r="P31">
        <v>58</v>
      </c>
      <c r="Q31">
        <v>3.7</v>
      </c>
      <c r="R31" t="b">
        <v>1</v>
      </c>
      <c r="S31" t="s">
        <v>30</v>
      </c>
      <c r="T31">
        <v>3966</v>
      </c>
      <c r="U31" t="s">
        <v>38</v>
      </c>
      <c r="V31" t="s">
        <v>79</v>
      </c>
      <c r="W31" t="s">
        <v>33</v>
      </c>
    </row>
    <row r="32" spans="1:23">
      <c r="A32">
        <v>4815</v>
      </c>
      <c r="B32" t="s">
        <v>124</v>
      </c>
      <c r="C32" s="1">
        <v>45329</v>
      </c>
      <c r="D32" s="1" t="s">
        <v>84</v>
      </c>
      <c r="E32">
        <v>7.99</v>
      </c>
      <c r="F32">
        <v>52</v>
      </c>
      <c r="G32" t="s">
        <v>51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27</v>
      </c>
      <c r="N32" t="s">
        <v>28</v>
      </c>
      <c r="O32" t="s">
        <v>57</v>
      </c>
      <c r="P32">
        <v>97</v>
      </c>
      <c r="Q32">
        <v>3.3</v>
      </c>
      <c r="R32" t="b">
        <v>1</v>
      </c>
      <c r="S32" t="s">
        <v>30</v>
      </c>
      <c r="T32">
        <v>4185</v>
      </c>
      <c r="U32" t="s">
        <v>38</v>
      </c>
      <c r="V32" t="s">
        <v>79</v>
      </c>
      <c r="W32" t="s">
        <v>40</v>
      </c>
    </row>
    <row r="33" spans="1:23">
      <c r="A33">
        <v>9597</v>
      </c>
      <c r="B33" t="s">
        <v>125</v>
      </c>
      <c r="C33" s="1">
        <v>45455</v>
      </c>
      <c r="D33" s="1">
        <v>45334</v>
      </c>
      <c r="E33">
        <v>11.99</v>
      </c>
      <c r="F33">
        <v>447</v>
      </c>
      <c r="G33" t="s">
        <v>100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74</v>
      </c>
      <c r="N33" t="s">
        <v>44</v>
      </c>
      <c r="O33" t="s">
        <v>29</v>
      </c>
      <c r="P33">
        <v>84</v>
      </c>
      <c r="Q33">
        <v>4.0999999999999996</v>
      </c>
      <c r="R33" t="b">
        <v>0</v>
      </c>
      <c r="S33" t="s">
        <v>30</v>
      </c>
      <c r="T33">
        <v>784</v>
      </c>
      <c r="U33" t="s">
        <v>31</v>
      </c>
      <c r="V33" t="s">
        <v>39</v>
      </c>
      <c r="W33" t="s">
        <v>93</v>
      </c>
    </row>
    <row r="34" spans="1:23">
      <c r="A34">
        <v>6566</v>
      </c>
      <c r="B34" t="s">
        <v>126</v>
      </c>
      <c r="C34" s="1" t="s">
        <v>127</v>
      </c>
      <c r="D34" s="1" t="s">
        <v>72</v>
      </c>
      <c r="E34">
        <v>11.99</v>
      </c>
      <c r="F34">
        <v>312</v>
      </c>
      <c r="G34" t="s">
        <v>63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74</v>
      </c>
      <c r="N34" t="s">
        <v>44</v>
      </c>
      <c r="O34" t="s">
        <v>57</v>
      </c>
      <c r="P34">
        <v>85</v>
      </c>
      <c r="Q34">
        <v>4.7</v>
      </c>
      <c r="R34" t="b">
        <v>1</v>
      </c>
      <c r="S34" t="s">
        <v>30</v>
      </c>
      <c r="T34">
        <v>3428</v>
      </c>
      <c r="U34" t="s">
        <v>65</v>
      </c>
      <c r="V34" t="s">
        <v>39</v>
      </c>
      <c r="W34" t="s">
        <v>40</v>
      </c>
    </row>
    <row r="35" spans="1:23">
      <c r="A35">
        <v>1419</v>
      </c>
      <c r="B35" t="s">
        <v>128</v>
      </c>
      <c r="C35" s="1">
        <v>44992</v>
      </c>
      <c r="D35" s="1" t="s">
        <v>129</v>
      </c>
      <c r="E35">
        <v>11.99</v>
      </c>
      <c r="F35">
        <v>406</v>
      </c>
      <c r="G35" t="s">
        <v>48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55</v>
      </c>
      <c r="N35" t="s">
        <v>75</v>
      </c>
      <c r="O35" t="s">
        <v>37</v>
      </c>
      <c r="P35">
        <v>78</v>
      </c>
      <c r="Q35">
        <v>3.1</v>
      </c>
      <c r="R35" t="b">
        <v>0</v>
      </c>
      <c r="S35" t="s">
        <v>30</v>
      </c>
      <c r="T35">
        <v>4245</v>
      </c>
      <c r="U35" t="s">
        <v>31</v>
      </c>
      <c r="V35" t="s">
        <v>39</v>
      </c>
      <c r="W35" t="s">
        <v>40</v>
      </c>
    </row>
    <row r="36" spans="1:23">
      <c r="A36">
        <v>9470</v>
      </c>
      <c r="B36" t="s">
        <v>130</v>
      </c>
      <c r="C36" s="1" t="s">
        <v>131</v>
      </c>
      <c r="D36" s="1" t="s">
        <v>35</v>
      </c>
      <c r="E36">
        <v>7.99</v>
      </c>
      <c r="F36">
        <v>350</v>
      </c>
      <c r="G36" t="s">
        <v>63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92</v>
      </c>
      <c r="N36" t="s">
        <v>56</v>
      </c>
      <c r="O36" t="s">
        <v>45</v>
      </c>
      <c r="P36">
        <v>66</v>
      </c>
      <c r="Q36">
        <v>4.5999999999999996</v>
      </c>
      <c r="R36" t="b">
        <v>1</v>
      </c>
      <c r="S36" t="s">
        <v>30</v>
      </c>
      <c r="T36">
        <v>2580</v>
      </c>
      <c r="U36" t="s">
        <v>58</v>
      </c>
      <c r="V36" t="s">
        <v>59</v>
      </c>
      <c r="W36" t="s">
        <v>33</v>
      </c>
    </row>
    <row r="37" spans="1:23">
      <c r="A37">
        <v>4989</v>
      </c>
      <c r="B37" t="s">
        <v>132</v>
      </c>
      <c r="C37" s="1">
        <v>45566</v>
      </c>
      <c r="D37" s="1">
        <v>45577</v>
      </c>
      <c r="E37">
        <v>7.99</v>
      </c>
      <c r="F37">
        <v>99</v>
      </c>
      <c r="G37" t="s">
        <v>73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27</v>
      </c>
      <c r="N37" t="s">
        <v>28</v>
      </c>
      <c r="O37" t="s">
        <v>29</v>
      </c>
      <c r="P37">
        <v>45</v>
      </c>
      <c r="Q37">
        <v>4.3</v>
      </c>
      <c r="R37" t="b">
        <v>0</v>
      </c>
      <c r="S37" t="s">
        <v>30</v>
      </c>
      <c r="T37">
        <v>2779</v>
      </c>
      <c r="U37" t="s">
        <v>58</v>
      </c>
      <c r="V37" t="s">
        <v>79</v>
      </c>
      <c r="W37" t="s">
        <v>60</v>
      </c>
    </row>
    <row r="38" spans="1:23">
      <c r="A38">
        <v>9389</v>
      </c>
      <c r="B38" t="s">
        <v>133</v>
      </c>
      <c r="C38" s="1">
        <v>45361</v>
      </c>
      <c r="D38" s="1" t="s">
        <v>134</v>
      </c>
      <c r="E38">
        <v>15.99</v>
      </c>
      <c r="F38">
        <v>53</v>
      </c>
      <c r="G38" t="s">
        <v>48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55</v>
      </c>
      <c r="N38" t="s">
        <v>56</v>
      </c>
      <c r="O38" t="s">
        <v>45</v>
      </c>
      <c r="P38">
        <v>14</v>
      </c>
      <c r="Q38">
        <v>3.1</v>
      </c>
      <c r="R38" t="b">
        <v>0</v>
      </c>
      <c r="S38" t="s">
        <v>30</v>
      </c>
      <c r="T38">
        <v>2318</v>
      </c>
      <c r="U38" t="s">
        <v>31</v>
      </c>
      <c r="V38" t="s">
        <v>32</v>
      </c>
      <c r="W38" t="s">
        <v>40</v>
      </c>
    </row>
    <row r="39" spans="1:23">
      <c r="A39">
        <v>7728</v>
      </c>
      <c r="B39" t="s">
        <v>135</v>
      </c>
      <c r="C39" s="1" t="s">
        <v>136</v>
      </c>
      <c r="D39" s="1" t="s">
        <v>25</v>
      </c>
      <c r="E39">
        <v>11.99</v>
      </c>
      <c r="F39">
        <v>484</v>
      </c>
      <c r="G39" t="s">
        <v>100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49</v>
      </c>
      <c r="N39" t="s">
        <v>28</v>
      </c>
      <c r="O39" t="s">
        <v>37</v>
      </c>
      <c r="P39">
        <v>12</v>
      </c>
      <c r="Q39">
        <v>4</v>
      </c>
      <c r="R39" t="b">
        <v>1</v>
      </c>
      <c r="S39" t="s">
        <v>30</v>
      </c>
      <c r="T39">
        <v>827</v>
      </c>
      <c r="U39" t="s">
        <v>31</v>
      </c>
      <c r="V39" t="s">
        <v>39</v>
      </c>
      <c r="W39" t="s">
        <v>60</v>
      </c>
    </row>
    <row r="40" spans="1:23">
      <c r="A40">
        <v>7943</v>
      </c>
      <c r="B40" t="s">
        <v>137</v>
      </c>
      <c r="C40" s="1">
        <v>45301</v>
      </c>
      <c r="D40" s="1">
        <v>45303</v>
      </c>
      <c r="E40">
        <v>15.99</v>
      </c>
      <c r="F40">
        <v>211</v>
      </c>
      <c r="G40" t="s">
        <v>51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68</v>
      </c>
      <c r="N40" t="s">
        <v>56</v>
      </c>
      <c r="O40" t="s">
        <v>29</v>
      </c>
      <c r="P40">
        <v>26</v>
      </c>
      <c r="Q40">
        <v>4</v>
      </c>
      <c r="R40" t="b">
        <v>1</v>
      </c>
      <c r="S40" t="s">
        <v>30</v>
      </c>
      <c r="T40">
        <v>2670</v>
      </c>
      <c r="U40" t="s">
        <v>38</v>
      </c>
      <c r="V40" t="s">
        <v>59</v>
      </c>
      <c r="W40" t="s">
        <v>33</v>
      </c>
    </row>
    <row r="41" spans="1:23">
      <c r="A41">
        <v>2490</v>
      </c>
      <c r="B41" t="s">
        <v>138</v>
      </c>
      <c r="C41" s="1" t="s">
        <v>139</v>
      </c>
      <c r="D41" s="1" t="s">
        <v>54</v>
      </c>
      <c r="E41">
        <v>11.99</v>
      </c>
      <c r="F41">
        <v>248</v>
      </c>
      <c r="G41" t="s">
        <v>48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55</v>
      </c>
      <c r="N41" t="s">
        <v>44</v>
      </c>
      <c r="O41" t="s">
        <v>57</v>
      </c>
      <c r="P41">
        <v>99</v>
      </c>
      <c r="Q41">
        <v>4.8</v>
      </c>
      <c r="R41" t="b">
        <v>0</v>
      </c>
      <c r="S41" t="s">
        <v>30</v>
      </c>
      <c r="T41">
        <v>2409</v>
      </c>
      <c r="U41" t="s">
        <v>31</v>
      </c>
      <c r="V41" t="s">
        <v>32</v>
      </c>
      <c r="W41" t="s">
        <v>33</v>
      </c>
    </row>
    <row r="42" spans="1:23">
      <c r="A42">
        <v>5042</v>
      </c>
      <c r="B42" t="s">
        <v>140</v>
      </c>
      <c r="C42" s="1" t="s">
        <v>141</v>
      </c>
      <c r="D42" s="1" t="s">
        <v>109</v>
      </c>
      <c r="E42">
        <v>15.99</v>
      </c>
      <c r="F42">
        <v>197</v>
      </c>
      <c r="G42" t="s">
        <v>100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68</v>
      </c>
      <c r="N42" t="s">
        <v>75</v>
      </c>
      <c r="O42" t="s">
        <v>45</v>
      </c>
      <c r="P42">
        <v>7</v>
      </c>
      <c r="Q42">
        <v>4.3</v>
      </c>
      <c r="R42" t="b">
        <v>0</v>
      </c>
      <c r="S42" t="s">
        <v>30</v>
      </c>
      <c r="T42">
        <v>1577</v>
      </c>
      <c r="U42" t="s">
        <v>58</v>
      </c>
      <c r="V42" t="s">
        <v>32</v>
      </c>
      <c r="W42" t="s">
        <v>40</v>
      </c>
    </row>
    <row r="43" spans="1:23">
      <c r="A43">
        <v>3620</v>
      </c>
      <c r="B43" t="s">
        <v>142</v>
      </c>
      <c r="C43" s="1">
        <v>45481</v>
      </c>
      <c r="D43" s="1">
        <v>45485</v>
      </c>
      <c r="E43">
        <v>15.99</v>
      </c>
      <c r="F43">
        <v>253</v>
      </c>
      <c r="G43" t="s">
        <v>73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27</v>
      </c>
      <c r="N43" t="s">
        <v>44</v>
      </c>
      <c r="O43" t="s">
        <v>78</v>
      </c>
      <c r="P43">
        <v>72</v>
      </c>
      <c r="Q43">
        <v>3.1</v>
      </c>
      <c r="R43" t="b">
        <v>0</v>
      </c>
      <c r="S43" t="s">
        <v>30</v>
      </c>
      <c r="T43">
        <v>4072</v>
      </c>
      <c r="U43" t="s">
        <v>65</v>
      </c>
      <c r="V43" t="s">
        <v>69</v>
      </c>
      <c r="W43" t="s">
        <v>93</v>
      </c>
    </row>
    <row r="44" spans="1:23">
      <c r="A44">
        <v>8976</v>
      </c>
      <c r="B44" t="s">
        <v>143</v>
      </c>
      <c r="C44" s="1" t="s">
        <v>144</v>
      </c>
      <c r="D44" s="1">
        <v>45638</v>
      </c>
      <c r="E44">
        <v>7.99</v>
      </c>
      <c r="F44">
        <v>352</v>
      </c>
      <c r="G44" t="s">
        <v>100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92</v>
      </c>
      <c r="N44" t="s">
        <v>56</v>
      </c>
      <c r="O44" t="s">
        <v>78</v>
      </c>
      <c r="P44">
        <v>33</v>
      </c>
      <c r="Q44">
        <v>4.5999999999999996</v>
      </c>
      <c r="R44" t="b">
        <v>1</v>
      </c>
      <c r="S44" t="s">
        <v>30</v>
      </c>
      <c r="T44">
        <v>3432</v>
      </c>
      <c r="U44" t="s">
        <v>76</v>
      </c>
      <c r="V44" t="s">
        <v>69</v>
      </c>
      <c r="W44" t="s">
        <v>93</v>
      </c>
    </row>
    <row r="45" spans="1:23">
      <c r="A45">
        <v>1570</v>
      </c>
      <c r="B45" t="s">
        <v>138</v>
      </c>
      <c r="C45" s="1" t="s">
        <v>145</v>
      </c>
      <c r="D45" s="1" t="s">
        <v>82</v>
      </c>
      <c r="E45">
        <v>11.99</v>
      </c>
      <c r="F45">
        <v>97</v>
      </c>
      <c r="G45" t="s">
        <v>100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49</v>
      </c>
      <c r="N45" t="s">
        <v>44</v>
      </c>
      <c r="O45" t="s">
        <v>57</v>
      </c>
      <c r="P45">
        <v>65</v>
      </c>
      <c r="Q45">
        <v>4.3</v>
      </c>
      <c r="R45" t="b">
        <v>1</v>
      </c>
      <c r="S45" t="s">
        <v>30</v>
      </c>
      <c r="T45">
        <v>4511</v>
      </c>
      <c r="U45" t="s">
        <v>31</v>
      </c>
      <c r="V45" t="s">
        <v>59</v>
      </c>
      <c r="W45" t="s">
        <v>60</v>
      </c>
    </row>
    <row r="46" spans="1:23">
      <c r="A46">
        <v>7709</v>
      </c>
      <c r="B46" t="s">
        <v>146</v>
      </c>
      <c r="C46" s="1">
        <v>45020</v>
      </c>
      <c r="D46" s="1">
        <v>45303</v>
      </c>
      <c r="E46">
        <v>11.99</v>
      </c>
      <c r="F46">
        <v>283</v>
      </c>
      <c r="G46" t="s">
        <v>48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68</v>
      </c>
      <c r="N46" t="s">
        <v>44</v>
      </c>
      <c r="O46" t="s">
        <v>37</v>
      </c>
      <c r="P46">
        <v>79</v>
      </c>
      <c r="Q46">
        <v>3.4</v>
      </c>
      <c r="R46" t="b">
        <v>1</v>
      </c>
      <c r="S46" t="s">
        <v>30</v>
      </c>
      <c r="T46">
        <v>583</v>
      </c>
      <c r="U46" t="s">
        <v>76</v>
      </c>
      <c r="V46" t="s">
        <v>39</v>
      </c>
      <c r="W46" t="s">
        <v>40</v>
      </c>
    </row>
    <row r="47" spans="1:23">
      <c r="A47">
        <v>9503</v>
      </c>
      <c r="B47" t="s">
        <v>147</v>
      </c>
      <c r="C47" s="1">
        <v>45600</v>
      </c>
      <c r="D47" s="1">
        <v>45424</v>
      </c>
      <c r="E47">
        <v>11.99</v>
      </c>
      <c r="F47">
        <v>307</v>
      </c>
      <c r="G47" t="s">
        <v>51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92</v>
      </c>
      <c r="N47" t="s">
        <v>75</v>
      </c>
      <c r="O47" t="s">
        <v>29</v>
      </c>
      <c r="P47">
        <v>55</v>
      </c>
      <c r="Q47">
        <v>3.2</v>
      </c>
      <c r="R47" t="b">
        <v>1</v>
      </c>
      <c r="S47" t="s">
        <v>30</v>
      </c>
      <c r="T47">
        <v>3626</v>
      </c>
      <c r="U47" t="s">
        <v>65</v>
      </c>
      <c r="V47" t="s">
        <v>32</v>
      </c>
      <c r="W47" t="s">
        <v>33</v>
      </c>
    </row>
    <row r="48" spans="1:23">
      <c r="A48">
        <v>9564</v>
      </c>
      <c r="B48" t="s">
        <v>148</v>
      </c>
      <c r="C48" s="1" t="s">
        <v>149</v>
      </c>
      <c r="D48" s="1">
        <v>45394</v>
      </c>
      <c r="E48">
        <v>15.99</v>
      </c>
      <c r="F48">
        <v>203</v>
      </c>
      <c r="G48" t="s">
        <v>73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68</v>
      </c>
      <c r="N48" t="s">
        <v>75</v>
      </c>
      <c r="O48" t="s">
        <v>57</v>
      </c>
      <c r="P48">
        <v>8</v>
      </c>
      <c r="Q48">
        <v>4.4000000000000004</v>
      </c>
      <c r="R48" t="b">
        <v>1</v>
      </c>
      <c r="S48" t="s">
        <v>30</v>
      </c>
      <c r="T48">
        <v>476</v>
      </c>
      <c r="U48" t="s">
        <v>65</v>
      </c>
      <c r="V48" t="s">
        <v>69</v>
      </c>
      <c r="W48" t="s">
        <v>93</v>
      </c>
    </row>
    <row r="49" spans="1:23">
      <c r="A49">
        <v>8934</v>
      </c>
      <c r="B49" t="s">
        <v>150</v>
      </c>
      <c r="C49" s="1" t="s">
        <v>151</v>
      </c>
      <c r="D49" s="1">
        <v>45424</v>
      </c>
      <c r="E49">
        <v>7.99</v>
      </c>
      <c r="F49">
        <v>22</v>
      </c>
      <c r="G49" t="s">
        <v>36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43</v>
      </c>
      <c r="N49" t="s">
        <v>75</v>
      </c>
      <c r="O49" t="s">
        <v>57</v>
      </c>
      <c r="P49">
        <v>99</v>
      </c>
      <c r="Q49">
        <v>3.3</v>
      </c>
      <c r="R49" t="b">
        <v>0</v>
      </c>
      <c r="S49" t="s">
        <v>30</v>
      </c>
      <c r="T49">
        <v>4114</v>
      </c>
      <c r="U49" t="s">
        <v>38</v>
      </c>
      <c r="V49" t="s">
        <v>59</v>
      </c>
      <c r="W49" t="s">
        <v>40</v>
      </c>
    </row>
    <row r="50" spans="1:23">
      <c r="A50">
        <v>1222</v>
      </c>
      <c r="B50" t="s">
        <v>152</v>
      </c>
      <c r="C50" s="1">
        <v>44935</v>
      </c>
      <c r="D50" s="1">
        <v>45516</v>
      </c>
      <c r="E50">
        <v>15.99</v>
      </c>
      <c r="F50">
        <v>382</v>
      </c>
      <c r="G50" t="s">
        <v>100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43</v>
      </c>
      <c r="N50" t="s">
        <v>28</v>
      </c>
      <c r="O50" t="s">
        <v>29</v>
      </c>
      <c r="P50">
        <v>63</v>
      </c>
      <c r="Q50">
        <v>4</v>
      </c>
      <c r="R50" t="b">
        <v>1</v>
      </c>
      <c r="S50" t="s">
        <v>30</v>
      </c>
      <c r="T50">
        <v>1581</v>
      </c>
      <c r="U50" t="s">
        <v>58</v>
      </c>
      <c r="V50" t="s">
        <v>32</v>
      </c>
      <c r="W50" t="s">
        <v>60</v>
      </c>
    </row>
    <row r="51" spans="1:23">
      <c r="A51">
        <v>5762</v>
      </c>
      <c r="B51" t="s">
        <v>153</v>
      </c>
      <c r="C51" s="1" t="s">
        <v>123</v>
      </c>
      <c r="D51" s="1">
        <v>45334</v>
      </c>
      <c r="E51">
        <v>11.99</v>
      </c>
      <c r="F51">
        <v>302</v>
      </c>
      <c r="G51" t="s">
        <v>73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92</v>
      </c>
      <c r="N51" t="s">
        <v>44</v>
      </c>
      <c r="O51" t="s">
        <v>45</v>
      </c>
      <c r="P51">
        <v>62</v>
      </c>
      <c r="Q51">
        <v>3.5</v>
      </c>
      <c r="R51" t="b">
        <v>1</v>
      </c>
      <c r="S51" t="s">
        <v>30</v>
      </c>
      <c r="T51">
        <v>1293</v>
      </c>
      <c r="U51" t="s">
        <v>65</v>
      </c>
      <c r="V51" t="s">
        <v>69</v>
      </c>
      <c r="W51" t="s">
        <v>60</v>
      </c>
    </row>
    <row r="52" spans="1:23">
      <c r="A52">
        <v>4066</v>
      </c>
      <c r="B52" t="s">
        <v>143</v>
      </c>
      <c r="C52" s="1" t="s">
        <v>154</v>
      </c>
      <c r="D52" s="1">
        <v>45638</v>
      </c>
      <c r="E52">
        <v>11.99</v>
      </c>
      <c r="F52">
        <v>76</v>
      </c>
      <c r="G52" t="s">
        <v>48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49</v>
      </c>
      <c r="N52" t="s">
        <v>56</v>
      </c>
      <c r="O52" t="s">
        <v>37</v>
      </c>
      <c r="P52">
        <v>50</v>
      </c>
      <c r="Q52">
        <v>4.8</v>
      </c>
      <c r="R52" t="b">
        <v>1</v>
      </c>
      <c r="S52" t="s">
        <v>30</v>
      </c>
      <c r="T52">
        <v>1744</v>
      </c>
      <c r="U52" t="s">
        <v>65</v>
      </c>
      <c r="V52" t="s">
        <v>59</v>
      </c>
      <c r="W52" t="s">
        <v>60</v>
      </c>
    </row>
    <row r="53" spans="1:23">
      <c r="A53">
        <v>6469</v>
      </c>
      <c r="B53" t="s">
        <v>98</v>
      </c>
      <c r="C53" s="1" t="s">
        <v>155</v>
      </c>
      <c r="D53" s="1" t="s">
        <v>156</v>
      </c>
      <c r="E53">
        <v>11.99</v>
      </c>
      <c r="F53">
        <v>125</v>
      </c>
      <c r="G53" t="s">
        <v>51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68</v>
      </c>
      <c r="N53" t="s">
        <v>28</v>
      </c>
      <c r="O53" t="s">
        <v>37</v>
      </c>
      <c r="P53">
        <v>65</v>
      </c>
      <c r="Q53">
        <v>4.8</v>
      </c>
      <c r="R53" t="b">
        <v>1</v>
      </c>
      <c r="S53" t="s">
        <v>30</v>
      </c>
      <c r="T53">
        <v>448</v>
      </c>
      <c r="U53" t="s">
        <v>65</v>
      </c>
      <c r="V53" t="s">
        <v>59</v>
      </c>
      <c r="W53" t="s">
        <v>33</v>
      </c>
    </row>
    <row r="54" spans="1:23">
      <c r="A54">
        <v>1364</v>
      </c>
      <c r="B54" t="s">
        <v>157</v>
      </c>
      <c r="C54" s="1" t="s">
        <v>158</v>
      </c>
      <c r="D54" s="1">
        <v>45334</v>
      </c>
      <c r="E54">
        <v>11.99</v>
      </c>
      <c r="F54">
        <v>113</v>
      </c>
      <c r="G54" t="s">
        <v>63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49</v>
      </c>
      <c r="N54" t="s">
        <v>56</v>
      </c>
      <c r="O54" t="s">
        <v>37</v>
      </c>
      <c r="P54">
        <v>96</v>
      </c>
      <c r="Q54">
        <v>4.9000000000000004</v>
      </c>
      <c r="R54" t="b">
        <v>1</v>
      </c>
      <c r="S54" t="s">
        <v>30</v>
      </c>
      <c r="T54">
        <v>3398</v>
      </c>
      <c r="U54" t="s">
        <v>65</v>
      </c>
      <c r="V54" t="s">
        <v>32</v>
      </c>
      <c r="W54" t="s">
        <v>33</v>
      </c>
    </row>
    <row r="55" spans="1:23">
      <c r="A55">
        <v>4197</v>
      </c>
      <c r="B55" t="s">
        <v>143</v>
      </c>
      <c r="C55" s="1" t="s">
        <v>159</v>
      </c>
      <c r="D55" s="1" t="s">
        <v>25</v>
      </c>
      <c r="E55">
        <v>15.99</v>
      </c>
      <c r="F55">
        <v>183</v>
      </c>
      <c r="G55" t="s">
        <v>100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43</v>
      </c>
      <c r="N55" t="s">
        <v>44</v>
      </c>
      <c r="O55" t="s">
        <v>29</v>
      </c>
      <c r="P55">
        <v>40</v>
      </c>
      <c r="Q55">
        <v>4.5999999999999996</v>
      </c>
      <c r="R55" t="b">
        <v>1</v>
      </c>
      <c r="S55" t="s">
        <v>30</v>
      </c>
      <c r="T55">
        <v>4691</v>
      </c>
      <c r="U55" t="s">
        <v>38</v>
      </c>
      <c r="V55" t="s">
        <v>69</v>
      </c>
      <c r="W55" t="s">
        <v>60</v>
      </c>
    </row>
    <row r="56" spans="1:23">
      <c r="A56">
        <v>9700</v>
      </c>
      <c r="B56" t="s">
        <v>160</v>
      </c>
      <c r="C56" s="1" t="s">
        <v>161</v>
      </c>
      <c r="D56" s="1" t="s">
        <v>90</v>
      </c>
      <c r="E56">
        <v>15.99</v>
      </c>
      <c r="F56">
        <v>272</v>
      </c>
      <c r="G56" t="s">
        <v>51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55</v>
      </c>
      <c r="N56" t="s">
        <v>75</v>
      </c>
      <c r="O56" t="s">
        <v>64</v>
      </c>
      <c r="P56">
        <v>94</v>
      </c>
      <c r="Q56">
        <v>4.5999999999999996</v>
      </c>
      <c r="R56" t="b">
        <v>1</v>
      </c>
      <c r="S56" t="s">
        <v>30</v>
      </c>
      <c r="T56">
        <v>4674</v>
      </c>
      <c r="U56" t="s">
        <v>65</v>
      </c>
      <c r="V56" t="s">
        <v>69</v>
      </c>
      <c r="W56" t="s">
        <v>93</v>
      </c>
    </row>
    <row r="57" spans="1:23">
      <c r="A57">
        <v>5644</v>
      </c>
      <c r="B57" t="s">
        <v>126</v>
      </c>
      <c r="C57" s="1">
        <v>45447</v>
      </c>
      <c r="D57" s="1">
        <v>45363</v>
      </c>
      <c r="E57">
        <v>11.99</v>
      </c>
      <c r="F57">
        <v>19</v>
      </c>
      <c r="G57" t="s">
        <v>73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92</v>
      </c>
      <c r="N57" t="s">
        <v>28</v>
      </c>
      <c r="O57" t="s">
        <v>64</v>
      </c>
      <c r="P57">
        <v>13</v>
      </c>
      <c r="Q57">
        <v>4.4000000000000004</v>
      </c>
      <c r="R57" t="b">
        <v>0</v>
      </c>
      <c r="S57" t="s">
        <v>30</v>
      </c>
      <c r="T57">
        <v>3641</v>
      </c>
      <c r="U57" t="s">
        <v>76</v>
      </c>
      <c r="V57" t="s">
        <v>59</v>
      </c>
      <c r="W57" t="s">
        <v>93</v>
      </c>
    </row>
    <row r="58" spans="1:23">
      <c r="A58">
        <v>5420</v>
      </c>
      <c r="B58" t="s">
        <v>162</v>
      </c>
      <c r="C58" s="1" t="s">
        <v>163</v>
      </c>
      <c r="D58" s="1">
        <v>45303</v>
      </c>
      <c r="E58">
        <v>11.99</v>
      </c>
      <c r="F58">
        <v>204</v>
      </c>
      <c r="G58" t="s">
        <v>36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55</v>
      </c>
      <c r="N58" t="s">
        <v>56</v>
      </c>
      <c r="O58" t="s">
        <v>45</v>
      </c>
      <c r="P58">
        <v>58</v>
      </c>
      <c r="Q58">
        <v>4.4000000000000004</v>
      </c>
      <c r="R58" t="b">
        <v>0</v>
      </c>
      <c r="S58" t="s">
        <v>30</v>
      </c>
      <c r="T58">
        <v>1765</v>
      </c>
      <c r="U58" t="s">
        <v>31</v>
      </c>
      <c r="V58" t="s">
        <v>69</v>
      </c>
      <c r="W58" t="s">
        <v>33</v>
      </c>
    </row>
    <row r="59" spans="1:23">
      <c r="A59">
        <v>7560</v>
      </c>
      <c r="B59" t="s">
        <v>164</v>
      </c>
      <c r="C59" s="1" t="s">
        <v>165</v>
      </c>
      <c r="D59" s="1">
        <v>45363</v>
      </c>
      <c r="E59">
        <v>7.99</v>
      </c>
      <c r="F59">
        <v>345</v>
      </c>
      <c r="G59" t="s">
        <v>63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27</v>
      </c>
      <c r="N59" t="s">
        <v>56</v>
      </c>
      <c r="O59" t="s">
        <v>29</v>
      </c>
      <c r="P59">
        <v>40</v>
      </c>
      <c r="Q59">
        <v>4.9000000000000004</v>
      </c>
      <c r="R59" t="b">
        <v>1</v>
      </c>
      <c r="S59" t="s">
        <v>30</v>
      </c>
      <c r="T59">
        <v>3462</v>
      </c>
      <c r="U59" t="s">
        <v>31</v>
      </c>
      <c r="V59" t="s">
        <v>79</v>
      </c>
      <c r="W59" t="s">
        <v>60</v>
      </c>
    </row>
    <row r="60" spans="1:23">
      <c r="A60">
        <v>9644</v>
      </c>
      <c r="B60" t="s">
        <v>106</v>
      </c>
      <c r="C60" s="1">
        <v>45513</v>
      </c>
      <c r="D60" s="1" t="s">
        <v>87</v>
      </c>
      <c r="E60">
        <v>7.99</v>
      </c>
      <c r="F60">
        <v>294</v>
      </c>
      <c r="G60" t="s">
        <v>73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92</v>
      </c>
      <c r="N60" t="s">
        <v>28</v>
      </c>
      <c r="O60" t="s">
        <v>29</v>
      </c>
      <c r="P60">
        <v>82</v>
      </c>
      <c r="Q60">
        <v>3.9</v>
      </c>
      <c r="R60" t="b">
        <v>1</v>
      </c>
      <c r="S60" t="s">
        <v>30</v>
      </c>
      <c r="T60">
        <v>790</v>
      </c>
      <c r="U60" t="s">
        <v>38</v>
      </c>
      <c r="V60" t="s">
        <v>59</v>
      </c>
      <c r="W60" t="s">
        <v>60</v>
      </c>
    </row>
    <row r="61" spans="1:23">
      <c r="A61">
        <v>7239</v>
      </c>
      <c r="B61" t="s">
        <v>166</v>
      </c>
      <c r="C61" s="1" t="s">
        <v>167</v>
      </c>
      <c r="D61" s="1" t="s">
        <v>168</v>
      </c>
      <c r="E61">
        <v>15.99</v>
      </c>
      <c r="F61">
        <v>318</v>
      </c>
      <c r="G61" t="s">
        <v>26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43</v>
      </c>
      <c r="N61" t="s">
        <v>28</v>
      </c>
      <c r="O61" t="s">
        <v>29</v>
      </c>
      <c r="P61">
        <v>22</v>
      </c>
      <c r="Q61">
        <v>4.0999999999999996</v>
      </c>
      <c r="R61" t="b">
        <v>0</v>
      </c>
      <c r="S61" t="s">
        <v>30</v>
      </c>
      <c r="T61">
        <v>4732</v>
      </c>
      <c r="U61" t="s">
        <v>65</v>
      </c>
      <c r="V61" t="s">
        <v>39</v>
      </c>
      <c r="W61" t="s">
        <v>93</v>
      </c>
    </row>
    <row r="62" spans="1:23">
      <c r="A62">
        <v>6415</v>
      </c>
      <c r="B62" t="s">
        <v>169</v>
      </c>
      <c r="C62" s="1">
        <v>45270</v>
      </c>
      <c r="D62" s="1" t="s">
        <v>54</v>
      </c>
      <c r="E62">
        <v>11.99</v>
      </c>
      <c r="F62">
        <v>396</v>
      </c>
      <c r="G62" t="s">
        <v>26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49</v>
      </c>
      <c r="N62" t="s">
        <v>75</v>
      </c>
      <c r="O62" t="s">
        <v>29</v>
      </c>
      <c r="P62">
        <v>61</v>
      </c>
      <c r="Q62">
        <v>3.9</v>
      </c>
      <c r="R62" t="b">
        <v>0</v>
      </c>
      <c r="S62" t="s">
        <v>30</v>
      </c>
      <c r="T62">
        <v>4599</v>
      </c>
      <c r="U62" t="s">
        <v>31</v>
      </c>
      <c r="V62" t="s">
        <v>32</v>
      </c>
      <c r="W62" t="s">
        <v>93</v>
      </c>
    </row>
    <row r="63" spans="1:23">
      <c r="A63">
        <v>9020</v>
      </c>
      <c r="B63" t="s">
        <v>170</v>
      </c>
      <c r="C63" s="1">
        <v>44987</v>
      </c>
      <c r="D63" s="1">
        <v>45363</v>
      </c>
      <c r="E63">
        <v>11.99</v>
      </c>
      <c r="F63">
        <v>455</v>
      </c>
      <c r="G63" t="s">
        <v>63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55</v>
      </c>
      <c r="N63" t="s">
        <v>56</v>
      </c>
      <c r="O63" t="s">
        <v>37</v>
      </c>
      <c r="P63">
        <v>15</v>
      </c>
      <c r="Q63">
        <v>3.9</v>
      </c>
      <c r="R63" t="b">
        <v>1</v>
      </c>
      <c r="S63" t="s">
        <v>30</v>
      </c>
      <c r="T63">
        <v>965</v>
      </c>
      <c r="U63" t="s">
        <v>58</v>
      </c>
      <c r="V63" t="s">
        <v>39</v>
      </c>
      <c r="W63" t="s">
        <v>60</v>
      </c>
    </row>
    <row r="64" spans="1:23">
      <c r="A64">
        <v>2324</v>
      </c>
      <c r="B64" t="s">
        <v>171</v>
      </c>
      <c r="C64" s="1" t="s">
        <v>156</v>
      </c>
      <c r="D64" s="1">
        <v>45608</v>
      </c>
      <c r="E64">
        <v>7.99</v>
      </c>
      <c r="F64">
        <v>175</v>
      </c>
      <c r="G64" t="s">
        <v>73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27</v>
      </c>
      <c r="N64" t="s">
        <v>56</v>
      </c>
      <c r="O64" t="s">
        <v>64</v>
      </c>
      <c r="P64">
        <v>95</v>
      </c>
      <c r="Q64">
        <v>4</v>
      </c>
      <c r="R64" t="b">
        <v>0</v>
      </c>
      <c r="S64" t="s">
        <v>30</v>
      </c>
      <c r="T64">
        <v>1155</v>
      </c>
      <c r="U64" t="s">
        <v>76</v>
      </c>
      <c r="V64" t="s">
        <v>32</v>
      </c>
      <c r="W64" t="s">
        <v>33</v>
      </c>
    </row>
    <row r="65" spans="1:23">
      <c r="A65">
        <v>1354</v>
      </c>
      <c r="B65" t="s">
        <v>172</v>
      </c>
      <c r="C65" s="1" t="s">
        <v>173</v>
      </c>
      <c r="D65" s="1">
        <v>45485</v>
      </c>
      <c r="E65">
        <v>7.99</v>
      </c>
      <c r="F65">
        <v>36</v>
      </c>
      <c r="G65" t="s">
        <v>48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55</v>
      </c>
      <c r="N65" t="s">
        <v>28</v>
      </c>
      <c r="O65" t="s">
        <v>57</v>
      </c>
      <c r="P65">
        <v>39</v>
      </c>
      <c r="Q65">
        <v>4.9000000000000004</v>
      </c>
      <c r="R65" t="b">
        <v>0</v>
      </c>
      <c r="S65" t="s">
        <v>30</v>
      </c>
      <c r="T65">
        <v>1110</v>
      </c>
      <c r="U65" t="s">
        <v>76</v>
      </c>
      <c r="V65" t="s">
        <v>59</v>
      </c>
      <c r="W65" t="s">
        <v>93</v>
      </c>
    </row>
    <row r="66" spans="1:23">
      <c r="A66">
        <v>4019</v>
      </c>
      <c r="B66" t="s">
        <v>174</v>
      </c>
      <c r="C66" s="1" t="s">
        <v>175</v>
      </c>
      <c r="D66" s="1">
        <v>45455</v>
      </c>
      <c r="E66">
        <v>15.99</v>
      </c>
      <c r="F66">
        <v>349</v>
      </c>
      <c r="G66" t="s">
        <v>51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43</v>
      </c>
      <c r="N66" t="s">
        <v>56</v>
      </c>
      <c r="O66" t="s">
        <v>45</v>
      </c>
      <c r="P66">
        <v>32</v>
      </c>
      <c r="Q66">
        <v>3.3</v>
      </c>
      <c r="R66" t="b">
        <v>0</v>
      </c>
      <c r="S66" t="s">
        <v>30</v>
      </c>
      <c r="T66">
        <v>1911</v>
      </c>
      <c r="U66" t="s">
        <v>58</v>
      </c>
      <c r="V66" t="s">
        <v>79</v>
      </c>
      <c r="W66" t="s">
        <v>93</v>
      </c>
    </row>
    <row r="67" spans="1:23">
      <c r="A67">
        <v>6178</v>
      </c>
      <c r="B67" t="s">
        <v>176</v>
      </c>
      <c r="C67" s="1">
        <v>44929</v>
      </c>
      <c r="D67" s="1">
        <v>45547</v>
      </c>
      <c r="E67">
        <v>11.99</v>
      </c>
      <c r="F67">
        <v>262</v>
      </c>
      <c r="G67" t="s">
        <v>51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55</v>
      </c>
      <c r="N67" t="s">
        <v>56</v>
      </c>
      <c r="O67" t="s">
        <v>78</v>
      </c>
      <c r="P67">
        <v>24</v>
      </c>
      <c r="Q67">
        <v>3</v>
      </c>
      <c r="R67" t="b">
        <v>0</v>
      </c>
      <c r="S67" t="s">
        <v>30</v>
      </c>
      <c r="T67">
        <v>1721</v>
      </c>
      <c r="U67" t="s">
        <v>31</v>
      </c>
      <c r="V67" t="s">
        <v>59</v>
      </c>
      <c r="W67" t="s">
        <v>60</v>
      </c>
    </row>
    <row r="68" spans="1:23">
      <c r="A68">
        <v>8673</v>
      </c>
      <c r="B68" t="s">
        <v>135</v>
      </c>
      <c r="C68" s="1" t="s">
        <v>175</v>
      </c>
      <c r="D68" s="1">
        <v>45608</v>
      </c>
      <c r="E68">
        <v>7.99</v>
      </c>
      <c r="F68">
        <v>378</v>
      </c>
      <c r="G68" t="s">
        <v>26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49</v>
      </c>
      <c r="N68" t="s">
        <v>44</v>
      </c>
      <c r="O68" t="s">
        <v>57</v>
      </c>
      <c r="P68">
        <v>11</v>
      </c>
      <c r="Q68">
        <v>3.3</v>
      </c>
      <c r="R68" t="b">
        <v>0</v>
      </c>
      <c r="S68" t="s">
        <v>30</v>
      </c>
      <c r="T68">
        <v>353</v>
      </c>
      <c r="U68" t="s">
        <v>58</v>
      </c>
      <c r="V68" t="s">
        <v>79</v>
      </c>
      <c r="W68" t="s">
        <v>60</v>
      </c>
    </row>
    <row r="69" spans="1:23">
      <c r="A69">
        <v>8250</v>
      </c>
      <c r="B69" t="s">
        <v>177</v>
      </c>
      <c r="C69" s="1" t="s">
        <v>178</v>
      </c>
      <c r="D69" s="1" t="s">
        <v>168</v>
      </c>
      <c r="E69">
        <v>15.99</v>
      </c>
      <c r="F69">
        <v>469</v>
      </c>
      <c r="G69" t="s">
        <v>51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68</v>
      </c>
      <c r="N69" t="s">
        <v>75</v>
      </c>
      <c r="O69" t="s">
        <v>78</v>
      </c>
      <c r="P69">
        <v>88</v>
      </c>
      <c r="Q69">
        <v>4.8</v>
      </c>
      <c r="R69" t="b">
        <v>1</v>
      </c>
      <c r="S69" t="s">
        <v>30</v>
      </c>
      <c r="T69">
        <v>423</v>
      </c>
      <c r="U69" t="s">
        <v>76</v>
      </c>
      <c r="V69" t="s">
        <v>32</v>
      </c>
      <c r="W69" t="s">
        <v>93</v>
      </c>
    </row>
    <row r="70" spans="1:23">
      <c r="A70">
        <v>1609</v>
      </c>
      <c r="B70" t="s">
        <v>179</v>
      </c>
      <c r="C70" s="1" t="s">
        <v>180</v>
      </c>
      <c r="D70" s="1" t="s">
        <v>72</v>
      </c>
      <c r="E70">
        <v>7.99</v>
      </c>
      <c r="F70">
        <v>87</v>
      </c>
      <c r="G70" t="s">
        <v>63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43</v>
      </c>
      <c r="N70" t="s">
        <v>56</v>
      </c>
      <c r="O70" t="s">
        <v>37</v>
      </c>
      <c r="P70">
        <v>57</v>
      </c>
      <c r="Q70">
        <v>4.2</v>
      </c>
      <c r="R70" t="b">
        <v>0</v>
      </c>
      <c r="S70" t="s">
        <v>30</v>
      </c>
      <c r="T70">
        <v>344</v>
      </c>
      <c r="U70" t="s">
        <v>58</v>
      </c>
      <c r="V70" t="s">
        <v>79</v>
      </c>
      <c r="W70" t="s">
        <v>60</v>
      </c>
    </row>
    <row r="71" spans="1:23">
      <c r="A71">
        <v>3806</v>
      </c>
      <c r="B71" t="s">
        <v>181</v>
      </c>
      <c r="C71" s="1" t="s">
        <v>182</v>
      </c>
      <c r="D71" s="1">
        <v>45638</v>
      </c>
      <c r="E71">
        <v>15.99</v>
      </c>
      <c r="F71">
        <v>471</v>
      </c>
      <c r="G71" t="s">
        <v>51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43</v>
      </c>
      <c r="N71" t="s">
        <v>28</v>
      </c>
      <c r="O71" t="s">
        <v>45</v>
      </c>
      <c r="P71">
        <v>44</v>
      </c>
      <c r="Q71">
        <v>3.6</v>
      </c>
      <c r="R71" t="b">
        <v>1</v>
      </c>
      <c r="S71" t="s">
        <v>30</v>
      </c>
      <c r="T71">
        <v>4117</v>
      </c>
      <c r="U71" t="s">
        <v>76</v>
      </c>
      <c r="V71" t="s">
        <v>79</v>
      </c>
      <c r="W71" t="s">
        <v>60</v>
      </c>
    </row>
    <row r="72" spans="1:23">
      <c r="A72">
        <v>7973</v>
      </c>
      <c r="B72" t="s">
        <v>183</v>
      </c>
      <c r="C72" s="1">
        <v>45301</v>
      </c>
      <c r="D72" s="1">
        <v>45363</v>
      </c>
      <c r="E72">
        <v>7.99</v>
      </c>
      <c r="F72">
        <v>469</v>
      </c>
      <c r="G72" t="s">
        <v>100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92</v>
      </c>
      <c r="N72" t="s">
        <v>75</v>
      </c>
      <c r="O72" t="s">
        <v>29</v>
      </c>
      <c r="P72">
        <v>33</v>
      </c>
      <c r="Q72">
        <v>4.5999999999999996</v>
      </c>
      <c r="R72" t="b">
        <v>1</v>
      </c>
      <c r="S72" t="s">
        <v>30</v>
      </c>
      <c r="T72">
        <v>3983</v>
      </c>
      <c r="U72" t="s">
        <v>58</v>
      </c>
      <c r="V72" t="s">
        <v>79</v>
      </c>
      <c r="W72" t="s">
        <v>40</v>
      </c>
    </row>
    <row r="73" spans="1:23">
      <c r="A73">
        <v>7948</v>
      </c>
      <c r="B73" t="s">
        <v>184</v>
      </c>
      <c r="C73" s="1" t="s">
        <v>185</v>
      </c>
      <c r="D73" s="1" t="s">
        <v>109</v>
      </c>
      <c r="E73">
        <v>15.99</v>
      </c>
      <c r="F73">
        <v>298</v>
      </c>
      <c r="G73" t="s">
        <v>48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74</v>
      </c>
      <c r="N73" t="s">
        <v>28</v>
      </c>
      <c r="O73" t="s">
        <v>57</v>
      </c>
      <c r="P73">
        <v>68</v>
      </c>
      <c r="Q73">
        <v>4.4000000000000004</v>
      </c>
      <c r="R73" t="b">
        <v>0</v>
      </c>
      <c r="S73" t="s">
        <v>30</v>
      </c>
      <c r="T73">
        <v>3941</v>
      </c>
      <c r="U73" t="s">
        <v>65</v>
      </c>
      <c r="V73" t="s">
        <v>32</v>
      </c>
      <c r="W73" t="s">
        <v>93</v>
      </c>
    </row>
    <row r="74" spans="1:23">
      <c r="A74">
        <v>3195</v>
      </c>
      <c r="B74" t="s">
        <v>186</v>
      </c>
      <c r="C74" s="1" t="s">
        <v>187</v>
      </c>
      <c r="D74" s="1" t="s">
        <v>72</v>
      </c>
      <c r="E74">
        <v>11.99</v>
      </c>
      <c r="F74">
        <v>331</v>
      </c>
      <c r="G74" t="s">
        <v>26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74</v>
      </c>
      <c r="N74" t="s">
        <v>44</v>
      </c>
      <c r="O74" t="s">
        <v>57</v>
      </c>
      <c r="P74">
        <v>80</v>
      </c>
      <c r="Q74">
        <v>3.7</v>
      </c>
      <c r="R74" t="b">
        <v>0</v>
      </c>
      <c r="S74" t="s">
        <v>30</v>
      </c>
      <c r="T74">
        <v>3085</v>
      </c>
      <c r="U74" t="s">
        <v>31</v>
      </c>
      <c r="V74" t="s">
        <v>32</v>
      </c>
      <c r="W74" t="s">
        <v>60</v>
      </c>
    </row>
    <row r="75" spans="1:23">
      <c r="A75">
        <v>6285</v>
      </c>
      <c r="B75" t="s">
        <v>188</v>
      </c>
      <c r="C75" s="1" t="s">
        <v>189</v>
      </c>
      <c r="D75" s="1" t="s">
        <v>90</v>
      </c>
      <c r="E75">
        <v>11.99</v>
      </c>
      <c r="F75">
        <v>238</v>
      </c>
      <c r="G75" t="s">
        <v>51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27</v>
      </c>
      <c r="N75" t="s">
        <v>28</v>
      </c>
      <c r="O75" t="s">
        <v>37</v>
      </c>
      <c r="P75">
        <v>94</v>
      </c>
      <c r="Q75">
        <v>4.4000000000000004</v>
      </c>
      <c r="R75" t="b">
        <v>1</v>
      </c>
      <c r="S75" t="s">
        <v>30</v>
      </c>
      <c r="T75">
        <v>48</v>
      </c>
      <c r="U75" t="s">
        <v>58</v>
      </c>
      <c r="V75" t="s">
        <v>32</v>
      </c>
      <c r="W75" t="s">
        <v>40</v>
      </c>
    </row>
    <row r="76" spans="1:23">
      <c r="A76">
        <v>4303</v>
      </c>
      <c r="B76" t="s">
        <v>179</v>
      </c>
      <c r="C76" s="1">
        <v>45086</v>
      </c>
      <c r="D76" s="1" t="s">
        <v>72</v>
      </c>
      <c r="E76">
        <v>7.99</v>
      </c>
      <c r="F76">
        <v>231</v>
      </c>
      <c r="G76" t="s">
        <v>73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74</v>
      </c>
      <c r="N76" t="s">
        <v>75</v>
      </c>
      <c r="O76" t="s">
        <v>45</v>
      </c>
      <c r="P76">
        <v>30</v>
      </c>
      <c r="Q76">
        <v>3.5</v>
      </c>
      <c r="R76" t="b">
        <v>0</v>
      </c>
      <c r="S76" t="s">
        <v>30</v>
      </c>
      <c r="T76">
        <v>1520</v>
      </c>
      <c r="U76" t="s">
        <v>58</v>
      </c>
      <c r="V76" t="s">
        <v>79</v>
      </c>
      <c r="W76" t="s">
        <v>40</v>
      </c>
    </row>
    <row r="77" spans="1:23">
      <c r="A77">
        <v>7751</v>
      </c>
      <c r="B77" t="s">
        <v>190</v>
      </c>
      <c r="C77" s="1">
        <v>45511</v>
      </c>
      <c r="D77" s="1" t="s">
        <v>109</v>
      </c>
      <c r="E77">
        <v>11.99</v>
      </c>
      <c r="F77">
        <v>457</v>
      </c>
      <c r="G77" t="s">
        <v>48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43</v>
      </c>
      <c r="N77" t="s">
        <v>28</v>
      </c>
      <c r="O77" t="s">
        <v>45</v>
      </c>
      <c r="P77">
        <v>53</v>
      </c>
      <c r="Q77">
        <v>3.6</v>
      </c>
      <c r="R77" t="b">
        <v>1</v>
      </c>
      <c r="S77" t="s">
        <v>30</v>
      </c>
      <c r="T77">
        <v>935</v>
      </c>
      <c r="U77" t="s">
        <v>31</v>
      </c>
      <c r="V77" t="s">
        <v>79</v>
      </c>
      <c r="W77" t="s">
        <v>40</v>
      </c>
    </row>
    <row r="78" spans="1:23">
      <c r="A78">
        <v>7813</v>
      </c>
      <c r="B78" t="s">
        <v>191</v>
      </c>
      <c r="C78" s="1" t="s">
        <v>192</v>
      </c>
      <c r="D78" s="1" t="s">
        <v>134</v>
      </c>
      <c r="E78">
        <v>15.99</v>
      </c>
      <c r="F78">
        <v>373</v>
      </c>
      <c r="G78" t="s">
        <v>36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55</v>
      </c>
      <c r="N78" t="s">
        <v>75</v>
      </c>
      <c r="O78" t="s">
        <v>57</v>
      </c>
      <c r="P78">
        <v>18</v>
      </c>
      <c r="Q78">
        <v>3.2</v>
      </c>
      <c r="R78" t="b">
        <v>1</v>
      </c>
      <c r="S78" t="s">
        <v>30</v>
      </c>
      <c r="T78">
        <v>4641</v>
      </c>
      <c r="U78" t="s">
        <v>58</v>
      </c>
      <c r="V78" t="s">
        <v>79</v>
      </c>
      <c r="W78" t="s">
        <v>40</v>
      </c>
    </row>
    <row r="79" spans="1:23">
      <c r="A79">
        <v>9028</v>
      </c>
      <c r="B79" t="s">
        <v>193</v>
      </c>
      <c r="C79" s="1">
        <v>45089</v>
      </c>
      <c r="D79" s="1" t="s">
        <v>105</v>
      </c>
      <c r="E79">
        <v>15.99</v>
      </c>
      <c r="F79">
        <v>11</v>
      </c>
      <c r="G79" t="s">
        <v>26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27</v>
      </c>
      <c r="N79" t="s">
        <v>28</v>
      </c>
      <c r="O79" t="s">
        <v>78</v>
      </c>
      <c r="P79">
        <v>11</v>
      </c>
      <c r="Q79">
        <v>4</v>
      </c>
      <c r="R79" t="b">
        <v>1</v>
      </c>
      <c r="S79" t="s">
        <v>30</v>
      </c>
      <c r="T79">
        <v>2941</v>
      </c>
      <c r="U79" t="s">
        <v>31</v>
      </c>
      <c r="V79" t="s">
        <v>39</v>
      </c>
      <c r="W79" t="s">
        <v>33</v>
      </c>
    </row>
    <row r="80" spans="1:23">
      <c r="A80">
        <v>6109</v>
      </c>
      <c r="B80" t="s">
        <v>194</v>
      </c>
      <c r="C80" s="1" t="s">
        <v>195</v>
      </c>
      <c r="D80" s="1">
        <v>45455</v>
      </c>
      <c r="E80">
        <v>15.99</v>
      </c>
      <c r="F80">
        <v>425</v>
      </c>
      <c r="G80" t="s">
        <v>100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74</v>
      </c>
      <c r="N80" t="s">
        <v>75</v>
      </c>
      <c r="O80" t="s">
        <v>64</v>
      </c>
      <c r="P80">
        <v>36</v>
      </c>
      <c r="Q80">
        <v>4</v>
      </c>
      <c r="R80" t="b">
        <v>1</v>
      </c>
      <c r="S80" t="s">
        <v>30</v>
      </c>
      <c r="T80">
        <v>1325</v>
      </c>
      <c r="U80" t="s">
        <v>76</v>
      </c>
      <c r="V80" t="s">
        <v>59</v>
      </c>
      <c r="W80" t="s">
        <v>33</v>
      </c>
    </row>
    <row r="81" spans="1:23">
      <c r="A81">
        <v>2565</v>
      </c>
      <c r="B81" t="s">
        <v>196</v>
      </c>
      <c r="C81" s="1" t="s">
        <v>89</v>
      </c>
      <c r="D81" s="1" t="s">
        <v>103</v>
      </c>
      <c r="E81">
        <v>7.99</v>
      </c>
      <c r="F81">
        <v>231</v>
      </c>
      <c r="G81" t="s">
        <v>73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68</v>
      </c>
      <c r="N81" t="s">
        <v>56</v>
      </c>
      <c r="O81" t="s">
        <v>78</v>
      </c>
      <c r="P81">
        <v>73</v>
      </c>
      <c r="Q81">
        <v>3.4</v>
      </c>
      <c r="R81" t="b">
        <v>0</v>
      </c>
      <c r="S81" t="s">
        <v>30</v>
      </c>
      <c r="T81">
        <v>4465</v>
      </c>
      <c r="U81" t="s">
        <v>76</v>
      </c>
      <c r="V81" t="s">
        <v>79</v>
      </c>
      <c r="W81" t="s">
        <v>33</v>
      </c>
    </row>
    <row r="82" spans="1:23">
      <c r="A82">
        <v>7551</v>
      </c>
      <c r="B82" t="s">
        <v>197</v>
      </c>
      <c r="C82" s="1" t="s">
        <v>198</v>
      </c>
      <c r="D82" s="1">
        <v>45334</v>
      </c>
      <c r="E82">
        <v>15.99</v>
      </c>
      <c r="F82">
        <v>483</v>
      </c>
      <c r="G82" t="s">
        <v>36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27</v>
      </c>
      <c r="N82" t="s">
        <v>75</v>
      </c>
      <c r="O82" t="s">
        <v>78</v>
      </c>
      <c r="P82">
        <v>71</v>
      </c>
      <c r="Q82">
        <v>4.4000000000000004</v>
      </c>
      <c r="R82" t="b">
        <v>1</v>
      </c>
      <c r="S82" t="s">
        <v>30</v>
      </c>
      <c r="T82">
        <v>3517</v>
      </c>
      <c r="U82" t="s">
        <v>31</v>
      </c>
      <c r="V82" t="s">
        <v>39</v>
      </c>
      <c r="W82" t="s">
        <v>40</v>
      </c>
    </row>
    <row r="83" spans="1:23">
      <c r="A83">
        <v>6398</v>
      </c>
      <c r="B83" t="s">
        <v>199</v>
      </c>
      <c r="C83" s="1" t="s">
        <v>200</v>
      </c>
      <c r="D83" s="1">
        <v>45485</v>
      </c>
      <c r="E83">
        <v>7.99</v>
      </c>
      <c r="F83">
        <v>55</v>
      </c>
      <c r="G83" t="s">
        <v>100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49</v>
      </c>
      <c r="N83" t="s">
        <v>28</v>
      </c>
      <c r="O83" t="s">
        <v>45</v>
      </c>
      <c r="P83">
        <v>48</v>
      </c>
      <c r="Q83">
        <v>3.7</v>
      </c>
      <c r="R83" t="b">
        <v>0</v>
      </c>
      <c r="S83" t="s">
        <v>30</v>
      </c>
      <c r="T83">
        <v>1672</v>
      </c>
      <c r="U83" t="s">
        <v>58</v>
      </c>
      <c r="V83" t="s">
        <v>69</v>
      </c>
      <c r="W83" t="s">
        <v>33</v>
      </c>
    </row>
    <row r="84" spans="1:23">
      <c r="A84">
        <v>4982</v>
      </c>
      <c r="B84" t="s">
        <v>201</v>
      </c>
      <c r="C84" s="1" t="s">
        <v>111</v>
      </c>
      <c r="D84" s="1">
        <v>45638</v>
      </c>
      <c r="E84">
        <v>11.99</v>
      </c>
      <c r="F84">
        <v>375</v>
      </c>
      <c r="G84" t="s">
        <v>36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43</v>
      </c>
      <c r="N84" t="s">
        <v>28</v>
      </c>
      <c r="O84" t="s">
        <v>29</v>
      </c>
      <c r="P84">
        <v>73</v>
      </c>
      <c r="Q84">
        <v>4.8</v>
      </c>
      <c r="R84" t="b">
        <v>1</v>
      </c>
      <c r="S84" t="s">
        <v>30</v>
      </c>
      <c r="T84">
        <v>2164</v>
      </c>
      <c r="U84" t="s">
        <v>76</v>
      </c>
      <c r="V84" t="s">
        <v>39</v>
      </c>
      <c r="W84" t="s">
        <v>93</v>
      </c>
    </row>
    <row r="85" spans="1:23">
      <c r="A85">
        <v>8108</v>
      </c>
      <c r="B85" t="s">
        <v>202</v>
      </c>
      <c r="C85" s="1" t="s">
        <v>203</v>
      </c>
      <c r="D85" s="1" t="s">
        <v>90</v>
      </c>
      <c r="E85">
        <v>11.99</v>
      </c>
      <c r="F85">
        <v>336</v>
      </c>
      <c r="G85" t="s">
        <v>73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43</v>
      </c>
      <c r="N85" t="s">
        <v>75</v>
      </c>
      <c r="O85" t="s">
        <v>37</v>
      </c>
      <c r="P85">
        <v>64</v>
      </c>
      <c r="Q85">
        <v>5</v>
      </c>
      <c r="R85" t="b">
        <v>0</v>
      </c>
      <c r="S85" t="s">
        <v>30</v>
      </c>
      <c r="T85">
        <v>3663</v>
      </c>
      <c r="U85" t="s">
        <v>31</v>
      </c>
      <c r="V85" t="s">
        <v>59</v>
      </c>
      <c r="W85" t="s">
        <v>40</v>
      </c>
    </row>
    <row r="86" spans="1:23">
      <c r="A86">
        <v>6779</v>
      </c>
      <c r="B86" t="s">
        <v>204</v>
      </c>
      <c r="C86" s="1" t="s">
        <v>205</v>
      </c>
      <c r="D86" s="1">
        <v>45363</v>
      </c>
      <c r="E86">
        <v>7.99</v>
      </c>
      <c r="F86">
        <v>196</v>
      </c>
      <c r="G86" t="s">
        <v>100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68</v>
      </c>
      <c r="N86" t="s">
        <v>28</v>
      </c>
      <c r="O86" t="s">
        <v>45</v>
      </c>
      <c r="P86">
        <v>3</v>
      </c>
      <c r="Q86">
        <v>3.1</v>
      </c>
      <c r="R86" t="b">
        <v>1</v>
      </c>
      <c r="S86" t="s">
        <v>30</v>
      </c>
      <c r="T86">
        <v>2845</v>
      </c>
      <c r="U86" t="s">
        <v>31</v>
      </c>
      <c r="V86" t="s">
        <v>69</v>
      </c>
      <c r="W86" t="s">
        <v>93</v>
      </c>
    </row>
    <row r="87" spans="1:23">
      <c r="A87">
        <v>1169</v>
      </c>
      <c r="B87" t="s">
        <v>157</v>
      </c>
      <c r="C87" s="1" t="s">
        <v>206</v>
      </c>
      <c r="D87" s="1">
        <v>45363</v>
      </c>
      <c r="E87">
        <v>11.99</v>
      </c>
      <c r="F87">
        <v>285</v>
      </c>
      <c r="G87" t="s">
        <v>36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68</v>
      </c>
      <c r="N87" t="s">
        <v>56</v>
      </c>
      <c r="O87" t="s">
        <v>57</v>
      </c>
      <c r="P87">
        <v>11</v>
      </c>
      <c r="Q87">
        <v>3.7</v>
      </c>
      <c r="R87" t="b">
        <v>0</v>
      </c>
      <c r="S87" t="s">
        <v>30</v>
      </c>
      <c r="T87">
        <v>2390</v>
      </c>
      <c r="U87" t="s">
        <v>65</v>
      </c>
      <c r="V87" t="s">
        <v>59</v>
      </c>
      <c r="W87" t="s">
        <v>60</v>
      </c>
    </row>
    <row r="88" spans="1:23">
      <c r="A88">
        <v>5067</v>
      </c>
      <c r="B88" t="s">
        <v>207</v>
      </c>
      <c r="C88" s="1" t="s">
        <v>208</v>
      </c>
      <c r="D88" s="1" t="s">
        <v>99</v>
      </c>
      <c r="E88">
        <v>7.99</v>
      </c>
      <c r="F88">
        <v>155</v>
      </c>
      <c r="G88" t="s">
        <v>51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27</v>
      </c>
      <c r="N88" t="s">
        <v>75</v>
      </c>
      <c r="O88" t="s">
        <v>78</v>
      </c>
      <c r="P88">
        <v>66</v>
      </c>
      <c r="Q88">
        <v>3.4</v>
      </c>
      <c r="R88" t="b">
        <v>0</v>
      </c>
      <c r="S88" t="s">
        <v>30</v>
      </c>
      <c r="T88">
        <v>234</v>
      </c>
      <c r="U88" t="s">
        <v>31</v>
      </c>
      <c r="V88" t="s">
        <v>79</v>
      </c>
      <c r="W88" t="s">
        <v>93</v>
      </c>
    </row>
    <row r="89" spans="1:23">
      <c r="A89">
        <v>5299</v>
      </c>
      <c r="B89" t="s">
        <v>209</v>
      </c>
      <c r="C89" s="1" t="s">
        <v>210</v>
      </c>
      <c r="D89" s="1">
        <v>45334</v>
      </c>
      <c r="E89">
        <v>7.99</v>
      </c>
      <c r="F89">
        <v>275</v>
      </c>
      <c r="G89" t="s">
        <v>73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74</v>
      </c>
      <c r="N89" t="s">
        <v>44</v>
      </c>
      <c r="O89" t="s">
        <v>45</v>
      </c>
      <c r="P89">
        <v>45</v>
      </c>
      <c r="Q89">
        <v>3.9</v>
      </c>
      <c r="R89" t="b">
        <v>0</v>
      </c>
      <c r="S89" t="s">
        <v>30</v>
      </c>
      <c r="T89">
        <v>3975</v>
      </c>
      <c r="U89" t="s">
        <v>76</v>
      </c>
      <c r="V89" t="s">
        <v>32</v>
      </c>
      <c r="W89" t="s">
        <v>60</v>
      </c>
    </row>
    <row r="90" spans="1:23">
      <c r="A90">
        <v>3978</v>
      </c>
      <c r="B90" t="s">
        <v>143</v>
      </c>
      <c r="C90" s="1" t="s">
        <v>115</v>
      </c>
      <c r="D90" s="1" t="s">
        <v>105</v>
      </c>
      <c r="E90">
        <v>7.99</v>
      </c>
      <c r="F90">
        <v>341</v>
      </c>
      <c r="G90" t="s">
        <v>36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27</v>
      </c>
      <c r="N90" t="s">
        <v>44</v>
      </c>
      <c r="O90" t="s">
        <v>37</v>
      </c>
      <c r="P90">
        <v>98</v>
      </c>
      <c r="Q90">
        <v>3.7</v>
      </c>
      <c r="R90" t="b">
        <v>1</v>
      </c>
      <c r="S90" t="s">
        <v>30</v>
      </c>
      <c r="T90">
        <v>561</v>
      </c>
      <c r="U90" t="s">
        <v>76</v>
      </c>
      <c r="V90" t="s">
        <v>69</v>
      </c>
      <c r="W90" t="s">
        <v>93</v>
      </c>
    </row>
    <row r="91" spans="1:23">
      <c r="A91">
        <v>8634</v>
      </c>
      <c r="B91" t="s">
        <v>211</v>
      </c>
      <c r="C91" s="1">
        <v>44965</v>
      </c>
      <c r="D91" s="1" t="s">
        <v>25</v>
      </c>
      <c r="E91">
        <v>15.99</v>
      </c>
      <c r="F91">
        <v>321</v>
      </c>
      <c r="G91" t="s">
        <v>36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27</v>
      </c>
      <c r="N91" t="s">
        <v>75</v>
      </c>
      <c r="O91" t="s">
        <v>64</v>
      </c>
      <c r="P91">
        <v>65</v>
      </c>
      <c r="Q91">
        <v>4.5999999999999996</v>
      </c>
      <c r="R91" t="b">
        <v>0</v>
      </c>
      <c r="S91" t="s">
        <v>30</v>
      </c>
      <c r="T91">
        <v>4647</v>
      </c>
      <c r="U91" t="s">
        <v>76</v>
      </c>
      <c r="V91" t="s">
        <v>79</v>
      </c>
      <c r="W91" t="s">
        <v>33</v>
      </c>
    </row>
    <row r="92" spans="1:23">
      <c r="A92">
        <v>9635</v>
      </c>
      <c r="B92" t="s">
        <v>212</v>
      </c>
      <c r="C92" s="1" t="s">
        <v>213</v>
      </c>
      <c r="D92" s="1" t="s">
        <v>214</v>
      </c>
      <c r="E92">
        <v>11.99</v>
      </c>
      <c r="F92">
        <v>456</v>
      </c>
      <c r="G92" t="s">
        <v>73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55</v>
      </c>
      <c r="N92" t="s">
        <v>44</v>
      </c>
      <c r="O92" t="s">
        <v>78</v>
      </c>
      <c r="P92">
        <v>87</v>
      </c>
      <c r="Q92">
        <v>3.8</v>
      </c>
      <c r="R92" t="b">
        <v>1</v>
      </c>
      <c r="S92" t="s">
        <v>30</v>
      </c>
      <c r="T92">
        <v>581</v>
      </c>
      <c r="U92" t="s">
        <v>76</v>
      </c>
      <c r="V92" t="s">
        <v>32</v>
      </c>
      <c r="W92" t="s">
        <v>40</v>
      </c>
    </row>
    <row r="93" spans="1:23">
      <c r="A93">
        <v>1776</v>
      </c>
      <c r="B93" t="s">
        <v>215</v>
      </c>
      <c r="C93" s="1" t="s">
        <v>216</v>
      </c>
      <c r="D93" s="1" t="s">
        <v>84</v>
      </c>
      <c r="E93">
        <v>15.99</v>
      </c>
      <c r="F93">
        <v>15</v>
      </c>
      <c r="G93" t="s">
        <v>73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92</v>
      </c>
      <c r="N93" t="s">
        <v>75</v>
      </c>
      <c r="O93" t="s">
        <v>29</v>
      </c>
      <c r="P93">
        <v>46</v>
      </c>
      <c r="Q93">
        <v>4.2</v>
      </c>
      <c r="R93" t="b">
        <v>1</v>
      </c>
      <c r="S93" t="s">
        <v>30</v>
      </c>
      <c r="T93">
        <v>1250</v>
      </c>
      <c r="U93" t="s">
        <v>38</v>
      </c>
      <c r="V93" t="s">
        <v>79</v>
      </c>
      <c r="W93" t="s">
        <v>33</v>
      </c>
    </row>
    <row r="94" spans="1:23">
      <c r="A94">
        <v>9703</v>
      </c>
      <c r="B94" t="s">
        <v>106</v>
      </c>
      <c r="C94" s="1" t="s">
        <v>217</v>
      </c>
      <c r="D94" s="1">
        <v>45638</v>
      </c>
      <c r="E94">
        <v>11.99</v>
      </c>
      <c r="F94">
        <v>410</v>
      </c>
      <c r="G94" t="s">
        <v>48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49</v>
      </c>
      <c r="N94" t="s">
        <v>75</v>
      </c>
      <c r="O94" t="s">
        <v>64</v>
      </c>
      <c r="P94">
        <v>69</v>
      </c>
      <c r="Q94">
        <v>4.2</v>
      </c>
      <c r="R94" t="b">
        <v>0</v>
      </c>
      <c r="S94" t="s">
        <v>30</v>
      </c>
      <c r="T94">
        <v>3441</v>
      </c>
      <c r="U94" t="s">
        <v>31</v>
      </c>
      <c r="V94" t="s">
        <v>32</v>
      </c>
      <c r="W94" t="s">
        <v>40</v>
      </c>
    </row>
    <row r="95" spans="1:23">
      <c r="A95">
        <v>3498</v>
      </c>
      <c r="B95" t="s">
        <v>218</v>
      </c>
      <c r="C95" s="1">
        <v>45239</v>
      </c>
      <c r="D95" s="1">
        <v>45303</v>
      </c>
      <c r="E95">
        <v>15.99</v>
      </c>
      <c r="F95">
        <v>29</v>
      </c>
      <c r="G95" t="s">
        <v>36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55</v>
      </c>
      <c r="N95" t="s">
        <v>56</v>
      </c>
      <c r="O95" t="s">
        <v>37</v>
      </c>
      <c r="P95">
        <v>52</v>
      </c>
      <c r="Q95">
        <v>3.3</v>
      </c>
      <c r="R95" t="b">
        <v>0</v>
      </c>
      <c r="S95" t="s">
        <v>30</v>
      </c>
      <c r="T95">
        <v>3211</v>
      </c>
      <c r="U95" t="s">
        <v>31</v>
      </c>
      <c r="V95" t="s">
        <v>79</v>
      </c>
      <c r="W95" t="s">
        <v>60</v>
      </c>
    </row>
    <row r="96" spans="1:23">
      <c r="A96">
        <v>4260</v>
      </c>
      <c r="B96" t="s">
        <v>219</v>
      </c>
      <c r="C96" s="1" t="s">
        <v>220</v>
      </c>
      <c r="D96" s="1" t="s">
        <v>129</v>
      </c>
      <c r="E96">
        <v>7.99</v>
      </c>
      <c r="F96">
        <v>427</v>
      </c>
      <c r="G96" t="s">
        <v>63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74</v>
      </c>
      <c r="N96" t="s">
        <v>56</v>
      </c>
      <c r="O96" t="s">
        <v>57</v>
      </c>
      <c r="P96">
        <v>66</v>
      </c>
      <c r="Q96">
        <v>3.3</v>
      </c>
      <c r="R96" t="b">
        <v>0</v>
      </c>
      <c r="S96" t="s">
        <v>30</v>
      </c>
      <c r="T96">
        <v>647</v>
      </c>
      <c r="U96" t="s">
        <v>31</v>
      </c>
      <c r="V96" t="s">
        <v>79</v>
      </c>
      <c r="W96" t="s">
        <v>33</v>
      </c>
    </row>
    <row r="97" spans="1:23">
      <c r="A97">
        <v>7152</v>
      </c>
      <c r="B97" t="s">
        <v>153</v>
      </c>
      <c r="C97" s="1">
        <v>45048</v>
      </c>
      <c r="D97" s="1">
        <v>45394</v>
      </c>
      <c r="E97">
        <v>11.99</v>
      </c>
      <c r="F97">
        <v>166</v>
      </c>
      <c r="G97" t="s">
        <v>26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55</v>
      </c>
      <c r="N97" t="s">
        <v>44</v>
      </c>
      <c r="O97" t="s">
        <v>29</v>
      </c>
      <c r="P97">
        <v>11</v>
      </c>
      <c r="Q97">
        <v>4.5999999999999996</v>
      </c>
      <c r="R97" t="b">
        <v>1</v>
      </c>
      <c r="S97" t="s">
        <v>30</v>
      </c>
      <c r="T97">
        <v>3751</v>
      </c>
      <c r="U97" t="s">
        <v>65</v>
      </c>
      <c r="V97" t="s">
        <v>32</v>
      </c>
      <c r="W97" t="s">
        <v>93</v>
      </c>
    </row>
    <row r="98" spans="1:23">
      <c r="A98">
        <v>2457</v>
      </c>
      <c r="B98" t="s">
        <v>179</v>
      </c>
      <c r="C98" s="1" t="s">
        <v>221</v>
      </c>
      <c r="D98" s="1" t="s">
        <v>214</v>
      </c>
      <c r="E98">
        <v>7.99</v>
      </c>
      <c r="F98">
        <v>192</v>
      </c>
      <c r="G98" t="s">
        <v>73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43</v>
      </c>
      <c r="N98" t="s">
        <v>44</v>
      </c>
      <c r="O98" t="s">
        <v>78</v>
      </c>
      <c r="P98">
        <v>95</v>
      </c>
      <c r="Q98">
        <v>3.4</v>
      </c>
      <c r="R98" t="b">
        <v>0</v>
      </c>
      <c r="S98" t="s">
        <v>30</v>
      </c>
      <c r="T98">
        <v>2925</v>
      </c>
      <c r="U98" t="s">
        <v>76</v>
      </c>
      <c r="V98" t="s">
        <v>39</v>
      </c>
      <c r="W98" t="s">
        <v>33</v>
      </c>
    </row>
    <row r="99" spans="1:23">
      <c r="A99">
        <v>8530</v>
      </c>
      <c r="B99" t="s">
        <v>222</v>
      </c>
      <c r="C99" s="1" t="s">
        <v>151</v>
      </c>
      <c r="D99" s="1">
        <v>45394</v>
      </c>
      <c r="E99">
        <v>11.99</v>
      </c>
      <c r="F99">
        <v>88</v>
      </c>
      <c r="G99" t="s">
        <v>51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68</v>
      </c>
      <c r="N99" t="s">
        <v>44</v>
      </c>
      <c r="O99" t="s">
        <v>64</v>
      </c>
      <c r="P99">
        <v>90</v>
      </c>
      <c r="Q99">
        <v>5</v>
      </c>
      <c r="R99" t="b">
        <v>0</v>
      </c>
      <c r="S99" t="s">
        <v>30</v>
      </c>
      <c r="T99">
        <v>4646</v>
      </c>
      <c r="U99" t="s">
        <v>58</v>
      </c>
      <c r="V99" t="s">
        <v>79</v>
      </c>
      <c r="W99" t="s">
        <v>33</v>
      </c>
    </row>
    <row r="100" spans="1:23">
      <c r="A100">
        <v>9131</v>
      </c>
      <c r="B100" t="s">
        <v>223</v>
      </c>
      <c r="C100" s="1">
        <v>44993</v>
      </c>
      <c r="D100" s="1" t="s">
        <v>99</v>
      </c>
      <c r="E100">
        <v>7.99</v>
      </c>
      <c r="F100">
        <v>127</v>
      </c>
      <c r="G100" t="s">
        <v>48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55</v>
      </c>
      <c r="N100" t="s">
        <v>75</v>
      </c>
      <c r="O100" t="s">
        <v>64</v>
      </c>
      <c r="P100">
        <v>99</v>
      </c>
      <c r="Q100">
        <v>3.6</v>
      </c>
      <c r="R100" t="b">
        <v>0</v>
      </c>
      <c r="S100" t="s">
        <v>30</v>
      </c>
      <c r="T100">
        <v>2867</v>
      </c>
      <c r="U100" t="s">
        <v>38</v>
      </c>
      <c r="V100" t="s">
        <v>39</v>
      </c>
      <c r="W100" t="s">
        <v>93</v>
      </c>
    </row>
    <row r="101" spans="1:23">
      <c r="A101">
        <v>9770</v>
      </c>
      <c r="B101" t="s">
        <v>224</v>
      </c>
      <c r="C101" s="1" t="s">
        <v>225</v>
      </c>
      <c r="D101" s="1" t="s">
        <v>156</v>
      </c>
      <c r="E101">
        <v>7.99</v>
      </c>
      <c r="F101">
        <v>327</v>
      </c>
      <c r="G101" t="s">
        <v>100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49</v>
      </c>
      <c r="N101" t="s">
        <v>28</v>
      </c>
      <c r="O101" t="s">
        <v>57</v>
      </c>
      <c r="P101">
        <v>91</v>
      </c>
      <c r="Q101">
        <v>3.2</v>
      </c>
      <c r="R101" t="b">
        <v>1</v>
      </c>
      <c r="S101" t="s">
        <v>30</v>
      </c>
      <c r="T101">
        <v>4131</v>
      </c>
      <c r="U101" t="s">
        <v>58</v>
      </c>
      <c r="V101" t="s">
        <v>39</v>
      </c>
      <c r="W101" t="s">
        <v>40</v>
      </c>
    </row>
    <row r="102" spans="1:23">
      <c r="A102">
        <v>8095</v>
      </c>
      <c r="B102" t="s">
        <v>226</v>
      </c>
      <c r="C102" s="1" t="s">
        <v>227</v>
      </c>
      <c r="D102" s="1">
        <v>45608</v>
      </c>
      <c r="E102">
        <v>7.99</v>
      </c>
      <c r="F102">
        <v>10</v>
      </c>
      <c r="G102" t="s">
        <v>26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68</v>
      </c>
      <c r="N102" t="s">
        <v>44</v>
      </c>
      <c r="O102" t="s">
        <v>64</v>
      </c>
      <c r="P102">
        <v>25</v>
      </c>
      <c r="Q102">
        <v>4.0999999999999996</v>
      </c>
      <c r="R102" t="b">
        <v>1</v>
      </c>
      <c r="S102" t="s">
        <v>30</v>
      </c>
      <c r="T102">
        <v>2927</v>
      </c>
      <c r="U102" t="s">
        <v>58</v>
      </c>
      <c r="V102" t="s">
        <v>32</v>
      </c>
      <c r="W102" t="s">
        <v>40</v>
      </c>
    </row>
    <row r="103" spans="1:23">
      <c r="A103">
        <v>3763</v>
      </c>
      <c r="B103" t="s">
        <v>228</v>
      </c>
      <c r="C103" s="1" t="s">
        <v>229</v>
      </c>
      <c r="D103" s="1">
        <v>45455</v>
      </c>
      <c r="E103">
        <v>11.99</v>
      </c>
      <c r="F103">
        <v>181</v>
      </c>
      <c r="G103" t="s">
        <v>63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55</v>
      </c>
      <c r="N103" t="s">
        <v>75</v>
      </c>
      <c r="O103" t="s">
        <v>45</v>
      </c>
      <c r="P103">
        <v>6</v>
      </c>
      <c r="Q103">
        <v>3.4</v>
      </c>
      <c r="R103" t="b">
        <v>0</v>
      </c>
      <c r="S103" t="s">
        <v>30</v>
      </c>
      <c r="T103">
        <v>3314</v>
      </c>
      <c r="U103" t="s">
        <v>31</v>
      </c>
      <c r="V103" t="s">
        <v>79</v>
      </c>
      <c r="W103" t="s">
        <v>60</v>
      </c>
    </row>
    <row r="104" spans="1:23">
      <c r="A104">
        <v>4346</v>
      </c>
      <c r="B104" t="s">
        <v>230</v>
      </c>
      <c r="C104" s="1" t="s">
        <v>231</v>
      </c>
      <c r="D104" s="1">
        <v>45638</v>
      </c>
      <c r="E104">
        <v>15.99</v>
      </c>
      <c r="F104">
        <v>238</v>
      </c>
      <c r="G104" t="s">
        <v>26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27</v>
      </c>
      <c r="N104" t="s">
        <v>75</v>
      </c>
      <c r="O104" t="s">
        <v>37</v>
      </c>
      <c r="P104">
        <v>20</v>
      </c>
      <c r="Q104">
        <v>3</v>
      </c>
      <c r="R104" t="b">
        <v>1</v>
      </c>
      <c r="S104" t="s">
        <v>30</v>
      </c>
      <c r="T104">
        <v>1782</v>
      </c>
      <c r="U104" t="s">
        <v>31</v>
      </c>
      <c r="V104" t="s">
        <v>69</v>
      </c>
      <c r="W104" t="s">
        <v>60</v>
      </c>
    </row>
    <row r="105" spans="1:23">
      <c r="A105">
        <v>5866</v>
      </c>
      <c r="B105" t="s">
        <v>191</v>
      </c>
      <c r="C105" s="1">
        <v>45297</v>
      </c>
      <c r="D105" s="1" t="s">
        <v>214</v>
      </c>
      <c r="E105">
        <v>7.99</v>
      </c>
      <c r="F105">
        <v>380</v>
      </c>
      <c r="G105" t="s">
        <v>51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74</v>
      </c>
      <c r="N105" t="s">
        <v>28</v>
      </c>
      <c r="O105" t="s">
        <v>29</v>
      </c>
      <c r="P105">
        <v>95</v>
      </c>
      <c r="Q105">
        <v>4.2</v>
      </c>
      <c r="R105" t="b">
        <v>1</v>
      </c>
      <c r="S105" t="s">
        <v>30</v>
      </c>
      <c r="T105">
        <v>1938</v>
      </c>
      <c r="U105" t="s">
        <v>65</v>
      </c>
      <c r="V105" t="s">
        <v>79</v>
      </c>
      <c r="W105" t="s">
        <v>93</v>
      </c>
    </row>
    <row r="106" spans="1:23">
      <c r="A106">
        <v>5865</v>
      </c>
      <c r="B106" t="s">
        <v>232</v>
      </c>
      <c r="C106" s="1" t="s">
        <v>233</v>
      </c>
      <c r="D106" s="1" t="s">
        <v>156</v>
      </c>
      <c r="E106">
        <v>11.99</v>
      </c>
      <c r="F106">
        <v>444</v>
      </c>
      <c r="G106" t="s">
        <v>48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74</v>
      </c>
      <c r="N106" t="s">
        <v>28</v>
      </c>
      <c r="O106" t="s">
        <v>29</v>
      </c>
      <c r="P106">
        <v>93</v>
      </c>
      <c r="Q106">
        <v>3.8</v>
      </c>
      <c r="R106" t="b">
        <v>0</v>
      </c>
      <c r="S106" t="s">
        <v>30</v>
      </c>
      <c r="T106">
        <v>3935</v>
      </c>
      <c r="U106" t="s">
        <v>58</v>
      </c>
      <c r="V106" t="s">
        <v>59</v>
      </c>
      <c r="W106" t="s">
        <v>93</v>
      </c>
    </row>
    <row r="107" spans="1:23">
      <c r="A107">
        <v>9398</v>
      </c>
      <c r="B107" t="s">
        <v>234</v>
      </c>
      <c r="C107" s="1" t="s">
        <v>235</v>
      </c>
      <c r="D107" s="1">
        <v>45608</v>
      </c>
      <c r="E107">
        <v>7.99</v>
      </c>
      <c r="F107">
        <v>83</v>
      </c>
      <c r="G107" t="s">
        <v>73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49</v>
      </c>
      <c r="N107" t="s">
        <v>56</v>
      </c>
      <c r="O107" t="s">
        <v>29</v>
      </c>
      <c r="P107">
        <v>21</v>
      </c>
      <c r="Q107">
        <v>3.1</v>
      </c>
      <c r="R107" t="b">
        <v>0</v>
      </c>
      <c r="S107" t="s">
        <v>30</v>
      </c>
      <c r="T107">
        <v>3206</v>
      </c>
      <c r="U107" t="s">
        <v>58</v>
      </c>
      <c r="V107" t="s">
        <v>69</v>
      </c>
      <c r="W107" t="s">
        <v>33</v>
      </c>
    </row>
    <row r="108" spans="1:23">
      <c r="A108">
        <v>9695</v>
      </c>
      <c r="B108" t="s">
        <v>236</v>
      </c>
      <c r="C108" s="1">
        <v>45150</v>
      </c>
      <c r="D108" s="1" t="s">
        <v>103</v>
      </c>
      <c r="E108">
        <v>7.99</v>
      </c>
      <c r="F108">
        <v>452</v>
      </c>
      <c r="G108" t="s">
        <v>51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68</v>
      </c>
      <c r="N108" t="s">
        <v>28</v>
      </c>
      <c r="O108" t="s">
        <v>57</v>
      </c>
      <c r="P108">
        <v>63</v>
      </c>
      <c r="Q108">
        <v>3.3</v>
      </c>
      <c r="R108" t="b">
        <v>0</v>
      </c>
      <c r="S108" t="s">
        <v>30</v>
      </c>
      <c r="T108">
        <v>2523</v>
      </c>
      <c r="U108" t="s">
        <v>31</v>
      </c>
      <c r="V108" t="s">
        <v>59</v>
      </c>
      <c r="W108" t="s">
        <v>33</v>
      </c>
    </row>
    <row r="109" spans="1:23">
      <c r="A109">
        <v>8805</v>
      </c>
      <c r="B109" t="s">
        <v>85</v>
      </c>
      <c r="C109" s="1">
        <v>45450</v>
      </c>
      <c r="D109" s="1">
        <v>45455</v>
      </c>
      <c r="E109">
        <v>15.99</v>
      </c>
      <c r="F109">
        <v>53</v>
      </c>
      <c r="G109" t="s">
        <v>100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68</v>
      </c>
      <c r="N109" t="s">
        <v>28</v>
      </c>
      <c r="O109" t="s">
        <v>57</v>
      </c>
      <c r="P109">
        <v>8</v>
      </c>
      <c r="Q109">
        <v>4</v>
      </c>
      <c r="R109" t="b">
        <v>1</v>
      </c>
      <c r="S109" t="s">
        <v>30</v>
      </c>
      <c r="T109">
        <v>2727</v>
      </c>
      <c r="U109" t="s">
        <v>65</v>
      </c>
      <c r="V109" t="s">
        <v>79</v>
      </c>
      <c r="W109" t="s">
        <v>40</v>
      </c>
    </row>
    <row r="110" spans="1:23">
      <c r="A110">
        <v>8353</v>
      </c>
      <c r="B110" t="s">
        <v>148</v>
      </c>
      <c r="C110" s="1" t="s">
        <v>237</v>
      </c>
      <c r="D110" s="1" t="s">
        <v>54</v>
      </c>
      <c r="E110">
        <v>15.99</v>
      </c>
      <c r="F110">
        <v>89</v>
      </c>
      <c r="G110" t="s">
        <v>100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68</v>
      </c>
      <c r="N110" t="s">
        <v>28</v>
      </c>
      <c r="O110" t="s">
        <v>64</v>
      </c>
      <c r="P110">
        <v>87</v>
      </c>
      <c r="Q110">
        <v>3.8</v>
      </c>
      <c r="R110" t="b">
        <v>1</v>
      </c>
      <c r="S110" t="s">
        <v>30</v>
      </c>
      <c r="T110">
        <v>2864</v>
      </c>
      <c r="U110" t="s">
        <v>76</v>
      </c>
      <c r="V110" t="s">
        <v>69</v>
      </c>
      <c r="W110" t="s">
        <v>33</v>
      </c>
    </row>
    <row r="111" spans="1:23">
      <c r="A111">
        <v>3178</v>
      </c>
      <c r="B111" t="s">
        <v>238</v>
      </c>
      <c r="C111" s="1" t="s">
        <v>239</v>
      </c>
      <c r="D111" s="1">
        <v>45608</v>
      </c>
      <c r="E111">
        <v>7.99</v>
      </c>
      <c r="F111">
        <v>359</v>
      </c>
      <c r="G111" t="s">
        <v>63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55</v>
      </c>
      <c r="N111" t="s">
        <v>44</v>
      </c>
      <c r="O111" t="s">
        <v>57</v>
      </c>
      <c r="P111">
        <v>4</v>
      </c>
      <c r="Q111">
        <v>3.1</v>
      </c>
      <c r="R111" t="b">
        <v>1</v>
      </c>
      <c r="S111" t="s">
        <v>30</v>
      </c>
      <c r="T111">
        <v>3698</v>
      </c>
      <c r="U111" t="s">
        <v>76</v>
      </c>
      <c r="V111" t="s">
        <v>69</v>
      </c>
      <c r="W111" t="s">
        <v>93</v>
      </c>
    </row>
    <row r="112" spans="1:23">
      <c r="A112">
        <v>4917</v>
      </c>
      <c r="B112" t="s">
        <v>240</v>
      </c>
      <c r="C112" s="1" t="s">
        <v>182</v>
      </c>
      <c r="D112" s="1" t="s">
        <v>84</v>
      </c>
      <c r="E112">
        <v>11.99</v>
      </c>
      <c r="F112">
        <v>487</v>
      </c>
      <c r="G112" t="s">
        <v>63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68</v>
      </c>
      <c r="N112" t="s">
        <v>28</v>
      </c>
      <c r="O112" t="s">
        <v>78</v>
      </c>
      <c r="P112">
        <v>78</v>
      </c>
      <c r="Q112">
        <v>3.5</v>
      </c>
      <c r="R112" t="b">
        <v>0</v>
      </c>
      <c r="S112" t="s">
        <v>30</v>
      </c>
      <c r="T112">
        <v>1531</v>
      </c>
      <c r="U112" t="s">
        <v>31</v>
      </c>
      <c r="V112" t="s">
        <v>69</v>
      </c>
      <c r="W112" t="s">
        <v>60</v>
      </c>
    </row>
    <row r="113" spans="1:23">
      <c r="A113">
        <v>8878</v>
      </c>
      <c r="B113" t="s">
        <v>241</v>
      </c>
      <c r="C113" s="1" t="s">
        <v>217</v>
      </c>
      <c r="D113" s="1" t="s">
        <v>134</v>
      </c>
      <c r="E113">
        <v>7.99</v>
      </c>
      <c r="F113">
        <v>337</v>
      </c>
      <c r="G113" t="s">
        <v>73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43</v>
      </c>
      <c r="N113" t="s">
        <v>56</v>
      </c>
      <c r="O113" t="s">
        <v>45</v>
      </c>
      <c r="P113">
        <v>88</v>
      </c>
      <c r="Q113">
        <v>4.8</v>
      </c>
      <c r="R113" t="b">
        <v>0</v>
      </c>
      <c r="S113" t="s">
        <v>30</v>
      </c>
      <c r="T113">
        <v>4884</v>
      </c>
      <c r="U113" t="s">
        <v>31</v>
      </c>
      <c r="V113" t="s">
        <v>32</v>
      </c>
      <c r="W113" t="s">
        <v>93</v>
      </c>
    </row>
    <row r="114" spans="1:23">
      <c r="A114">
        <v>3810</v>
      </c>
      <c r="B114" t="s">
        <v>242</v>
      </c>
      <c r="C114" s="1" t="s">
        <v>243</v>
      </c>
      <c r="D114" s="1">
        <v>45394</v>
      </c>
      <c r="E114">
        <v>15.99</v>
      </c>
      <c r="F114">
        <v>427</v>
      </c>
      <c r="G114" t="s">
        <v>63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68</v>
      </c>
      <c r="N114" t="s">
        <v>75</v>
      </c>
      <c r="O114" t="s">
        <v>45</v>
      </c>
      <c r="P114">
        <v>79</v>
      </c>
      <c r="Q114">
        <v>3.3</v>
      </c>
      <c r="R114" t="b">
        <v>0</v>
      </c>
      <c r="S114" t="s">
        <v>30</v>
      </c>
      <c r="T114">
        <v>3633</v>
      </c>
      <c r="U114" t="s">
        <v>31</v>
      </c>
      <c r="V114" t="s">
        <v>39</v>
      </c>
      <c r="W114" t="s">
        <v>40</v>
      </c>
    </row>
    <row r="115" spans="1:23">
      <c r="A115">
        <v>9353</v>
      </c>
      <c r="B115" t="s">
        <v>244</v>
      </c>
      <c r="C115" s="1">
        <v>45085</v>
      </c>
      <c r="D115" s="1" t="s">
        <v>214</v>
      </c>
      <c r="E115">
        <v>7.99</v>
      </c>
      <c r="F115">
        <v>397</v>
      </c>
      <c r="G115" t="s">
        <v>51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74</v>
      </c>
      <c r="N115" t="s">
        <v>44</v>
      </c>
      <c r="O115" t="s">
        <v>45</v>
      </c>
      <c r="P115">
        <v>77</v>
      </c>
      <c r="Q115">
        <v>3.9</v>
      </c>
      <c r="R115" t="b">
        <v>1</v>
      </c>
      <c r="S115" t="s">
        <v>30</v>
      </c>
      <c r="T115">
        <v>4719</v>
      </c>
      <c r="U115" t="s">
        <v>31</v>
      </c>
      <c r="V115" t="s">
        <v>39</v>
      </c>
      <c r="W115" t="s">
        <v>93</v>
      </c>
    </row>
    <row r="116" spans="1:23">
      <c r="A116">
        <v>1672</v>
      </c>
      <c r="B116" t="s">
        <v>245</v>
      </c>
      <c r="C116" s="1" t="s">
        <v>246</v>
      </c>
      <c r="D116" s="1" t="s">
        <v>105</v>
      </c>
      <c r="E116">
        <v>15.99</v>
      </c>
      <c r="F116">
        <v>200</v>
      </c>
      <c r="G116" t="s">
        <v>63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92</v>
      </c>
      <c r="N116" t="s">
        <v>56</v>
      </c>
      <c r="O116" t="s">
        <v>78</v>
      </c>
      <c r="P116">
        <v>17</v>
      </c>
      <c r="Q116">
        <v>3.2</v>
      </c>
      <c r="R116" t="b">
        <v>1</v>
      </c>
      <c r="S116" t="s">
        <v>30</v>
      </c>
      <c r="T116">
        <v>3161</v>
      </c>
      <c r="U116" t="s">
        <v>58</v>
      </c>
      <c r="V116" t="s">
        <v>69</v>
      </c>
      <c r="W116" t="s">
        <v>60</v>
      </c>
    </row>
    <row r="117" spans="1:23">
      <c r="A117">
        <v>6650</v>
      </c>
      <c r="B117" t="s">
        <v>247</v>
      </c>
      <c r="C117" s="1">
        <v>45354</v>
      </c>
      <c r="D117" s="1" t="s">
        <v>214</v>
      </c>
      <c r="E117">
        <v>11.99</v>
      </c>
      <c r="F117">
        <v>464</v>
      </c>
      <c r="G117" t="s">
        <v>36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74</v>
      </c>
      <c r="N117" t="s">
        <v>75</v>
      </c>
      <c r="O117" t="s">
        <v>57</v>
      </c>
      <c r="P117">
        <v>28</v>
      </c>
      <c r="Q117">
        <v>3.6</v>
      </c>
      <c r="R117" t="b">
        <v>1</v>
      </c>
      <c r="S117" t="s">
        <v>30</v>
      </c>
      <c r="T117">
        <v>3607</v>
      </c>
      <c r="U117" t="s">
        <v>38</v>
      </c>
      <c r="V117" t="s">
        <v>59</v>
      </c>
      <c r="W117" t="s">
        <v>40</v>
      </c>
    </row>
    <row r="118" spans="1:23">
      <c r="A118">
        <v>2581</v>
      </c>
      <c r="B118" t="s">
        <v>248</v>
      </c>
      <c r="C118" s="1" t="s">
        <v>180</v>
      </c>
      <c r="D118" s="1">
        <v>45334</v>
      </c>
      <c r="E118">
        <v>15.99</v>
      </c>
      <c r="F118">
        <v>495</v>
      </c>
      <c r="G118" t="s">
        <v>51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49</v>
      </c>
      <c r="N118" t="s">
        <v>56</v>
      </c>
      <c r="O118" t="s">
        <v>64</v>
      </c>
      <c r="P118">
        <v>94</v>
      </c>
      <c r="Q118">
        <v>3.4</v>
      </c>
      <c r="R118" t="b">
        <v>0</v>
      </c>
      <c r="S118" t="s">
        <v>30</v>
      </c>
      <c r="T118">
        <v>944</v>
      </c>
      <c r="U118" t="s">
        <v>76</v>
      </c>
      <c r="V118" t="s">
        <v>79</v>
      </c>
      <c r="W118" t="s">
        <v>40</v>
      </c>
    </row>
    <row r="119" spans="1:23">
      <c r="A119">
        <v>6860</v>
      </c>
      <c r="B119" t="s">
        <v>249</v>
      </c>
      <c r="C119" s="1">
        <v>45598</v>
      </c>
      <c r="D119" s="1" t="s">
        <v>129</v>
      </c>
      <c r="E119">
        <v>7.99</v>
      </c>
      <c r="F119">
        <v>286</v>
      </c>
      <c r="G119" t="s">
        <v>36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49</v>
      </c>
      <c r="N119" t="s">
        <v>75</v>
      </c>
      <c r="O119" t="s">
        <v>78</v>
      </c>
      <c r="P119">
        <v>33</v>
      </c>
      <c r="Q119">
        <v>3.6</v>
      </c>
      <c r="R119" t="b">
        <v>0</v>
      </c>
      <c r="S119" t="s">
        <v>30</v>
      </c>
      <c r="T119">
        <v>2757</v>
      </c>
      <c r="U119" t="s">
        <v>58</v>
      </c>
      <c r="V119" t="s">
        <v>79</v>
      </c>
      <c r="W119" t="s">
        <v>33</v>
      </c>
    </row>
    <row r="120" spans="1:23">
      <c r="A120">
        <v>4584</v>
      </c>
      <c r="B120" t="s">
        <v>138</v>
      </c>
      <c r="C120" s="1" t="s">
        <v>250</v>
      </c>
      <c r="D120" s="1" t="s">
        <v>42</v>
      </c>
      <c r="E120">
        <v>7.99</v>
      </c>
      <c r="F120">
        <v>446</v>
      </c>
      <c r="G120" t="s">
        <v>36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27</v>
      </c>
      <c r="N120" t="s">
        <v>56</v>
      </c>
      <c r="O120" t="s">
        <v>57</v>
      </c>
      <c r="P120">
        <v>18</v>
      </c>
      <c r="Q120">
        <v>3.3</v>
      </c>
      <c r="R120" t="b">
        <v>0</v>
      </c>
      <c r="S120" t="s">
        <v>30</v>
      </c>
      <c r="T120">
        <v>727</v>
      </c>
      <c r="U120" t="s">
        <v>31</v>
      </c>
      <c r="V120" t="s">
        <v>69</v>
      </c>
      <c r="W120" t="s">
        <v>60</v>
      </c>
    </row>
    <row r="121" spans="1:23">
      <c r="A121">
        <v>3354</v>
      </c>
      <c r="B121" t="s">
        <v>148</v>
      </c>
      <c r="C121" s="1">
        <v>44936</v>
      </c>
      <c r="D121" s="1" t="s">
        <v>82</v>
      </c>
      <c r="E121">
        <v>11.99</v>
      </c>
      <c r="F121">
        <v>342</v>
      </c>
      <c r="G121" t="s">
        <v>73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92</v>
      </c>
      <c r="N121" t="s">
        <v>28</v>
      </c>
      <c r="O121" t="s">
        <v>78</v>
      </c>
      <c r="P121">
        <v>23</v>
      </c>
      <c r="Q121">
        <v>3.2</v>
      </c>
      <c r="R121" t="b">
        <v>1</v>
      </c>
      <c r="S121" t="s">
        <v>30</v>
      </c>
      <c r="T121">
        <v>3496</v>
      </c>
      <c r="U121" t="s">
        <v>65</v>
      </c>
      <c r="V121" t="s">
        <v>69</v>
      </c>
      <c r="W121" t="s">
        <v>93</v>
      </c>
    </row>
    <row r="122" spans="1:23">
      <c r="A122">
        <v>4668</v>
      </c>
      <c r="B122" t="s">
        <v>251</v>
      </c>
      <c r="C122" s="1" t="s">
        <v>72</v>
      </c>
      <c r="D122" s="1">
        <v>45547</v>
      </c>
      <c r="E122">
        <v>11.99</v>
      </c>
      <c r="F122">
        <v>396</v>
      </c>
      <c r="G122" t="s">
        <v>48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43</v>
      </c>
      <c r="N122" t="s">
        <v>28</v>
      </c>
      <c r="O122" t="s">
        <v>37</v>
      </c>
      <c r="P122">
        <v>66</v>
      </c>
      <c r="Q122">
        <v>3.6</v>
      </c>
      <c r="R122" t="b">
        <v>1</v>
      </c>
      <c r="S122" t="s">
        <v>30</v>
      </c>
      <c r="T122">
        <v>4293</v>
      </c>
      <c r="U122" t="s">
        <v>65</v>
      </c>
      <c r="V122" t="s">
        <v>79</v>
      </c>
      <c r="W122" t="s">
        <v>60</v>
      </c>
    </row>
    <row r="123" spans="1:23">
      <c r="A123">
        <v>6684</v>
      </c>
      <c r="B123" t="s">
        <v>252</v>
      </c>
      <c r="C123" s="1" t="s">
        <v>144</v>
      </c>
      <c r="D123" s="1">
        <v>45608</v>
      </c>
      <c r="E123">
        <v>11.99</v>
      </c>
      <c r="F123">
        <v>491</v>
      </c>
      <c r="G123" t="s">
        <v>100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74</v>
      </c>
      <c r="N123" t="s">
        <v>75</v>
      </c>
      <c r="O123" t="s">
        <v>57</v>
      </c>
      <c r="P123">
        <v>24</v>
      </c>
      <c r="Q123">
        <v>4.0999999999999996</v>
      </c>
      <c r="R123" t="b">
        <v>0</v>
      </c>
      <c r="S123" t="s">
        <v>30</v>
      </c>
      <c r="T123">
        <v>1357</v>
      </c>
      <c r="U123" t="s">
        <v>76</v>
      </c>
      <c r="V123" t="s">
        <v>69</v>
      </c>
      <c r="W123" t="s">
        <v>33</v>
      </c>
    </row>
    <row r="124" spans="1:23">
      <c r="A124">
        <v>8058</v>
      </c>
      <c r="B124" t="s">
        <v>253</v>
      </c>
      <c r="C124" s="1">
        <v>44961</v>
      </c>
      <c r="D124" s="1" t="s">
        <v>42</v>
      </c>
      <c r="E124">
        <v>15.99</v>
      </c>
      <c r="F124">
        <v>239</v>
      </c>
      <c r="G124" t="s">
        <v>48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68</v>
      </c>
      <c r="N124" t="s">
        <v>75</v>
      </c>
      <c r="O124" t="s">
        <v>57</v>
      </c>
      <c r="P124">
        <v>99</v>
      </c>
      <c r="Q124">
        <v>4.5999999999999996</v>
      </c>
      <c r="R124" t="b">
        <v>1</v>
      </c>
      <c r="S124" t="s">
        <v>30</v>
      </c>
      <c r="T124">
        <v>3596</v>
      </c>
      <c r="U124" t="s">
        <v>38</v>
      </c>
      <c r="V124" t="s">
        <v>59</v>
      </c>
      <c r="W124" t="s">
        <v>60</v>
      </c>
    </row>
    <row r="125" spans="1:23">
      <c r="A125">
        <v>3035</v>
      </c>
      <c r="B125" t="s">
        <v>157</v>
      </c>
      <c r="C125" s="1" t="s">
        <v>149</v>
      </c>
      <c r="D125" s="1" t="s">
        <v>156</v>
      </c>
      <c r="E125">
        <v>15.99</v>
      </c>
      <c r="F125">
        <v>106</v>
      </c>
      <c r="G125" t="s">
        <v>100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74</v>
      </c>
      <c r="N125" t="s">
        <v>56</v>
      </c>
      <c r="O125" t="s">
        <v>64</v>
      </c>
      <c r="P125">
        <v>85</v>
      </c>
      <c r="Q125">
        <v>3.5</v>
      </c>
      <c r="R125" t="b">
        <v>1</v>
      </c>
      <c r="S125" t="s">
        <v>30</v>
      </c>
      <c r="T125">
        <v>613</v>
      </c>
      <c r="U125" t="s">
        <v>38</v>
      </c>
      <c r="V125" t="s">
        <v>79</v>
      </c>
      <c r="W125" t="s">
        <v>33</v>
      </c>
    </row>
    <row r="126" spans="1:23">
      <c r="A126">
        <v>2146</v>
      </c>
      <c r="B126" t="s">
        <v>254</v>
      </c>
      <c r="C126" s="1">
        <v>45603</v>
      </c>
      <c r="D126" s="1" t="s">
        <v>82</v>
      </c>
      <c r="E126">
        <v>11.99</v>
      </c>
      <c r="F126">
        <v>388</v>
      </c>
      <c r="G126" t="s">
        <v>63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68</v>
      </c>
      <c r="N126" t="s">
        <v>28</v>
      </c>
      <c r="O126" t="s">
        <v>37</v>
      </c>
      <c r="P126">
        <v>14</v>
      </c>
      <c r="Q126">
        <v>3.2</v>
      </c>
      <c r="R126" t="b">
        <v>0</v>
      </c>
      <c r="S126" t="s">
        <v>30</v>
      </c>
      <c r="T126">
        <v>2381</v>
      </c>
      <c r="U126" t="s">
        <v>76</v>
      </c>
      <c r="V126" t="s">
        <v>39</v>
      </c>
      <c r="W126" t="s">
        <v>93</v>
      </c>
    </row>
    <row r="127" spans="1:23">
      <c r="A127">
        <v>5761</v>
      </c>
      <c r="B127" t="s">
        <v>255</v>
      </c>
      <c r="C127" s="1" t="s">
        <v>256</v>
      </c>
      <c r="D127" s="1">
        <v>45516</v>
      </c>
      <c r="E127">
        <v>15.99</v>
      </c>
      <c r="F127">
        <v>452</v>
      </c>
      <c r="G127" t="s">
        <v>36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55</v>
      </c>
      <c r="N127" t="s">
        <v>75</v>
      </c>
      <c r="O127" t="s">
        <v>57</v>
      </c>
      <c r="P127">
        <v>28</v>
      </c>
      <c r="Q127">
        <v>3</v>
      </c>
      <c r="R127" t="b">
        <v>1</v>
      </c>
      <c r="S127" t="s">
        <v>30</v>
      </c>
      <c r="T127">
        <v>2159</v>
      </c>
      <c r="U127" t="s">
        <v>38</v>
      </c>
      <c r="V127" t="s">
        <v>69</v>
      </c>
      <c r="W127" t="s">
        <v>60</v>
      </c>
    </row>
    <row r="128" spans="1:23">
      <c r="A128">
        <v>5256</v>
      </c>
      <c r="B128" t="s">
        <v>257</v>
      </c>
      <c r="C128" s="1" t="s">
        <v>258</v>
      </c>
      <c r="D128" s="1">
        <v>45334</v>
      </c>
      <c r="E128">
        <v>15.99</v>
      </c>
      <c r="F128">
        <v>368</v>
      </c>
      <c r="G128" t="s">
        <v>48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68</v>
      </c>
      <c r="N128" t="s">
        <v>44</v>
      </c>
      <c r="O128" t="s">
        <v>45</v>
      </c>
      <c r="P128">
        <v>30</v>
      </c>
      <c r="Q128">
        <v>3</v>
      </c>
      <c r="R128" t="b">
        <v>1</v>
      </c>
      <c r="S128" t="s">
        <v>30</v>
      </c>
      <c r="T128">
        <v>119</v>
      </c>
      <c r="U128" t="s">
        <v>76</v>
      </c>
      <c r="V128" t="s">
        <v>79</v>
      </c>
      <c r="W128" t="s">
        <v>33</v>
      </c>
    </row>
    <row r="129" spans="1:23">
      <c r="A129">
        <v>5995</v>
      </c>
      <c r="B129" t="s">
        <v>238</v>
      </c>
      <c r="C129" s="1" t="s">
        <v>71</v>
      </c>
      <c r="D129" s="1" t="s">
        <v>99</v>
      </c>
      <c r="E129">
        <v>15.99</v>
      </c>
      <c r="F129">
        <v>325</v>
      </c>
      <c r="G129" t="s">
        <v>26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49</v>
      </c>
      <c r="N129" t="s">
        <v>56</v>
      </c>
      <c r="O129" t="s">
        <v>45</v>
      </c>
      <c r="P129">
        <v>81</v>
      </c>
      <c r="Q129">
        <v>4.5999999999999996</v>
      </c>
      <c r="R129" t="b">
        <v>0</v>
      </c>
      <c r="S129" t="s">
        <v>30</v>
      </c>
      <c r="T129">
        <v>2798</v>
      </c>
      <c r="U129" t="s">
        <v>31</v>
      </c>
      <c r="V129" t="s">
        <v>39</v>
      </c>
      <c r="W129" t="s">
        <v>33</v>
      </c>
    </row>
    <row r="130" spans="1:23">
      <c r="A130">
        <v>4155</v>
      </c>
      <c r="B130" t="s">
        <v>259</v>
      </c>
      <c r="C130" s="1">
        <v>45110</v>
      </c>
      <c r="D130" s="1">
        <v>45455</v>
      </c>
      <c r="E130">
        <v>11.99</v>
      </c>
      <c r="F130">
        <v>42</v>
      </c>
      <c r="G130" t="s">
        <v>48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92</v>
      </c>
      <c r="N130" t="s">
        <v>44</v>
      </c>
      <c r="O130" t="s">
        <v>45</v>
      </c>
      <c r="P130">
        <v>90</v>
      </c>
      <c r="Q130">
        <v>3.8</v>
      </c>
      <c r="R130" t="b">
        <v>0</v>
      </c>
      <c r="S130" t="s">
        <v>30</v>
      </c>
      <c r="T130">
        <v>496</v>
      </c>
      <c r="U130" t="s">
        <v>65</v>
      </c>
      <c r="V130" t="s">
        <v>59</v>
      </c>
      <c r="W130" t="s">
        <v>93</v>
      </c>
    </row>
    <row r="131" spans="1:23">
      <c r="A131">
        <v>1851</v>
      </c>
      <c r="B131" t="s">
        <v>88</v>
      </c>
      <c r="C131" s="1">
        <v>44995</v>
      </c>
      <c r="D131" s="1">
        <v>45608</v>
      </c>
      <c r="E131">
        <v>11.99</v>
      </c>
      <c r="F131">
        <v>344</v>
      </c>
      <c r="G131" t="s">
        <v>63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92</v>
      </c>
      <c r="N131" t="s">
        <v>56</v>
      </c>
      <c r="O131" t="s">
        <v>45</v>
      </c>
      <c r="P131">
        <v>83</v>
      </c>
      <c r="Q131">
        <v>5</v>
      </c>
      <c r="R131" t="b">
        <v>0</v>
      </c>
      <c r="S131" t="s">
        <v>30</v>
      </c>
      <c r="T131">
        <v>3599</v>
      </c>
      <c r="U131" t="s">
        <v>38</v>
      </c>
      <c r="V131" t="s">
        <v>69</v>
      </c>
      <c r="W131" t="s">
        <v>40</v>
      </c>
    </row>
    <row r="132" spans="1:23">
      <c r="A132">
        <v>8068</v>
      </c>
      <c r="B132" t="s">
        <v>260</v>
      </c>
      <c r="C132" s="1" t="s">
        <v>42</v>
      </c>
      <c r="D132" s="1" t="s">
        <v>109</v>
      </c>
      <c r="E132">
        <v>15.99</v>
      </c>
      <c r="F132">
        <v>77</v>
      </c>
      <c r="G132" t="s">
        <v>36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55</v>
      </c>
      <c r="N132" t="s">
        <v>75</v>
      </c>
      <c r="O132" t="s">
        <v>78</v>
      </c>
      <c r="P132">
        <v>66</v>
      </c>
      <c r="Q132">
        <v>3.4</v>
      </c>
      <c r="R132" t="b">
        <v>0</v>
      </c>
      <c r="S132" t="s">
        <v>30</v>
      </c>
      <c r="T132">
        <v>1752</v>
      </c>
      <c r="U132" t="s">
        <v>76</v>
      </c>
      <c r="V132" t="s">
        <v>59</v>
      </c>
      <c r="W132" t="s">
        <v>93</v>
      </c>
    </row>
    <row r="133" spans="1:23">
      <c r="A133">
        <v>8425</v>
      </c>
      <c r="B133" t="s">
        <v>34</v>
      </c>
      <c r="C133" s="1" t="s">
        <v>261</v>
      </c>
      <c r="D133" s="1" t="s">
        <v>105</v>
      </c>
      <c r="E133">
        <v>7.99</v>
      </c>
      <c r="F133">
        <v>237</v>
      </c>
      <c r="G133" t="s">
        <v>73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68</v>
      </c>
      <c r="N133" t="s">
        <v>75</v>
      </c>
      <c r="O133" t="s">
        <v>45</v>
      </c>
      <c r="P133">
        <v>32</v>
      </c>
      <c r="Q133">
        <v>3.5</v>
      </c>
      <c r="R133" t="b">
        <v>1</v>
      </c>
      <c r="S133" t="s">
        <v>30</v>
      </c>
      <c r="T133">
        <v>3633</v>
      </c>
      <c r="U133" t="s">
        <v>65</v>
      </c>
      <c r="V133" t="s">
        <v>39</v>
      </c>
      <c r="W133" t="s">
        <v>40</v>
      </c>
    </row>
    <row r="134" spans="1:23">
      <c r="A134">
        <v>4706</v>
      </c>
      <c r="B134" t="s">
        <v>170</v>
      </c>
      <c r="C134" s="1">
        <v>45140</v>
      </c>
      <c r="D134" s="1">
        <v>45455</v>
      </c>
      <c r="E134">
        <v>11.99</v>
      </c>
      <c r="F134">
        <v>480</v>
      </c>
      <c r="G134" t="s">
        <v>48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92</v>
      </c>
      <c r="N134" t="s">
        <v>28</v>
      </c>
      <c r="O134" t="s">
        <v>57</v>
      </c>
      <c r="P134">
        <v>59</v>
      </c>
      <c r="Q134">
        <v>4.5999999999999996</v>
      </c>
      <c r="R134" t="b">
        <v>0</v>
      </c>
      <c r="S134" t="s">
        <v>30</v>
      </c>
      <c r="T134">
        <v>3568</v>
      </c>
      <c r="U134" t="s">
        <v>38</v>
      </c>
      <c r="V134" t="s">
        <v>32</v>
      </c>
      <c r="W134" t="s">
        <v>33</v>
      </c>
    </row>
    <row r="135" spans="1:23">
      <c r="A135">
        <v>7544</v>
      </c>
      <c r="B135" t="s">
        <v>262</v>
      </c>
      <c r="C135" s="1">
        <v>44935</v>
      </c>
      <c r="D135" s="1" t="s">
        <v>87</v>
      </c>
      <c r="E135">
        <v>15.99</v>
      </c>
      <c r="F135">
        <v>152</v>
      </c>
      <c r="G135" t="s">
        <v>63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49</v>
      </c>
      <c r="N135" t="s">
        <v>56</v>
      </c>
      <c r="O135" t="s">
        <v>45</v>
      </c>
      <c r="P135">
        <v>95</v>
      </c>
      <c r="Q135">
        <v>3.7</v>
      </c>
      <c r="R135" t="b">
        <v>0</v>
      </c>
      <c r="S135" t="s">
        <v>30</v>
      </c>
      <c r="T135">
        <v>4361</v>
      </c>
      <c r="U135" t="s">
        <v>31</v>
      </c>
      <c r="V135" t="s">
        <v>69</v>
      </c>
      <c r="W135" t="s">
        <v>93</v>
      </c>
    </row>
    <row r="136" spans="1:23">
      <c r="A136">
        <v>4029</v>
      </c>
      <c r="B136" t="s">
        <v>263</v>
      </c>
      <c r="C136" s="1" t="s">
        <v>264</v>
      </c>
      <c r="D136" s="1" t="s">
        <v>156</v>
      </c>
      <c r="E136">
        <v>11.99</v>
      </c>
      <c r="F136">
        <v>308</v>
      </c>
      <c r="G136" t="s">
        <v>36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43</v>
      </c>
      <c r="N136" t="s">
        <v>44</v>
      </c>
      <c r="O136" t="s">
        <v>37</v>
      </c>
      <c r="P136">
        <v>27</v>
      </c>
      <c r="Q136">
        <v>4.2</v>
      </c>
      <c r="R136" t="b">
        <v>1</v>
      </c>
      <c r="S136" t="s">
        <v>30</v>
      </c>
      <c r="T136">
        <v>1176</v>
      </c>
      <c r="U136" t="s">
        <v>31</v>
      </c>
      <c r="V136" t="s">
        <v>59</v>
      </c>
      <c r="W136" t="s">
        <v>40</v>
      </c>
    </row>
    <row r="137" spans="1:23">
      <c r="A137">
        <v>6117</v>
      </c>
      <c r="B137" t="s">
        <v>147</v>
      </c>
      <c r="C137" s="1" t="s">
        <v>265</v>
      </c>
      <c r="D137" s="1" t="s">
        <v>99</v>
      </c>
      <c r="E137">
        <v>7.99</v>
      </c>
      <c r="F137">
        <v>14</v>
      </c>
      <c r="G137" t="s">
        <v>36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68</v>
      </c>
      <c r="N137" t="s">
        <v>56</v>
      </c>
      <c r="O137" t="s">
        <v>29</v>
      </c>
      <c r="P137">
        <v>49</v>
      </c>
      <c r="Q137">
        <v>3.9</v>
      </c>
      <c r="R137" t="b">
        <v>0</v>
      </c>
      <c r="S137" t="s">
        <v>30</v>
      </c>
      <c r="T137">
        <v>1849</v>
      </c>
      <c r="U137" t="s">
        <v>76</v>
      </c>
      <c r="V137" t="s">
        <v>59</v>
      </c>
      <c r="W137" t="s">
        <v>40</v>
      </c>
    </row>
    <row r="138" spans="1:23">
      <c r="A138">
        <v>1408</v>
      </c>
      <c r="B138" t="s">
        <v>266</v>
      </c>
      <c r="C138" s="1" t="s">
        <v>267</v>
      </c>
      <c r="D138" s="1" t="s">
        <v>84</v>
      </c>
      <c r="E138">
        <v>11.99</v>
      </c>
      <c r="F138">
        <v>233</v>
      </c>
      <c r="G138" t="s">
        <v>36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55</v>
      </c>
      <c r="N138" t="s">
        <v>44</v>
      </c>
      <c r="O138" t="s">
        <v>29</v>
      </c>
      <c r="P138">
        <v>38</v>
      </c>
      <c r="Q138">
        <v>4</v>
      </c>
      <c r="R138" t="b">
        <v>1</v>
      </c>
      <c r="S138" t="s">
        <v>30</v>
      </c>
      <c r="T138">
        <v>3953</v>
      </c>
      <c r="U138" t="s">
        <v>65</v>
      </c>
      <c r="V138" t="s">
        <v>32</v>
      </c>
      <c r="W138" t="s">
        <v>40</v>
      </c>
    </row>
    <row r="139" spans="1:23">
      <c r="A139">
        <v>8396</v>
      </c>
      <c r="B139" t="s">
        <v>52</v>
      </c>
      <c r="C139" s="1" t="s">
        <v>141</v>
      </c>
      <c r="D139" s="1">
        <v>45608</v>
      </c>
      <c r="E139">
        <v>7.99</v>
      </c>
      <c r="F139">
        <v>169</v>
      </c>
      <c r="G139" t="s">
        <v>51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74</v>
      </c>
      <c r="N139" t="s">
        <v>28</v>
      </c>
      <c r="O139" t="s">
        <v>78</v>
      </c>
      <c r="P139">
        <v>28</v>
      </c>
      <c r="Q139">
        <v>3.7</v>
      </c>
      <c r="R139" t="b">
        <v>0</v>
      </c>
      <c r="S139" t="s">
        <v>30</v>
      </c>
      <c r="T139">
        <v>3277</v>
      </c>
      <c r="U139" t="s">
        <v>58</v>
      </c>
      <c r="V139" t="s">
        <v>79</v>
      </c>
      <c r="W139" t="s">
        <v>40</v>
      </c>
    </row>
    <row r="140" spans="1:23">
      <c r="A140">
        <v>6806</v>
      </c>
      <c r="B140" t="s">
        <v>268</v>
      </c>
      <c r="C140" s="1" t="s">
        <v>213</v>
      </c>
      <c r="D140" s="1" t="s">
        <v>109</v>
      </c>
      <c r="E140">
        <v>7.99</v>
      </c>
      <c r="F140">
        <v>358</v>
      </c>
      <c r="G140" t="s">
        <v>26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74</v>
      </c>
      <c r="N140" t="s">
        <v>44</v>
      </c>
      <c r="O140" t="s">
        <v>45</v>
      </c>
      <c r="P140">
        <v>5</v>
      </c>
      <c r="Q140">
        <v>4.5999999999999996</v>
      </c>
      <c r="R140" t="b">
        <v>1</v>
      </c>
      <c r="S140" t="s">
        <v>30</v>
      </c>
      <c r="T140">
        <v>1572</v>
      </c>
      <c r="U140" t="s">
        <v>65</v>
      </c>
      <c r="V140" t="s">
        <v>69</v>
      </c>
      <c r="W140" t="s">
        <v>93</v>
      </c>
    </row>
    <row r="141" spans="1:23">
      <c r="A141">
        <v>3496</v>
      </c>
      <c r="B141" t="s">
        <v>242</v>
      </c>
      <c r="C141" s="1" t="s">
        <v>269</v>
      </c>
      <c r="D141" s="1">
        <v>45608</v>
      </c>
      <c r="E141">
        <v>11.99</v>
      </c>
      <c r="F141">
        <v>404</v>
      </c>
      <c r="G141" t="s">
        <v>36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55</v>
      </c>
      <c r="N141" t="s">
        <v>28</v>
      </c>
      <c r="O141" t="s">
        <v>37</v>
      </c>
      <c r="P141">
        <v>59</v>
      </c>
      <c r="Q141">
        <v>4.9000000000000004</v>
      </c>
      <c r="R141" t="b">
        <v>1</v>
      </c>
      <c r="S141" t="s">
        <v>30</v>
      </c>
      <c r="T141">
        <v>2676</v>
      </c>
      <c r="U141" t="s">
        <v>76</v>
      </c>
      <c r="V141" t="s">
        <v>39</v>
      </c>
      <c r="W141" t="s">
        <v>60</v>
      </c>
    </row>
    <row r="142" spans="1:23">
      <c r="A142">
        <v>7840</v>
      </c>
      <c r="B142" t="s">
        <v>270</v>
      </c>
      <c r="C142" s="1">
        <v>45324</v>
      </c>
      <c r="D142" s="1">
        <v>45608</v>
      </c>
      <c r="E142">
        <v>15.99</v>
      </c>
      <c r="F142">
        <v>131</v>
      </c>
      <c r="G142" t="s">
        <v>73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49</v>
      </c>
      <c r="N142" t="s">
        <v>28</v>
      </c>
      <c r="O142" t="s">
        <v>29</v>
      </c>
      <c r="P142">
        <v>55</v>
      </c>
      <c r="Q142">
        <v>3.3</v>
      </c>
      <c r="R142" t="b">
        <v>1</v>
      </c>
      <c r="S142" t="s">
        <v>30</v>
      </c>
      <c r="T142">
        <v>3053</v>
      </c>
      <c r="U142" t="s">
        <v>58</v>
      </c>
      <c r="V142" t="s">
        <v>79</v>
      </c>
      <c r="W142" t="s">
        <v>93</v>
      </c>
    </row>
    <row r="143" spans="1:23">
      <c r="A143">
        <v>2099</v>
      </c>
      <c r="B143" t="s">
        <v>157</v>
      </c>
      <c r="C143" s="1" t="s">
        <v>192</v>
      </c>
      <c r="D143" s="1" t="s">
        <v>109</v>
      </c>
      <c r="E143">
        <v>11.99</v>
      </c>
      <c r="F143">
        <v>32</v>
      </c>
      <c r="G143" t="s">
        <v>36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74</v>
      </c>
      <c r="N143" t="s">
        <v>75</v>
      </c>
      <c r="O143" t="s">
        <v>29</v>
      </c>
      <c r="P143">
        <v>59</v>
      </c>
      <c r="Q143">
        <v>3.6</v>
      </c>
      <c r="R143" t="b">
        <v>1</v>
      </c>
      <c r="S143" t="s">
        <v>30</v>
      </c>
      <c r="T143">
        <v>2620</v>
      </c>
      <c r="U143" t="s">
        <v>38</v>
      </c>
      <c r="V143" t="s">
        <v>32</v>
      </c>
      <c r="W143" t="s">
        <v>60</v>
      </c>
    </row>
    <row r="144" spans="1:23">
      <c r="A144">
        <v>6518</v>
      </c>
      <c r="B144" t="s">
        <v>271</v>
      </c>
      <c r="C144" s="1" t="s">
        <v>134</v>
      </c>
      <c r="D144" s="1">
        <v>45485</v>
      </c>
      <c r="E144">
        <v>7.99</v>
      </c>
      <c r="F144">
        <v>478</v>
      </c>
      <c r="G144" t="s">
        <v>26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49</v>
      </c>
      <c r="N144" t="s">
        <v>28</v>
      </c>
      <c r="O144" t="s">
        <v>57</v>
      </c>
      <c r="P144">
        <v>66</v>
      </c>
      <c r="Q144">
        <v>4</v>
      </c>
      <c r="R144" t="b">
        <v>0</v>
      </c>
      <c r="S144" t="s">
        <v>30</v>
      </c>
      <c r="T144">
        <v>4068</v>
      </c>
      <c r="U144" t="s">
        <v>58</v>
      </c>
      <c r="V144" t="s">
        <v>32</v>
      </c>
      <c r="W144" t="s">
        <v>60</v>
      </c>
    </row>
    <row r="145" spans="1:23">
      <c r="A145">
        <v>1976</v>
      </c>
      <c r="B145" t="s">
        <v>249</v>
      </c>
      <c r="C145" s="1" t="s">
        <v>203</v>
      </c>
      <c r="D145" s="1" t="s">
        <v>129</v>
      </c>
      <c r="E145">
        <v>11.99</v>
      </c>
      <c r="F145">
        <v>88</v>
      </c>
      <c r="G145" t="s">
        <v>48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49</v>
      </c>
      <c r="N145" t="s">
        <v>44</v>
      </c>
      <c r="O145" t="s">
        <v>45</v>
      </c>
      <c r="P145">
        <v>46</v>
      </c>
      <c r="Q145">
        <v>4.7</v>
      </c>
      <c r="R145" t="b">
        <v>1</v>
      </c>
      <c r="S145" t="s">
        <v>30</v>
      </c>
      <c r="T145">
        <v>172</v>
      </c>
      <c r="U145" t="s">
        <v>76</v>
      </c>
      <c r="V145" t="s">
        <v>39</v>
      </c>
      <c r="W145" t="s">
        <v>60</v>
      </c>
    </row>
    <row r="146" spans="1:23">
      <c r="A146">
        <v>8777</v>
      </c>
      <c r="B146" t="s">
        <v>272</v>
      </c>
      <c r="C146" s="1">
        <v>45598</v>
      </c>
      <c r="D146" s="1" t="s">
        <v>99</v>
      </c>
      <c r="E146">
        <v>11.99</v>
      </c>
      <c r="F146">
        <v>395</v>
      </c>
      <c r="G146" t="s">
        <v>48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92</v>
      </c>
      <c r="N146" t="s">
        <v>56</v>
      </c>
      <c r="O146" t="s">
        <v>37</v>
      </c>
      <c r="P146">
        <v>67</v>
      </c>
      <c r="Q146">
        <v>4.0999999999999996</v>
      </c>
      <c r="R146" t="b">
        <v>0</v>
      </c>
      <c r="S146" t="s">
        <v>30</v>
      </c>
      <c r="T146">
        <v>1040</v>
      </c>
      <c r="U146" t="s">
        <v>31</v>
      </c>
      <c r="V146" t="s">
        <v>69</v>
      </c>
      <c r="W146" t="s">
        <v>40</v>
      </c>
    </row>
    <row r="147" spans="1:23">
      <c r="A147">
        <v>1576</v>
      </c>
      <c r="B147" t="s">
        <v>166</v>
      </c>
      <c r="C147" s="1" t="s">
        <v>273</v>
      </c>
      <c r="D147" s="1" t="s">
        <v>84</v>
      </c>
      <c r="E147">
        <v>11.99</v>
      </c>
      <c r="F147">
        <v>385</v>
      </c>
      <c r="G147" t="s">
        <v>36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68</v>
      </c>
      <c r="N147" t="s">
        <v>75</v>
      </c>
      <c r="O147" t="s">
        <v>78</v>
      </c>
      <c r="P147">
        <v>43</v>
      </c>
      <c r="Q147">
        <v>3.3</v>
      </c>
      <c r="R147" t="b">
        <v>0</v>
      </c>
      <c r="S147" t="s">
        <v>30</v>
      </c>
      <c r="T147">
        <v>3574</v>
      </c>
      <c r="U147" t="s">
        <v>58</v>
      </c>
      <c r="V147" t="s">
        <v>39</v>
      </c>
      <c r="W147" t="s">
        <v>93</v>
      </c>
    </row>
    <row r="148" spans="1:23">
      <c r="A148">
        <v>7979</v>
      </c>
      <c r="B148" t="s">
        <v>274</v>
      </c>
      <c r="C148" s="1">
        <v>44990</v>
      </c>
      <c r="D148" s="1" t="s">
        <v>99</v>
      </c>
      <c r="E148">
        <v>11.99</v>
      </c>
      <c r="F148">
        <v>280</v>
      </c>
      <c r="G148" t="s">
        <v>48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92</v>
      </c>
      <c r="N148" t="s">
        <v>28</v>
      </c>
      <c r="O148" t="s">
        <v>57</v>
      </c>
      <c r="P148">
        <v>12</v>
      </c>
      <c r="Q148">
        <v>3.4</v>
      </c>
      <c r="R148" t="b">
        <v>1</v>
      </c>
      <c r="S148" t="s">
        <v>30</v>
      </c>
      <c r="T148">
        <v>3659</v>
      </c>
      <c r="U148" t="s">
        <v>31</v>
      </c>
      <c r="V148" t="s">
        <v>39</v>
      </c>
      <c r="W148" t="s">
        <v>60</v>
      </c>
    </row>
    <row r="149" spans="1:23">
      <c r="A149">
        <v>6300</v>
      </c>
      <c r="B149" t="s">
        <v>275</v>
      </c>
      <c r="C149" s="1" t="s">
        <v>102</v>
      </c>
      <c r="D149" s="1">
        <v>45547</v>
      </c>
      <c r="E149">
        <v>15.99</v>
      </c>
      <c r="F149">
        <v>164</v>
      </c>
      <c r="G149" t="s">
        <v>26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68</v>
      </c>
      <c r="N149" t="s">
        <v>75</v>
      </c>
      <c r="O149" t="s">
        <v>37</v>
      </c>
      <c r="P149">
        <v>97</v>
      </c>
      <c r="Q149">
        <v>3.7</v>
      </c>
      <c r="R149" t="b">
        <v>1</v>
      </c>
      <c r="S149" t="s">
        <v>30</v>
      </c>
      <c r="T149">
        <v>1991</v>
      </c>
      <c r="U149" t="s">
        <v>65</v>
      </c>
      <c r="V149" t="s">
        <v>69</v>
      </c>
      <c r="W149" t="s">
        <v>33</v>
      </c>
    </row>
    <row r="150" spans="1:23">
      <c r="A150">
        <v>1003</v>
      </c>
      <c r="B150" t="s">
        <v>276</v>
      </c>
      <c r="C150" s="1">
        <v>45638</v>
      </c>
      <c r="D150" s="1" t="s">
        <v>82</v>
      </c>
      <c r="E150">
        <v>11.99</v>
      </c>
      <c r="F150">
        <v>433</v>
      </c>
      <c r="G150" t="s">
        <v>63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74</v>
      </c>
      <c r="N150" t="s">
        <v>75</v>
      </c>
      <c r="O150" t="s">
        <v>57</v>
      </c>
      <c r="P150">
        <v>41</v>
      </c>
      <c r="Q150">
        <v>3.1</v>
      </c>
      <c r="R150" t="b">
        <v>1</v>
      </c>
      <c r="S150" t="s">
        <v>30</v>
      </c>
      <c r="T150">
        <v>2043</v>
      </c>
      <c r="U150" t="s">
        <v>31</v>
      </c>
      <c r="V150" t="s">
        <v>32</v>
      </c>
      <c r="W150" t="s">
        <v>33</v>
      </c>
    </row>
    <row r="151" spans="1:23">
      <c r="A151">
        <v>8238</v>
      </c>
      <c r="B151" t="s">
        <v>277</v>
      </c>
      <c r="C151" s="1">
        <v>45627</v>
      </c>
      <c r="D151" s="1" t="s">
        <v>105</v>
      </c>
      <c r="E151">
        <v>7.99</v>
      </c>
      <c r="F151">
        <v>460</v>
      </c>
      <c r="G151" t="s">
        <v>73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92</v>
      </c>
      <c r="N151" t="s">
        <v>28</v>
      </c>
      <c r="O151" t="s">
        <v>37</v>
      </c>
      <c r="P151">
        <v>39</v>
      </c>
      <c r="Q151">
        <v>4.8</v>
      </c>
      <c r="R151" t="b">
        <v>0</v>
      </c>
      <c r="S151" t="s">
        <v>30</v>
      </c>
      <c r="T151">
        <v>882</v>
      </c>
      <c r="U151" t="s">
        <v>31</v>
      </c>
      <c r="V151" t="s">
        <v>69</v>
      </c>
      <c r="W151" t="s">
        <v>33</v>
      </c>
    </row>
    <row r="152" spans="1:23">
      <c r="A152">
        <v>8261</v>
      </c>
      <c r="B152" t="s">
        <v>153</v>
      </c>
      <c r="C152" s="1" t="s">
        <v>278</v>
      </c>
      <c r="D152" s="1">
        <v>45394</v>
      </c>
      <c r="E152">
        <v>7.99</v>
      </c>
      <c r="F152">
        <v>374</v>
      </c>
      <c r="G152" t="s">
        <v>73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74</v>
      </c>
      <c r="N152" t="s">
        <v>44</v>
      </c>
      <c r="O152" t="s">
        <v>29</v>
      </c>
      <c r="P152">
        <v>12</v>
      </c>
      <c r="Q152">
        <v>3.4</v>
      </c>
      <c r="R152" t="b">
        <v>1</v>
      </c>
      <c r="S152" t="s">
        <v>30</v>
      </c>
      <c r="T152">
        <v>4243</v>
      </c>
      <c r="U152" t="s">
        <v>65</v>
      </c>
      <c r="V152" t="s">
        <v>39</v>
      </c>
      <c r="W152" t="s">
        <v>60</v>
      </c>
    </row>
    <row r="153" spans="1:23">
      <c r="A153">
        <v>7729</v>
      </c>
      <c r="B153" t="s">
        <v>118</v>
      </c>
      <c r="C153" s="1" t="s">
        <v>279</v>
      </c>
      <c r="D153" s="1">
        <v>45608</v>
      </c>
      <c r="E153">
        <v>11.99</v>
      </c>
      <c r="F153">
        <v>147</v>
      </c>
      <c r="G153" t="s">
        <v>100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74</v>
      </c>
      <c r="N153" t="s">
        <v>28</v>
      </c>
      <c r="O153" t="s">
        <v>29</v>
      </c>
      <c r="P153">
        <v>78</v>
      </c>
      <c r="Q153">
        <v>4</v>
      </c>
      <c r="R153" t="b">
        <v>1</v>
      </c>
      <c r="S153" t="s">
        <v>30</v>
      </c>
      <c r="T153">
        <v>2218</v>
      </c>
      <c r="U153" t="s">
        <v>38</v>
      </c>
      <c r="V153" t="s">
        <v>69</v>
      </c>
      <c r="W153" t="s">
        <v>93</v>
      </c>
    </row>
    <row r="154" spans="1:23">
      <c r="A154">
        <v>8616</v>
      </c>
      <c r="B154" t="s">
        <v>224</v>
      </c>
      <c r="C154" s="1">
        <v>45303</v>
      </c>
      <c r="D154" s="1">
        <v>45394</v>
      </c>
      <c r="E154">
        <v>11.99</v>
      </c>
      <c r="F154">
        <v>129</v>
      </c>
      <c r="G154" t="s">
        <v>63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49</v>
      </c>
      <c r="N154" t="s">
        <v>44</v>
      </c>
      <c r="O154" t="s">
        <v>45</v>
      </c>
      <c r="P154">
        <v>95</v>
      </c>
      <c r="Q154">
        <v>3.4</v>
      </c>
      <c r="R154" t="b">
        <v>1</v>
      </c>
      <c r="S154" t="s">
        <v>30</v>
      </c>
      <c r="T154">
        <v>97</v>
      </c>
      <c r="U154" t="s">
        <v>31</v>
      </c>
      <c r="V154" t="s">
        <v>32</v>
      </c>
      <c r="W154" t="s">
        <v>33</v>
      </c>
    </row>
    <row r="155" spans="1:23">
      <c r="A155">
        <v>9734</v>
      </c>
      <c r="B155" t="s">
        <v>116</v>
      </c>
      <c r="C155" s="1" t="s">
        <v>156</v>
      </c>
      <c r="D155" s="1" t="s">
        <v>42</v>
      </c>
      <c r="E155">
        <v>15.99</v>
      </c>
      <c r="F155">
        <v>217</v>
      </c>
      <c r="G155" t="s">
        <v>26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43</v>
      </c>
      <c r="N155" t="s">
        <v>75</v>
      </c>
      <c r="O155" t="s">
        <v>78</v>
      </c>
      <c r="P155">
        <v>51</v>
      </c>
      <c r="Q155">
        <v>3.6</v>
      </c>
      <c r="R155" t="b">
        <v>1</v>
      </c>
      <c r="S155" t="s">
        <v>30</v>
      </c>
      <c r="T155">
        <v>4928</v>
      </c>
      <c r="U155" t="s">
        <v>65</v>
      </c>
      <c r="V155" t="s">
        <v>32</v>
      </c>
      <c r="W155" t="s">
        <v>33</v>
      </c>
    </row>
    <row r="156" spans="1:23">
      <c r="A156">
        <v>2086</v>
      </c>
      <c r="B156" t="s">
        <v>280</v>
      </c>
      <c r="C156" s="1">
        <v>45265</v>
      </c>
      <c r="D156" s="1" t="s">
        <v>54</v>
      </c>
      <c r="E156">
        <v>7.99</v>
      </c>
      <c r="F156">
        <v>426</v>
      </c>
      <c r="G156" t="s">
        <v>36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27</v>
      </c>
      <c r="N156" t="s">
        <v>28</v>
      </c>
      <c r="O156" t="s">
        <v>37</v>
      </c>
      <c r="P156">
        <v>50</v>
      </c>
      <c r="Q156">
        <v>3.8</v>
      </c>
      <c r="R156" t="b">
        <v>1</v>
      </c>
      <c r="S156" t="s">
        <v>30</v>
      </c>
      <c r="T156">
        <v>1982</v>
      </c>
      <c r="U156" t="s">
        <v>38</v>
      </c>
      <c r="V156" t="s">
        <v>79</v>
      </c>
      <c r="W156" t="s">
        <v>33</v>
      </c>
    </row>
    <row r="157" spans="1:23">
      <c r="A157">
        <v>8721</v>
      </c>
      <c r="B157" t="s">
        <v>281</v>
      </c>
      <c r="C157" s="1" t="s">
        <v>282</v>
      </c>
      <c r="D157" s="1">
        <v>45303</v>
      </c>
      <c r="E157">
        <v>15.99</v>
      </c>
      <c r="F157">
        <v>81</v>
      </c>
      <c r="G157" t="s">
        <v>36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43</v>
      </c>
      <c r="N157" t="s">
        <v>75</v>
      </c>
      <c r="O157" t="s">
        <v>45</v>
      </c>
      <c r="P157">
        <v>21</v>
      </c>
      <c r="Q157">
        <v>4.7</v>
      </c>
      <c r="R157" t="b">
        <v>1</v>
      </c>
      <c r="S157" t="s">
        <v>30</v>
      </c>
      <c r="T157">
        <v>510</v>
      </c>
      <c r="U157" t="s">
        <v>58</v>
      </c>
      <c r="V157" t="s">
        <v>59</v>
      </c>
      <c r="W157" t="s">
        <v>33</v>
      </c>
    </row>
    <row r="158" spans="1:23">
      <c r="A158">
        <v>1075</v>
      </c>
      <c r="B158" t="s">
        <v>283</v>
      </c>
      <c r="C158" s="1">
        <v>45051</v>
      </c>
      <c r="D158" s="1" t="s">
        <v>105</v>
      </c>
      <c r="E158">
        <v>7.99</v>
      </c>
      <c r="F158">
        <v>296</v>
      </c>
      <c r="G158" t="s">
        <v>100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27</v>
      </c>
      <c r="N158" t="s">
        <v>75</v>
      </c>
      <c r="O158" t="s">
        <v>64</v>
      </c>
      <c r="P158">
        <v>1</v>
      </c>
      <c r="Q158">
        <v>3.1</v>
      </c>
      <c r="R158" t="b">
        <v>0</v>
      </c>
      <c r="S158" t="s">
        <v>30</v>
      </c>
      <c r="T158">
        <v>2508</v>
      </c>
      <c r="U158" t="s">
        <v>76</v>
      </c>
      <c r="V158" t="s">
        <v>59</v>
      </c>
      <c r="W158" t="s">
        <v>40</v>
      </c>
    </row>
    <row r="159" spans="1:23">
      <c r="A159">
        <v>2690</v>
      </c>
      <c r="B159" t="s">
        <v>177</v>
      </c>
      <c r="C159" s="1">
        <v>45055</v>
      </c>
      <c r="D159" s="1" t="s">
        <v>168</v>
      </c>
      <c r="E159">
        <v>15.99</v>
      </c>
      <c r="F159">
        <v>466</v>
      </c>
      <c r="G159" t="s">
        <v>48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92</v>
      </c>
      <c r="N159" t="s">
        <v>75</v>
      </c>
      <c r="O159" t="s">
        <v>45</v>
      </c>
      <c r="P159">
        <v>67</v>
      </c>
      <c r="Q159">
        <v>3.6</v>
      </c>
      <c r="R159" t="b">
        <v>1</v>
      </c>
      <c r="S159" t="s">
        <v>30</v>
      </c>
      <c r="T159">
        <v>4004</v>
      </c>
      <c r="U159" t="s">
        <v>31</v>
      </c>
      <c r="V159" t="s">
        <v>32</v>
      </c>
      <c r="W159" t="s">
        <v>93</v>
      </c>
    </row>
    <row r="160" spans="1:23">
      <c r="A160">
        <v>7654</v>
      </c>
      <c r="B160" t="s">
        <v>120</v>
      </c>
      <c r="C160" s="1" t="s">
        <v>167</v>
      </c>
      <c r="D160" s="1" t="s">
        <v>99</v>
      </c>
      <c r="E160">
        <v>11.99</v>
      </c>
      <c r="F160">
        <v>424</v>
      </c>
      <c r="G160" t="s">
        <v>63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43</v>
      </c>
      <c r="N160" t="s">
        <v>44</v>
      </c>
      <c r="O160" t="s">
        <v>57</v>
      </c>
      <c r="P160">
        <v>50</v>
      </c>
      <c r="Q160">
        <v>3.5</v>
      </c>
      <c r="R160" t="b">
        <v>0</v>
      </c>
      <c r="S160" t="s">
        <v>30</v>
      </c>
      <c r="T160">
        <v>494</v>
      </c>
      <c r="U160" t="s">
        <v>58</v>
      </c>
      <c r="V160" t="s">
        <v>39</v>
      </c>
      <c r="W160" t="s">
        <v>33</v>
      </c>
    </row>
    <row r="161" spans="1:23">
      <c r="A161">
        <v>7577</v>
      </c>
      <c r="B161" t="s">
        <v>284</v>
      </c>
      <c r="C161" s="1" t="s">
        <v>285</v>
      </c>
      <c r="D161" s="1">
        <v>45363</v>
      </c>
      <c r="E161">
        <v>15.99</v>
      </c>
      <c r="F161">
        <v>233</v>
      </c>
      <c r="G161" t="s">
        <v>48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92</v>
      </c>
      <c r="N161" t="s">
        <v>56</v>
      </c>
      <c r="O161" t="s">
        <v>29</v>
      </c>
      <c r="P161">
        <v>89</v>
      </c>
      <c r="Q161">
        <v>3.3</v>
      </c>
      <c r="R161" t="b">
        <v>0</v>
      </c>
      <c r="S161" t="s">
        <v>30</v>
      </c>
      <c r="T161">
        <v>460</v>
      </c>
      <c r="U161" t="s">
        <v>76</v>
      </c>
      <c r="V161" t="s">
        <v>69</v>
      </c>
      <c r="W161" t="s">
        <v>60</v>
      </c>
    </row>
    <row r="162" spans="1:23">
      <c r="A162">
        <v>9814</v>
      </c>
      <c r="B162" t="s">
        <v>286</v>
      </c>
      <c r="C162" s="1">
        <v>45604</v>
      </c>
      <c r="D162" s="1" t="s">
        <v>99</v>
      </c>
      <c r="E162">
        <v>11.99</v>
      </c>
      <c r="F162">
        <v>413</v>
      </c>
      <c r="G162" t="s">
        <v>73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27</v>
      </c>
      <c r="N162" t="s">
        <v>28</v>
      </c>
      <c r="O162" t="s">
        <v>78</v>
      </c>
      <c r="P162">
        <v>50</v>
      </c>
      <c r="Q162">
        <v>4.0999999999999996</v>
      </c>
      <c r="R162" t="b">
        <v>1</v>
      </c>
      <c r="S162" t="s">
        <v>30</v>
      </c>
      <c r="T162">
        <v>1416</v>
      </c>
      <c r="U162" t="s">
        <v>58</v>
      </c>
      <c r="V162" t="s">
        <v>69</v>
      </c>
      <c r="W162" t="s">
        <v>33</v>
      </c>
    </row>
    <row r="163" spans="1:23">
      <c r="A163">
        <v>5423</v>
      </c>
      <c r="B163" t="s">
        <v>50</v>
      </c>
      <c r="C163" s="1" t="s">
        <v>287</v>
      </c>
      <c r="D163" s="1" t="s">
        <v>54</v>
      </c>
      <c r="E163">
        <v>7.99</v>
      </c>
      <c r="F163">
        <v>278</v>
      </c>
      <c r="G163" t="s">
        <v>26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68</v>
      </c>
      <c r="N163" t="s">
        <v>28</v>
      </c>
      <c r="O163" t="s">
        <v>45</v>
      </c>
      <c r="P163">
        <v>62</v>
      </c>
      <c r="Q163">
        <v>3.2</v>
      </c>
      <c r="R163" t="b">
        <v>0</v>
      </c>
      <c r="S163" t="s">
        <v>30</v>
      </c>
      <c r="T163">
        <v>4798</v>
      </c>
      <c r="U163" t="s">
        <v>31</v>
      </c>
      <c r="V163" t="s">
        <v>69</v>
      </c>
      <c r="W163" t="s">
        <v>93</v>
      </c>
    </row>
    <row r="164" spans="1:23">
      <c r="A164">
        <v>2660</v>
      </c>
      <c r="B164" t="s">
        <v>288</v>
      </c>
      <c r="C164" s="1" t="s">
        <v>289</v>
      </c>
      <c r="D164" s="1">
        <v>45394</v>
      </c>
      <c r="E164">
        <v>11.99</v>
      </c>
      <c r="F164">
        <v>351</v>
      </c>
      <c r="G164" t="s">
        <v>63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27</v>
      </c>
      <c r="N164" t="s">
        <v>56</v>
      </c>
      <c r="O164" t="s">
        <v>37</v>
      </c>
      <c r="P164">
        <v>54</v>
      </c>
      <c r="Q164">
        <v>4.5</v>
      </c>
      <c r="R164" t="b">
        <v>1</v>
      </c>
      <c r="S164" t="s">
        <v>30</v>
      </c>
      <c r="T164">
        <v>732</v>
      </c>
      <c r="U164" t="s">
        <v>76</v>
      </c>
      <c r="V164" t="s">
        <v>32</v>
      </c>
      <c r="W164" t="s">
        <v>40</v>
      </c>
    </row>
    <row r="165" spans="1:23">
      <c r="A165">
        <v>4206</v>
      </c>
      <c r="B165" t="s">
        <v>190</v>
      </c>
      <c r="C165" s="1">
        <v>45386</v>
      </c>
      <c r="D165" s="1">
        <v>45455</v>
      </c>
      <c r="E165">
        <v>11.99</v>
      </c>
      <c r="F165">
        <v>354</v>
      </c>
      <c r="G165" t="s">
        <v>100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49</v>
      </c>
      <c r="N165" t="s">
        <v>56</v>
      </c>
      <c r="O165" t="s">
        <v>64</v>
      </c>
      <c r="P165">
        <v>70</v>
      </c>
      <c r="Q165">
        <v>4.7</v>
      </c>
      <c r="R165" t="b">
        <v>0</v>
      </c>
      <c r="S165" t="s">
        <v>30</v>
      </c>
      <c r="T165">
        <v>4008</v>
      </c>
      <c r="U165" t="s">
        <v>58</v>
      </c>
      <c r="V165" t="s">
        <v>59</v>
      </c>
      <c r="W165" t="s">
        <v>93</v>
      </c>
    </row>
    <row r="166" spans="1:23">
      <c r="A166">
        <v>5269</v>
      </c>
      <c r="B166" t="s">
        <v>50</v>
      </c>
      <c r="C166" s="1">
        <v>45080</v>
      </c>
      <c r="D166" s="1">
        <v>45394</v>
      </c>
      <c r="E166">
        <v>11.99</v>
      </c>
      <c r="F166">
        <v>192</v>
      </c>
      <c r="G166" t="s">
        <v>73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55</v>
      </c>
      <c r="N166" t="s">
        <v>75</v>
      </c>
      <c r="O166" t="s">
        <v>64</v>
      </c>
      <c r="P166">
        <v>73</v>
      </c>
      <c r="Q166">
        <v>3.8</v>
      </c>
      <c r="R166" t="b">
        <v>1</v>
      </c>
      <c r="S166" t="s">
        <v>30</v>
      </c>
      <c r="T166">
        <v>4868</v>
      </c>
      <c r="U166" t="s">
        <v>76</v>
      </c>
      <c r="V166" t="s">
        <v>69</v>
      </c>
      <c r="W166" t="s">
        <v>60</v>
      </c>
    </row>
    <row r="167" spans="1:23">
      <c r="A167">
        <v>7922</v>
      </c>
      <c r="B167" t="s">
        <v>290</v>
      </c>
      <c r="C167" s="1" t="s">
        <v>182</v>
      </c>
      <c r="D167" s="1" t="s">
        <v>103</v>
      </c>
      <c r="E167">
        <v>7.99</v>
      </c>
      <c r="F167">
        <v>176</v>
      </c>
      <c r="G167" t="s">
        <v>51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49</v>
      </c>
      <c r="N167" t="s">
        <v>28</v>
      </c>
      <c r="O167" t="s">
        <v>37</v>
      </c>
      <c r="P167">
        <v>66</v>
      </c>
      <c r="Q167">
        <v>3.5</v>
      </c>
      <c r="R167" t="b">
        <v>1</v>
      </c>
      <c r="S167" t="s">
        <v>30</v>
      </c>
      <c r="T167">
        <v>2600</v>
      </c>
      <c r="U167" t="s">
        <v>76</v>
      </c>
      <c r="V167" t="s">
        <v>32</v>
      </c>
      <c r="W167" t="s">
        <v>40</v>
      </c>
    </row>
    <row r="168" spans="1:23">
      <c r="A168">
        <v>7829</v>
      </c>
      <c r="B168" t="s">
        <v>291</v>
      </c>
      <c r="C168" s="1" t="s">
        <v>292</v>
      </c>
      <c r="D168" s="1" t="s">
        <v>103</v>
      </c>
      <c r="E168">
        <v>7.99</v>
      </c>
      <c r="F168">
        <v>482</v>
      </c>
      <c r="G168" t="s">
        <v>73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43</v>
      </c>
      <c r="N168" t="s">
        <v>28</v>
      </c>
      <c r="O168" t="s">
        <v>45</v>
      </c>
      <c r="P168">
        <v>0</v>
      </c>
      <c r="Q168">
        <v>3.7</v>
      </c>
      <c r="R168" t="b">
        <v>1</v>
      </c>
      <c r="S168" t="s">
        <v>30</v>
      </c>
      <c r="T168">
        <v>3247</v>
      </c>
      <c r="U168" t="s">
        <v>65</v>
      </c>
      <c r="V168" t="s">
        <v>39</v>
      </c>
      <c r="W168" t="s">
        <v>60</v>
      </c>
    </row>
    <row r="169" spans="1:23">
      <c r="A169">
        <v>1715</v>
      </c>
      <c r="B169" t="s">
        <v>254</v>
      </c>
      <c r="C169" s="1" t="s">
        <v>293</v>
      </c>
      <c r="D169" s="1">
        <v>45394</v>
      </c>
      <c r="E169">
        <v>7.99</v>
      </c>
      <c r="F169">
        <v>87</v>
      </c>
      <c r="G169" t="s">
        <v>36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49</v>
      </c>
      <c r="N169" t="s">
        <v>44</v>
      </c>
      <c r="O169" t="s">
        <v>29</v>
      </c>
      <c r="P169">
        <v>51</v>
      </c>
      <c r="Q169">
        <v>3.1</v>
      </c>
      <c r="R169" t="b">
        <v>1</v>
      </c>
      <c r="S169" t="s">
        <v>30</v>
      </c>
      <c r="T169">
        <v>941</v>
      </c>
      <c r="U169" t="s">
        <v>31</v>
      </c>
      <c r="V169" t="s">
        <v>59</v>
      </c>
      <c r="W169" t="s">
        <v>93</v>
      </c>
    </row>
    <row r="170" spans="1:23">
      <c r="A170">
        <v>2639</v>
      </c>
      <c r="B170" t="s">
        <v>294</v>
      </c>
      <c r="C170" s="1" t="s">
        <v>155</v>
      </c>
      <c r="D170" s="1">
        <v>45485</v>
      </c>
      <c r="E170">
        <v>11.99</v>
      </c>
      <c r="F170">
        <v>163</v>
      </c>
      <c r="G170" t="s">
        <v>36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68</v>
      </c>
      <c r="N170" t="s">
        <v>44</v>
      </c>
      <c r="O170" t="s">
        <v>64</v>
      </c>
      <c r="P170">
        <v>37</v>
      </c>
      <c r="Q170">
        <v>4.5999999999999996</v>
      </c>
      <c r="R170" t="b">
        <v>0</v>
      </c>
      <c r="S170" t="s">
        <v>30</v>
      </c>
      <c r="T170">
        <v>1934</v>
      </c>
      <c r="U170" t="s">
        <v>31</v>
      </c>
      <c r="V170" t="s">
        <v>32</v>
      </c>
      <c r="W170" t="s">
        <v>40</v>
      </c>
    </row>
    <row r="171" spans="1:23">
      <c r="A171">
        <v>1801</v>
      </c>
      <c r="B171" t="s">
        <v>174</v>
      </c>
      <c r="C171" s="1" t="s">
        <v>295</v>
      </c>
      <c r="D171" s="1" t="s">
        <v>25</v>
      </c>
      <c r="E171">
        <v>11.99</v>
      </c>
      <c r="F171">
        <v>419</v>
      </c>
      <c r="G171" t="s">
        <v>63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74</v>
      </c>
      <c r="N171" t="s">
        <v>56</v>
      </c>
      <c r="O171" t="s">
        <v>37</v>
      </c>
      <c r="P171">
        <v>9</v>
      </c>
      <c r="Q171">
        <v>4.5999999999999996</v>
      </c>
      <c r="R171" t="b">
        <v>0</v>
      </c>
      <c r="S171" t="s">
        <v>30</v>
      </c>
      <c r="T171">
        <v>4650</v>
      </c>
      <c r="U171" t="s">
        <v>38</v>
      </c>
      <c r="V171" t="s">
        <v>69</v>
      </c>
      <c r="W171" t="s">
        <v>33</v>
      </c>
    </row>
    <row r="172" spans="1:23">
      <c r="A172">
        <v>9163</v>
      </c>
      <c r="B172" t="s">
        <v>274</v>
      </c>
      <c r="C172" s="1">
        <v>45020</v>
      </c>
      <c r="D172" s="1" t="s">
        <v>99</v>
      </c>
      <c r="E172">
        <v>11.99</v>
      </c>
      <c r="F172">
        <v>203</v>
      </c>
      <c r="G172" t="s">
        <v>48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55</v>
      </c>
      <c r="N172" t="s">
        <v>44</v>
      </c>
      <c r="O172" t="s">
        <v>78</v>
      </c>
      <c r="P172">
        <v>94</v>
      </c>
      <c r="Q172">
        <v>3.9</v>
      </c>
      <c r="R172" t="b">
        <v>1</v>
      </c>
      <c r="S172" t="s">
        <v>30</v>
      </c>
      <c r="T172">
        <v>4450</v>
      </c>
      <c r="U172" t="s">
        <v>31</v>
      </c>
      <c r="V172" t="s">
        <v>32</v>
      </c>
      <c r="W172" t="s">
        <v>93</v>
      </c>
    </row>
    <row r="173" spans="1:23">
      <c r="A173">
        <v>1284</v>
      </c>
      <c r="B173" t="s">
        <v>157</v>
      </c>
      <c r="C173" s="1">
        <v>45394</v>
      </c>
      <c r="D173" s="1">
        <v>45303</v>
      </c>
      <c r="E173">
        <v>7.99</v>
      </c>
      <c r="F173">
        <v>405</v>
      </c>
      <c r="G173" t="s">
        <v>73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68</v>
      </c>
      <c r="N173" t="s">
        <v>56</v>
      </c>
      <c r="O173" t="s">
        <v>78</v>
      </c>
      <c r="P173">
        <v>42</v>
      </c>
      <c r="Q173">
        <v>3.7</v>
      </c>
      <c r="R173" t="b">
        <v>0</v>
      </c>
      <c r="S173" t="s">
        <v>30</v>
      </c>
      <c r="T173">
        <v>2395</v>
      </c>
      <c r="U173" t="s">
        <v>65</v>
      </c>
      <c r="V173" t="s">
        <v>39</v>
      </c>
      <c r="W173" t="s">
        <v>60</v>
      </c>
    </row>
    <row r="174" spans="1:23">
      <c r="A174">
        <v>8774</v>
      </c>
      <c r="B174" t="s">
        <v>296</v>
      </c>
      <c r="C174" s="1">
        <v>44996</v>
      </c>
      <c r="D174" s="1">
        <v>45516</v>
      </c>
      <c r="E174">
        <v>15.99</v>
      </c>
      <c r="F174">
        <v>496</v>
      </c>
      <c r="G174" t="s">
        <v>73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27</v>
      </c>
      <c r="N174" t="s">
        <v>75</v>
      </c>
      <c r="O174" t="s">
        <v>78</v>
      </c>
      <c r="P174">
        <v>4</v>
      </c>
      <c r="Q174">
        <v>4.8</v>
      </c>
      <c r="R174" t="b">
        <v>0</v>
      </c>
      <c r="S174" t="s">
        <v>30</v>
      </c>
      <c r="T174">
        <v>4504</v>
      </c>
      <c r="U174" t="s">
        <v>58</v>
      </c>
      <c r="V174" t="s">
        <v>69</v>
      </c>
      <c r="W174" t="s">
        <v>60</v>
      </c>
    </row>
    <row r="175" spans="1:23">
      <c r="A175">
        <v>3866</v>
      </c>
      <c r="B175" t="s">
        <v>297</v>
      </c>
      <c r="C175" s="1">
        <v>45293</v>
      </c>
      <c r="D175" s="1" t="s">
        <v>105</v>
      </c>
      <c r="E175">
        <v>15.99</v>
      </c>
      <c r="F175">
        <v>328</v>
      </c>
      <c r="G175" t="s">
        <v>48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74</v>
      </c>
      <c r="N175" t="s">
        <v>44</v>
      </c>
      <c r="O175" t="s">
        <v>45</v>
      </c>
      <c r="P175">
        <v>3</v>
      </c>
      <c r="Q175">
        <v>4.4000000000000004</v>
      </c>
      <c r="R175" t="b">
        <v>1</v>
      </c>
      <c r="S175" t="s">
        <v>30</v>
      </c>
      <c r="T175">
        <v>3015</v>
      </c>
      <c r="U175" t="s">
        <v>65</v>
      </c>
      <c r="V175" t="s">
        <v>59</v>
      </c>
      <c r="W175" t="s">
        <v>40</v>
      </c>
    </row>
    <row r="176" spans="1:23">
      <c r="A176">
        <v>4477</v>
      </c>
      <c r="B176" t="s">
        <v>272</v>
      </c>
      <c r="C176" s="1" t="s">
        <v>298</v>
      </c>
      <c r="D176" s="1" t="s">
        <v>109</v>
      </c>
      <c r="E176">
        <v>7.99</v>
      </c>
      <c r="F176">
        <v>85</v>
      </c>
      <c r="G176" t="s">
        <v>36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49</v>
      </c>
      <c r="N176" t="s">
        <v>28</v>
      </c>
      <c r="O176" t="s">
        <v>37</v>
      </c>
      <c r="P176">
        <v>16</v>
      </c>
      <c r="Q176">
        <v>3.8</v>
      </c>
      <c r="R176" t="b">
        <v>0</v>
      </c>
      <c r="S176" t="s">
        <v>30</v>
      </c>
      <c r="T176">
        <v>4971</v>
      </c>
      <c r="U176" t="s">
        <v>31</v>
      </c>
      <c r="V176" t="s">
        <v>69</v>
      </c>
      <c r="W176" t="s">
        <v>40</v>
      </c>
    </row>
    <row r="177" spans="1:23">
      <c r="A177">
        <v>4829</v>
      </c>
      <c r="B177" t="s">
        <v>299</v>
      </c>
      <c r="C177" s="1" t="s">
        <v>300</v>
      </c>
      <c r="D177" s="1" t="s">
        <v>72</v>
      </c>
      <c r="E177">
        <v>11.99</v>
      </c>
      <c r="F177">
        <v>386</v>
      </c>
      <c r="G177" t="s">
        <v>48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74</v>
      </c>
      <c r="N177" t="s">
        <v>56</v>
      </c>
      <c r="O177" t="s">
        <v>29</v>
      </c>
      <c r="P177">
        <v>44</v>
      </c>
      <c r="Q177">
        <v>4.7</v>
      </c>
      <c r="R177" t="b">
        <v>0</v>
      </c>
      <c r="S177" t="s">
        <v>30</v>
      </c>
      <c r="T177">
        <v>2377</v>
      </c>
      <c r="U177" t="s">
        <v>31</v>
      </c>
      <c r="V177" t="s">
        <v>32</v>
      </c>
      <c r="W177" t="s">
        <v>60</v>
      </c>
    </row>
    <row r="178" spans="1:23">
      <c r="A178">
        <v>1257</v>
      </c>
      <c r="B178" t="s">
        <v>257</v>
      </c>
      <c r="C178" s="1">
        <v>45140</v>
      </c>
      <c r="D178" s="1">
        <v>45516</v>
      </c>
      <c r="E178">
        <v>7.99</v>
      </c>
      <c r="F178">
        <v>245</v>
      </c>
      <c r="G178" t="s">
        <v>26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43</v>
      </c>
      <c r="N178" t="s">
        <v>28</v>
      </c>
      <c r="O178" t="s">
        <v>37</v>
      </c>
      <c r="P178">
        <v>64</v>
      </c>
      <c r="Q178">
        <v>4.9000000000000004</v>
      </c>
      <c r="R178" t="b">
        <v>0</v>
      </c>
      <c r="S178" t="s">
        <v>30</v>
      </c>
      <c r="T178">
        <v>212</v>
      </c>
      <c r="U178" t="s">
        <v>76</v>
      </c>
      <c r="V178" t="s">
        <v>69</v>
      </c>
      <c r="W178" t="s">
        <v>93</v>
      </c>
    </row>
    <row r="179" spans="1:23">
      <c r="A179">
        <v>1897</v>
      </c>
      <c r="B179" t="s">
        <v>301</v>
      </c>
      <c r="C179" s="1" t="s">
        <v>273</v>
      </c>
      <c r="D179" s="1" t="s">
        <v>129</v>
      </c>
      <c r="E179">
        <v>11.99</v>
      </c>
      <c r="F179">
        <v>97</v>
      </c>
      <c r="G179" t="s">
        <v>63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55</v>
      </c>
      <c r="N179" t="s">
        <v>28</v>
      </c>
      <c r="O179" t="s">
        <v>78</v>
      </c>
      <c r="P179">
        <v>80</v>
      </c>
      <c r="Q179">
        <v>3.6</v>
      </c>
      <c r="R179" t="b">
        <v>1</v>
      </c>
      <c r="S179" t="s">
        <v>30</v>
      </c>
      <c r="T179">
        <v>188</v>
      </c>
      <c r="U179" t="s">
        <v>31</v>
      </c>
      <c r="V179" t="s">
        <v>79</v>
      </c>
      <c r="W179" t="s">
        <v>93</v>
      </c>
    </row>
    <row r="180" spans="1:23">
      <c r="A180">
        <v>3603</v>
      </c>
      <c r="B180" t="s">
        <v>302</v>
      </c>
      <c r="C180" s="1">
        <v>45020</v>
      </c>
      <c r="D180" s="1" t="s">
        <v>84</v>
      </c>
      <c r="E180">
        <v>7.99</v>
      </c>
      <c r="F180">
        <v>216</v>
      </c>
      <c r="G180" t="s">
        <v>51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27</v>
      </c>
      <c r="N180" t="s">
        <v>56</v>
      </c>
      <c r="O180" t="s">
        <v>45</v>
      </c>
      <c r="P180">
        <v>20</v>
      </c>
      <c r="Q180">
        <v>3.4</v>
      </c>
      <c r="R180" t="b">
        <v>0</v>
      </c>
      <c r="S180" t="s">
        <v>30</v>
      </c>
      <c r="T180">
        <v>4435</v>
      </c>
      <c r="U180" t="s">
        <v>38</v>
      </c>
      <c r="V180" t="s">
        <v>79</v>
      </c>
      <c r="W180" t="s">
        <v>33</v>
      </c>
    </row>
    <row r="181" spans="1:23">
      <c r="A181">
        <v>9256</v>
      </c>
      <c r="B181" t="s">
        <v>257</v>
      </c>
      <c r="C181" s="1">
        <v>45109</v>
      </c>
      <c r="D181" s="1" t="s">
        <v>82</v>
      </c>
      <c r="E181">
        <v>7.99</v>
      </c>
      <c r="F181">
        <v>331</v>
      </c>
      <c r="G181" t="s">
        <v>100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92</v>
      </c>
      <c r="N181" t="s">
        <v>56</v>
      </c>
      <c r="O181" t="s">
        <v>78</v>
      </c>
      <c r="P181">
        <v>21</v>
      </c>
      <c r="Q181">
        <v>4.8</v>
      </c>
      <c r="R181" t="b">
        <v>1</v>
      </c>
      <c r="S181" t="s">
        <v>30</v>
      </c>
      <c r="T181">
        <v>1454</v>
      </c>
      <c r="U181" t="s">
        <v>58</v>
      </c>
      <c r="V181" t="s">
        <v>39</v>
      </c>
      <c r="W181" t="s">
        <v>93</v>
      </c>
    </row>
    <row r="182" spans="1:23">
      <c r="A182">
        <v>9469</v>
      </c>
      <c r="B182" t="s">
        <v>101</v>
      </c>
      <c r="C182" s="1">
        <v>45205</v>
      </c>
      <c r="D182" s="1" t="s">
        <v>87</v>
      </c>
      <c r="E182">
        <v>11.99</v>
      </c>
      <c r="F182">
        <v>451</v>
      </c>
      <c r="G182" t="s">
        <v>48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74</v>
      </c>
      <c r="N182" t="s">
        <v>56</v>
      </c>
      <c r="O182" t="s">
        <v>37</v>
      </c>
      <c r="P182">
        <v>94</v>
      </c>
      <c r="Q182">
        <v>3</v>
      </c>
      <c r="R182" t="b">
        <v>1</v>
      </c>
      <c r="S182" t="s">
        <v>30</v>
      </c>
      <c r="T182">
        <v>2841</v>
      </c>
      <c r="U182" t="s">
        <v>65</v>
      </c>
      <c r="V182" t="s">
        <v>69</v>
      </c>
      <c r="W182" t="s">
        <v>40</v>
      </c>
    </row>
    <row r="183" spans="1:23">
      <c r="A183">
        <v>7136</v>
      </c>
      <c r="B183" t="s">
        <v>143</v>
      </c>
      <c r="C183" s="1" t="s">
        <v>303</v>
      </c>
      <c r="D183" s="1" t="s">
        <v>42</v>
      </c>
      <c r="E183">
        <v>7.99</v>
      </c>
      <c r="F183">
        <v>326</v>
      </c>
      <c r="G183" t="s">
        <v>26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92</v>
      </c>
      <c r="N183" t="s">
        <v>28</v>
      </c>
      <c r="O183" t="s">
        <v>29</v>
      </c>
      <c r="P183">
        <v>56</v>
      </c>
      <c r="Q183">
        <v>3.3</v>
      </c>
      <c r="R183" t="b">
        <v>0</v>
      </c>
      <c r="S183" t="s">
        <v>30</v>
      </c>
      <c r="T183">
        <v>1626</v>
      </c>
      <c r="U183" t="s">
        <v>31</v>
      </c>
      <c r="V183" t="s">
        <v>39</v>
      </c>
      <c r="W183" t="s">
        <v>93</v>
      </c>
    </row>
    <row r="184" spans="1:23">
      <c r="A184">
        <v>2321</v>
      </c>
      <c r="B184" t="s">
        <v>304</v>
      </c>
      <c r="C184" s="1" t="s">
        <v>305</v>
      </c>
      <c r="D184" s="1" t="s">
        <v>42</v>
      </c>
      <c r="E184">
        <v>15.99</v>
      </c>
      <c r="F184">
        <v>358</v>
      </c>
      <c r="G184" t="s">
        <v>36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92</v>
      </c>
      <c r="N184" t="s">
        <v>44</v>
      </c>
      <c r="O184" t="s">
        <v>29</v>
      </c>
      <c r="P184">
        <v>14</v>
      </c>
      <c r="Q184">
        <v>4.2</v>
      </c>
      <c r="R184" t="b">
        <v>0</v>
      </c>
      <c r="S184" t="s">
        <v>30</v>
      </c>
      <c r="T184">
        <v>111</v>
      </c>
      <c r="U184" t="s">
        <v>38</v>
      </c>
      <c r="V184" t="s">
        <v>32</v>
      </c>
      <c r="W184" t="s">
        <v>60</v>
      </c>
    </row>
    <row r="185" spans="1:23">
      <c r="A185">
        <v>4243</v>
      </c>
      <c r="B185" t="s">
        <v>272</v>
      </c>
      <c r="C185" s="1" t="s">
        <v>306</v>
      </c>
      <c r="D185" s="1" t="s">
        <v>168</v>
      </c>
      <c r="E185">
        <v>15.99</v>
      </c>
      <c r="F185">
        <v>91</v>
      </c>
      <c r="G185" t="s">
        <v>26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43</v>
      </c>
      <c r="N185" t="s">
        <v>75</v>
      </c>
      <c r="O185" t="s">
        <v>64</v>
      </c>
      <c r="P185">
        <v>7</v>
      </c>
      <c r="Q185">
        <v>4.0999999999999996</v>
      </c>
      <c r="R185" t="b">
        <v>0</v>
      </c>
      <c r="S185" t="s">
        <v>30</v>
      </c>
      <c r="T185">
        <v>450</v>
      </c>
      <c r="U185" t="s">
        <v>76</v>
      </c>
      <c r="V185" t="s">
        <v>79</v>
      </c>
      <c r="W185" t="s">
        <v>60</v>
      </c>
    </row>
    <row r="186" spans="1:23">
      <c r="A186">
        <v>8015</v>
      </c>
      <c r="B186" t="s">
        <v>307</v>
      </c>
      <c r="C186" s="1" t="s">
        <v>225</v>
      </c>
      <c r="D186" s="1" t="s">
        <v>103</v>
      </c>
      <c r="E186">
        <v>7.99</v>
      </c>
      <c r="F186">
        <v>478</v>
      </c>
      <c r="G186" t="s">
        <v>26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49</v>
      </c>
      <c r="N186" t="s">
        <v>44</v>
      </c>
      <c r="O186" t="s">
        <v>57</v>
      </c>
      <c r="P186">
        <v>44</v>
      </c>
      <c r="Q186">
        <v>3.6</v>
      </c>
      <c r="R186" t="b">
        <v>0</v>
      </c>
      <c r="S186" t="s">
        <v>30</v>
      </c>
      <c r="T186">
        <v>3325</v>
      </c>
      <c r="U186" t="s">
        <v>38</v>
      </c>
      <c r="V186" t="s">
        <v>32</v>
      </c>
      <c r="W186" t="s">
        <v>93</v>
      </c>
    </row>
    <row r="187" spans="1:23">
      <c r="A187">
        <v>3440</v>
      </c>
      <c r="B187" t="s">
        <v>101</v>
      </c>
      <c r="C187" s="1" t="s">
        <v>308</v>
      </c>
      <c r="D187" s="1" t="s">
        <v>82</v>
      </c>
      <c r="E187">
        <v>7.99</v>
      </c>
      <c r="F187">
        <v>16</v>
      </c>
      <c r="G187" t="s">
        <v>51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92</v>
      </c>
      <c r="N187" t="s">
        <v>28</v>
      </c>
      <c r="O187" t="s">
        <v>45</v>
      </c>
      <c r="P187">
        <v>52</v>
      </c>
      <c r="Q187">
        <v>3.1</v>
      </c>
      <c r="R187" t="b">
        <v>1</v>
      </c>
      <c r="S187" t="s">
        <v>30</v>
      </c>
      <c r="T187">
        <v>3059</v>
      </c>
      <c r="U187" t="s">
        <v>76</v>
      </c>
      <c r="V187" t="s">
        <v>59</v>
      </c>
      <c r="W187" t="s">
        <v>60</v>
      </c>
    </row>
    <row r="188" spans="1:23">
      <c r="A188">
        <v>9914</v>
      </c>
      <c r="B188" t="s">
        <v>197</v>
      </c>
      <c r="C188" s="1" t="s">
        <v>309</v>
      </c>
      <c r="D188" s="1">
        <v>45516</v>
      </c>
      <c r="E188">
        <v>11.99</v>
      </c>
      <c r="F188">
        <v>44</v>
      </c>
      <c r="G188" t="s">
        <v>73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74</v>
      </c>
      <c r="N188" t="s">
        <v>28</v>
      </c>
      <c r="O188" t="s">
        <v>64</v>
      </c>
      <c r="P188">
        <v>18</v>
      </c>
      <c r="Q188">
        <v>4.4000000000000004</v>
      </c>
      <c r="R188" t="b">
        <v>0</v>
      </c>
      <c r="S188" t="s">
        <v>30</v>
      </c>
      <c r="T188">
        <v>1065</v>
      </c>
      <c r="U188" t="s">
        <v>31</v>
      </c>
      <c r="V188" t="s">
        <v>32</v>
      </c>
      <c r="W188" t="s">
        <v>93</v>
      </c>
    </row>
    <row r="189" spans="1:23">
      <c r="A189">
        <v>5045</v>
      </c>
      <c r="B189" t="s">
        <v>140</v>
      </c>
      <c r="C189" s="1" t="s">
        <v>62</v>
      </c>
      <c r="D189" s="1" t="s">
        <v>134</v>
      </c>
      <c r="E189">
        <v>11.99</v>
      </c>
      <c r="F189">
        <v>100</v>
      </c>
      <c r="G189" t="s">
        <v>73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92</v>
      </c>
      <c r="N189" t="s">
        <v>28</v>
      </c>
      <c r="O189" t="s">
        <v>45</v>
      </c>
      <c r="P189">
        <v>53</v>
      </c>
      <c r="Q189">
        <v>4.5</v>
      </c>
      <c r="R189" t="b">
        <v>0</v>
      </c>
      <c r="S189" t="s">
        <v>30</v>
      </c>
      <c r="T189">
        <v>2575</v>
      </c>
      <c r="U189" t="s">
        <v>76</v>
      </c>
      <c r="V189" t="s">
        <v>59</v>
      </c>
      <c r="W189" t="s">
        <v>93</v>
      </c>
    </row>
    <row r="190" spans="1:23">
      <c r="A190">
        <v>1379</v>
      </c>
      <c r="B190" t="s">
        <v>240</v>
      </c>
      <c r="C190" s="1" t="s">
        <v>310</v>
      </c>
      <c r="D190" s="1">
        <v>45424</v>
      </c>
      <c r="E190">
        <v>11.99</v>
      </c>
      <c r="F190">
        <v>44</v>
      </c>
      <c r="G190" t="s">
        <v>36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49</v>
      </c>
      <c r="N190" t="s">
        <v>28</v>
      </c>
      <c r="O190" t="s">
        <v>64</v>
      </c>
      <c r="P190">
        <v>88</v>
      </c>
      <c r="Q190">
        <v>4.5999999999999996</v>
      </c>
      <c r="R190" t="b">
        <v>0</v>
      </c>
      <c r="S190" t="s">
        <v>30</v>
      </c>
      <c r="T190">
        <v>1690</v>
      </c>
      <c r="U190" t="s">
        <v>65</v>
      </c>
      <c r="V190" t="s">
        <v>32</v>
      </c>
      <c r="W190" t="s">
        <v>40</v>
      </c>
    </row>
    <row r="191" spans="1:23">
      <c r="A191">
        <v>6099</v>
      </c>
      <c r="B191" t="s">
        <v>311</v>
      </c>
      <c r="C191" s="1" t="s">
        <v>312</v>
      </c>
      <c r="D191" s="1" t="s">
        <v>99</v>
      </c>
      <c r="E191">
        <v>11.99</v>
      </c>
      <c r="F191">
        <v>37</v>
      </c>
      <c r="G191" t="s">
        <v>73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43</v>
      </c>
      <c r="N191" t="s">
        <v>44</v>
      </c>
      <c r="O191" t="s">
        <v>78</v>
      </c>
      <c r="P191">
        <v>32</v>
      </c>
      <c r="Q191">
        <v>3.9</v>
      </c>
      <c r="R191" t="b">
        <v>0</v>
      </c>
      <c r="S191" t="s">
        <v>30</v>
      </c>
      <c r="T191">
        <v>1382</v>
      </c>
      <c r="U191" t="s">
        <v>31</v>
      </c>
      <c r="V191" t="s">
        <v>32</v>
      </c>
      <c r="W191" t="s">
        <v>60</v>
      </c>
    </row>
    <row r="192" spans="1:23">
      <c r="A192">
        <v>4696</v>
      </c>
      <c r="B192" t="s">
        <v>313</v>
      </c>
      <c r="C192" s="1" t="s">
        <v>314</v>
      </c>
      <c r="D192" s="1">
        <v>45394</v>
      </c>
      <c r="E192">
        <v>15.99</v>
      </c>
      <c r="F192">
        <v>48</v>
      </c>
      <c r="G192" t="s">
        <v>26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27</v>
      </c>
      <c r="N192" t="s">
        <v>75</v>
      </c>
      <c r="O192" t="s">
        <v>78</v>
      </c>
      <c r="P192">
        <v>66</v>
      </c>
      <c r="Q192">
        <v>3.7</v>
      </c>
      <c r="R192" t="b">
        <v>0</v>
      </c>
      <c r="S192" t="s">
        <v>30</v>
      </c>
      <c r="T192">
        <v>1050</v>
      </c>
      <c r="U192" t="s">
        <v>65</v>
      </c>
      <c r="V192" t="s">
        <v>39</v>
      </c>
      <c r="W192" t="s">
        <v>33</v>
      </c>
    </row>
    <row r="193" spans="1:23">
      <c r="A193">
        <v>4808</v>
      </c>
      <c r="B193" t="s">
        <v>280</v>
      </c>
      <c r="C193" s="1" t="s">
        <v>315</v>
      </c>
      <c r="D193" s="1" t="s">
        <v>99</v>
      </c>
      <c r="E193">
        <v>7.99</v>
      </c>
      <c r="F193">
        <v>371</v>
      </c>
      <c r="G193" t="s">
        <v>100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43</v>
      </c>
      <c r="N193" t="s">
        <v>28</v>
      </c>
      <c r="O193" t="s">
        <v>57</v>
      </c>
      <c r="P193">
        <v>36</v>
      </c>
      <c r="Q193">
        <v>4.0999999999999996</v>
      </c>
      <c r="R193" t="b">
        <v>1</v>
      </c>
      <c r="S193" t="s">
        <v>30</v>
      </c>
      <c r="T193">
        <v>2328</v>
      </c>
      <c r="U193" t="s">
        <v>38</v>
      </c>
      <c r="V193" t="s">
        <v>69</v>
      </c>
      <c r="W193" t="s">
        <v>33</v>
      </c>
    </row>
    <row r="194" spans="1:23">
      <c r="A194">
        <v>3633</v>
      </c>
      <c r="B194" t="s">
        <v>316</v>
      </c>
      <c r="C194" s="1" t="s">
        <v>103</v>
      </c>
      <c r="D194" s="1">
        <v>45577</v>
      </c>
      <c r="E194">
        <v>7.99</v>
      </c>
      <c r="F194">
        <v>176</v>
      </c>
      <c r="G194" t="s">
        <v>26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92</v>
      </c>
      <c r="N194" t="s">
        <v>75</v>
      </c>
      <c r="O194" t="s">
        <v>64</v>
      </c>
      <c r="P194">
        <v>42</v>
      </c>
      <c r="Q194">
        <v>3.2</v>
      </c>
      <c r="R194" t="b">
        <v>0</v>
      </c>
      <c r="S194" t="s">
        <v>30</v>
      </c>
      <c r="T194">
        <v>4414</v>
      </c>
      <c r="U194" t="s">
        <v>31</v>
      </c>
      <c r="V194" t="s">
        <v>32</v>
      </c>
      <c r="W194" t="s">
        <v>33</v>
      </c>
    </row>
    <row r="195" spans="1:23">
      <c r="A195">
        <v>4979</v>
      </c>
      <c r="B195" t="s">
        <v>255</v>
      </c>
      <c r="C195" s="1" t="s">
        <v>317</v>
      </c>
      <c r="D195" s="1" t="s">
        <v>156</v>
      </c>
      <c r="E195">
        <v>15.99</v>
      </c>
      <c r="F195">
        <v>312</v>
      </c>
      <c r="G195" t="s">
        <v>36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68</v>
      </c>
      <c r="N195" t="s">
        <v>28</v>
      </c>
      <c r="O195" t="s">
        <v>57</v>
      </c>
      <c r="P195">
        <v>18</v>
      </c>
      <c r="Q195">
        <v>4.3</v>
      </c>
      <c r="R195" t="b">
        <v>1</v>
      </c>
      <c r="S195" t="s">
        <v>30</v>
      </c>
      <c r="T195">
        <v>3980</v>
      </c>
      <c r="U195" t="s">
        <v>65</v>
      </c>
      <c r="V195" t="s">
        <v>39</v>
      </c>
      <c r="W195" t="s">
        <v>40</v>
      </c>
    </row>
    <row r="196" spans="1:23">
      <c r="A196">
        <v>2214</v>
      </c>
      <c r="B196" t="s">
        <v>318</v>
      </c>
      <c r="C196" s="1" t="s">
        <v>319</v>
      </c>
      <c r="D196" s="1" t="s">
        <v>156</v>
      </c>
      <c r="E196">
        <v>7.99</v>
      </c>
      <c r="F196">
        <v>375</v>
      </c>
      <c r="G196" t="s">
        <v>100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55</v>
      </c>
      <c r="N196" t="s">
        <v>28</v>
      </c>
      <c r="O196" t="s">
        <v>78</v>
      </c>
      <c r="P196">
        <v>16</v>
      </c>
      <c r="Q196">
        <v>3.9</v>
      </c>
      <c r="R196" t="b">
        <v>1</v>
      </c>
      <c r="S196" t="s">
        <v>30</v>
      </c>
      <c r="T196">
        <v>3596</v>
      </c>
      <c r="U196" t="s">
        <v>31</v>
      </c>
      <c r="V196" t="s">
        <v>39</v>
      </c>
      <c r="W196" t="s">
        <v>33</v>
      </c>
    </row>
    <row r="197" spans="1:23">
      <c r="A197">
        <v>6606</v>
      </c>
      <c r="B197" t="s">
        <v>311</v>
      </c>
      <c r="C197" s="1" t="s">
        <v>320</v>
      </c>
      <c r="D197" s="1" t="s">
        <v>168</v>
      </c>
      <c r="E197">
        <v>15.99</v>
      </c>
      <c r="F197">
        <v>134</v>
      </c>
      <c r="G197" t="s">
        <v>48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92</v>
      </c>
      <c r="N197" t="s">
        <v>75</v>
      </c>
      <c r="O197" t="s">
        <v>64</v>
      </c>
      <c r="P197">
        <v>96</v>
      </c>
      <c r="Q197">
        <v>3.6</v>
      </c>
      <c r="R197" t="b">
        <v>1</v>
      </c>
      <c r="S197" t="s">
        <v>30</v>
      </c>
      <c r="T197">
        <v>1150</v>
      </c>
      <c r="U197" t="s">
        <v>31</v>
      </c>
      <c r="V197" t="s">
        <v>39</v>
      </c>
      <c r="W197" t="s">
        <v>33</v>
      </c>
    </row>
    <row r="198" spans="1:23">
      <c r="A198">
        <v>4246</v>
      </c>
      <c r="B198" t="s">
        <v>259</v>
      </c>
      <c r="C198" s="1" t="s">
        <v>321</v>
      </c>
      <c r="D198" s="1" t="s">
        <v>35</v>
      </c>
      <c r="E198">
        <v>7.99</v>
      </c>
      <c r="F198">
        <v>91</v>
      </c>
      <c r="G198" t="s">
        <v>36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49</v>
      </c>
      <c r="N198" t="s">
        <v>28</v>
      </c>
      <c r="O198" t="s">
        <v>57</v>
      </c>
      <c r="P198">
        <v>85</v>
      </c>
      <c r="Q198">
        <v>4.4000000000000004</v>
      </c>
      <c r="R198" t="b">
        <v>0</v>
      </c>
      <c r="S198" t="s">
        <v>30</v>
      </c>
      <c r="T198">
        <v>1858</v>
      </c>
      <c r="U198" t="s">
        <v>58</v>
      </c>
      <c r="V198" t="s">
        <v>32</v>
      </c>
      <c r="W198" t="s">
        <v>33</v>
      </c>
    </row>
    <row r="199" spans="1:23">
      <c r="A199">
        <v>2836</v>
      </c>
      <c r="B199" t="s">
        <v>232</v>
      </c>
      <c r="C199" s="1">
        <v>45475</v>
      </c>
      <c r="D199" s="1" t="s">
        <v>72</v>
      </c>
      <c r="E199">
        <v>7.99</v>
      </c>
      <c r="F199">
        <v>359</v>
      </c>
      <c r="G199" t="s">
        <v>63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68</v>
      </c>
      <c r="N199" t="s">
        <v>75</v>
      </c>
      <c r="O199" t="s">
        <v>37</v>
      </c>
      <c r="P199">
        <v>28</v>
      </c>
      <c r="Q199">
        <v>3.3</v>
      </c>
      <c r="R199" t="b">
        <v>0</v>
      </c>
      <c r="S199" t="s">
        <v>30</v>
      </c>
      <c r="T199">
        <v>1926</v>
      </c>
      <c r="U199" t="s">
        <v>38</v>
      </c>
      <c r="V199" t="s">
        <v>79</v>
      </c>
      <c r="W199" t="s">
        <v>60</v>
      </c>
    </row>
    <row r="200" spans="1:23">
      <c r="A200">
        <v>6963</v>
      </c>
      <c r="B200" t="s">
        <v>322</v>
      </c>
      <c r="C200" s="1">
        <v>45084</v>
      </c>
      <c r="D200" s="1" t="s">
        <v>168</v>
      </c>
      <c r="E200">
        <v>15.99</v>
      </c>
      <c r="F200">
        <v>172</v>
      </c>
      <c r="G200" t="s">
        <v>73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49</v>
      </c>
      <c r="N200" t="s">
        <v>28</v>
      </c>
      <c r="O200" t="s">
        <v>78</v>
      </c>
      <c r="P200">
        <v>44</v>
      </c>
      <c r="Q200">
        <v>5</v>
      </c>
      <c r="R200" t="b">
        <v>1</v>
      </c>
      <c r="S200" t="s">
        <v>30</v>
      </c>
      <c r="T200">
        <v>2933</v>
      </c>
      <c r="U200" t="s">
        <v>76</v>
      </c>
      <c r="V200" t="s">
        <v>39</v>
      </c>
      <c r="W200" t="s">
        <v>40</v>
      </c>
    </row>
    <row r="201" spans="1:23">
      <c r="A201">
        <v>2243</v>
      </c>
      <c r="B201" t="s">
        <v>323</v>
      </c>
      <c r="C201" s="1" t="s">
        <v>324</v>
      </c>
      <c r="D201" s="1">
        <v>45334</v>
      </c>
      <c r="E201">
        <v>11.99</v>
      </c>
      <c r="F201">
        <v>490</v>
      </c>
      <c r="G201" t="s">
        <v>73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92</v>
      </c>
      <c r="N201" t="s">
        <v>75</v>
      </c>
      <c r="O201" t="s">
        <v>37</v>
      </c>
      <c r="P201">
        <v>45</v>
      </c>
      <c r="Q201">
        <v>4.4000000000000004</v>
      </c>
      <c r="R201" t="b">
        <v>0</v>
      </c>
      <c r="S201" t="s">
        <v>30</v>
      </c>
      <c r="T201">
        <v>2397</v>
      </c>
      <c r="U201" t="s">
        <v>38</v>
      </c>
      <c r="V201" t="s">
        <v>59</v>
      </c>
      <c r="W201" t="s">
        <v>40</v>
      </c>
    </row>
    <row r="202" spans="1:23">
      <c r="A202">
        <v>5081</v>
      </c>
      <c r="B202" t="s">
        <v>325</v>
      </c>
      <c r="C202" s="1" t="s">
        <v>326</v>
      </c>
      <c r="D202" s="1" t="s">
        <v>84</v>
      </c>
      <c r="E202">
        <v>11.99</v>
      </c>
      <c r="F202">
        <v>16</v>
      </c>
      <c r="G202" t="s">
        <v>100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68</v>
      </c>
      <c r="N202" t="s">
        <v>75</v>
      </c>
      <c r="O202" t="s">
        <v>29</v>
      </c>
      <c r="P202">
        <v>90</v>
      </c>
      <c r="Q202">
        <v>4.3</v>
      </c>
      <c r="R202" t="b">
        <v>1</v>
      </c>
      <c r="S202" t="s">
        <v>30</v>
      </c>
      <c r="T202">
        <v>1946</v>
      </c>
      <c r="U202" t="s">
        <v>58</v>
      </c>
      <c r="V202" t="s">
        <v>69</v>
      </c>
      <c r="W202" t="s">
        <v>33</v>
      </c>
    </row>
    <row r="203" spans="1:23">
      <c r="A203">
        <v>4171</v>
      </c>
      <c r="B203" t="s">
        <v>224</v>
      </c>
      <c r="C203" s="1">
        <v>45389</v>
      </c>
      <c r="D203" s="1" t="s">
        <v>42</v>
      </c>
      <c r="E203">
        <v>11.99</v>
      </c>
      <c r="F203">
        <v>291</v>
      </c>
      <c r="G203" t="s">
        <v>48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43</v>
      </c>
      <c r="N203" t="s">
        <v>28</v>
      </c>
      <c r="O203" t="s">
        <v>57</v>
      </c>
      <c r="P203">
        <v>22</v>
      </c>
      <c r="Q203">
        <v>4.0999999999999996</v>
      </c>
      <c r="R203" t="b">
        <v>0</v>
      </c>
      <c r="S203" t="s">
        <v>30</v>
      </c>
      <c r="T203">
        <v>2576</v>
      </c>
      <c r="U203" t="s">
        <v>58</v>
      </c>
      <c r="V203" t="s">
        <v>69</v>
      </c>
      <c r="W203" t="s">
        <v>40</v>
      </c>
    </row>
    <row r="204" spans="1:23">
      <c r="A204">
        <v>7399</v>
      </c>
      <c r="B204" t="s">
        <v>201</v>
      </c>
      <c r="C204" s="1" t="s">
        <v>327</v>
      </c>
      <c r="D204" s="1">
        <v>45547</v>
      </c>
      <c r="E204">
        <v>11.99</v>
      </c>
      <c r="F204">
        <v>119</v>
      </c>
      <c r="G204" t="s">
        <v>100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74</v>
      </c>
      <c r="N204" t="s">
        <v>44</v>
      </c>
      <c r="O204" t="s">
        <v>29</v>
      </c>
      <c r="P204">
        <v>0</v>
      </c>
      <c r="Q204">
        <v>4.2</v>
      </c>
      <c r="R204" t="b">
        <v>0</v>
      </c>
      <c r="S204" t="s">
        <v>30</v>
      </c>
      <c r="T204">
        <v>2259</v>
      </c>
      <c r="U204" t="s">
        <v>76</v>
      </c>
      <c r="V204" t="s">
        <v>69</v>
      </c>
      <c r="W204" t="s">
        <v>33</v>
      </c>
    </row>
    <row r="205" spans="1:23">
      <c r="A205">
        <v>1110</v>
      </c>
      <c r="B205" t="s">
        <v>247</v>
      </c>
      <c r="C205" s="1">
        <v>45417</v>
      </c>
      <c r="D205" s="1">
        <v>45394</v>
      </c>
      <c r="E205">
        <v>11.99</v>
      </c>
      <c r="F205">
        <v>35</v>
      </c>
      <c r="G205" t="s">
        <v>26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27</v>
      </c>
      <c r="N205" t="s">
        <v>28</v>
      </c>
      <c r="O205" t="s">
        <v>57</v>
      </c>
      <c r="P205">
        <v>86</v>
      </c>
      <c r="Q205">
        <v>3.2</v>
      </c>
      <c r="R205" t="b">
        <v>1</v>
      </c>
      <c r="S205" t="s">
        <v>30</v>
      </c>
      <c r="T205">
        <v>1068</v>
      </c>
      <c r="U205" t="s">
        <v>76</v>
      </c>
      <c r="V205" t="s">
        <v>32</v>
      </c>
      <c r="W205" t="s">
        <v>40</v>
      </c>
    </row>
    <row r="206" spans="1:23">
      <c r="A206">
        <v>5630</v>
      </c>
      <c r="B206" t="s">
        <v>328</v>
      </c>
      <c r="C206" s="1">
        <v>45028</v>
      </c>
      <c r="D206" s="1" t="s">
        <v>156</v>
      </c>
      <c r="E206">
        <v>7.99</v>
      </c>
      <c r="F206">
        <v>88</v>
      </c>
      <c r="G206" t="s">
        <v>36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27</v>
      </c>
      <c r="N206" t="s">
        <v>44</v>
      </c>
      <c r="O206" t="s">
        <v>78</v>
      </c>
      <c r="P206">
        <v>86</v>
      </c>
      <c r="Q206">
        <v>5</v>
      </c>
      <c r="R206" t="b">
        <v>1</v>
      </c>
      <c r="S206" t="s">
        <v>30</v>
      </c>
      <c r="T206">
        <v>2928</v>
      </c>
      <c r="U206" t="s">
        <v>58</v>
      </c>
      <c r="V206" t="s">
        <v>69</v>
      </c>
      <c r="W206" t="s">
        <v>33</v>
      </c>
    </row>
    <row r="207" spans="1:23">
      <c r="A207">
        <v>9430</v>
      </c>
      <c r="B207" t="s">
        <v>329</v>
      </c>
      <c r="C207" s="1">
        <v>44996</v>
      </c>
      <c r="D207" s="1" t="s">
        <v>134</v>
      </c>
      <c r="E207">
        <v>7.99</v>
      </c>
      <c r="F207">
        <v>312</v>
      </c>
      <c r="G207" t="s">
        <v>48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49</v>
      </c>
      <c r="N207" t="s">
        <v>44</v>
      </c>
      <c r="O207" t="s">
        <v>45</v>
      </c>
      <c r="P207">
        <v>94</v>
      </c>
      <c r="Q207">
        <v>4.8</v>
      </c>
      <c r="R207" t="b">
        <v>1</v>
      </c>
      <c r="S207" t="s">
        <v>30</v>
      </c>
      <c r="T207">
        <v>3674</v>
      </c>
      <c r="U207" t="s">
        <v>58</v>
      </c>
      <c r="V207" t="s">
        <v>69</v>
      </c>
      <c r="W207" t="s">
        <v>40</v>
      </c>
    </row>
    <row r="208" spans="1:23">
      <c r="A208">
        <v>7436</v>
      </c>
      <c r="B208" t="s">
        <v>330</v>
      </c>
      <c r="C208" s="1" t="s">
        <v>331</v>
      </c>
      <c r="D208" s="1" t="s">
        <v>72</v>
      </c>
      <c r="E208">
        <v>15.99</v>
      </c>
      <c r="F208">
        <v>238</v>
      </c>
      <c r="G208" t="s">
        <v>48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43</v>
      </c>
      <c r="N208" t="s">
        <v>44</v>
      </c>
      <c r="O208" t="s">
        <v>29</v>
      </c>
      <c r="P208">
        <v>78</v>
      </c>
      <c r="Q208">
        <v>3.1</v>
      </c>
      <c r="R208" t="b">
        <v>0</v>
      </c>
      <c r="S208" t="s">
        <v>30</v>
      </c>
      <c r="T208">
        <v>130</v>
      </c>
      <c r="U208" t="s">
        <v>58</v>
      </c>
      <c r="V208" t="s">
        <v>79</v>
      </c>
      <c r="W208" t="s">
        <v>33</v>
      </c>
    </row>
    <row r="209" spans="1:23">
      <c r="A209">
        <v>2147</v>
      </c>
      <c r="B209" t="s">
        <v>332</v>
      </c>
      <c r="C209" s="1">
        <v>45627</v>
      </c>
      <c r="D209" s="1">
        <v>45608</v>
      </c>
      <c r="E209">
        <v>11.99</v>
      </c>
      <c r="F209">
        <v>132</v>
      </c>
      <c r="G209" t="s">
        <v>26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92</v>
      </c>
      <c r="N209" t="s">
        <v>44</v>
      </c>
      <c r="O209" t="s">
        <v>64</v>
      </c>
      <c r="P209">
        <v>71</v>
      </c>
      <c r="Q209">
        <v>3.3</v>
      </c>
      <c r="R209" t="b">
        <v>1</v>
      </c>
      <c r="S209" t="s">
        <v>30</v>
      </c>
      <c r="T209">
        <v>4873</v>
      </c>
      <c r="U209" t="s">
        <v>65</v>
      </c>
      <c r="V209" t="s">
        <v>69</v>
      </c>
      <c r="W209" t="s">
        <v>60</v>
      </c>
    </row>
    <row r="210" spans="1:23">
      <c r="A210">
        <v>3264</v>
      </c>
      <c r="B210" t="s">
        <v>118</v>
      </c>
      <c r="C210" s="1" t="s">
        <v>333</v>
      </c>
      <c r="D210" s="1">
        <v>45547</v>
      </c>
      <c r="E210">
        <v>11.99</v>
      </c>
      <c r="F210">
        <v>456</v>
      </c>
      <c r="G210" t="s">
        <v>73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49</v>
      </c>
      <c r="N210" t="s">
        <v>56</v>
      </c>
      <c r="O210" t="s">
        <v>37</v>
      </c>
      <c r="P210">
        <v>44</v>
      </c>
      <c r="Q210">
        <v>3</v>
      </c>
      <c r="R210" t="b">
        <v>0</v>
      </c>
      <c r="S210" t="s">
        <v>30</v>
      </c>
      <c r="T210">
        <v>96</v>
      </c>
      <c r="U210" t="s">
        <v>31</v>
      </c>
      <c r="V210" t="s">
        <v>79</v>
      </c>
      <c r="W210" t="s">
        <v>33</v>
      </c>
    </row>
    <row r="211" spans="1:23">
      <c r="A211">
        <v>1214</v>
      </c>
      <c r="B211" t="s">
        <v>334</v>
      </c>
      <c r="C211" s="1">
        <v>45144</v>
      </c>
      <c r="D211" s="1">
        <v>45608</v>
      </c>
      <c r="E211">
        <v>11.99</v>
      </c>
      <c r="F211">
        <v>281</v>
      </c>
      <c r="G211" t="s">
        <v>26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74</v>
      </c>
      <c r="N211" t="s">
        <v>28</v>
      </c>
      <c r="O211" t="s">
        <v>64</v>
      </c>
      <c r="P211">
        <v>98</v>
      </c>
      <c r="Q211">
        <v>3.8</v>
      </c>
      <c r="R211" t="b">
        <v>1</v>
      </c>
      <c r="S211" t="s">
        <v>30</v>
      </c>
      <c r="T211">
        <v>110</v>
      </c>
      <c r="U211" t="s">
        <v>65</v>
      </c>
      <c r="V211" t="s">
        <v>59</v>
      </c>
      <c r="W211" t="s">
        <v>93</v>
      </c>
    </row>
    <row r="212" spans="1:23">
      <c r="A212">
        <v>6050</v>
      </c>
      <c r="B212" t="s">
        <v>335</v>
      </c>
      <c r="C212" s="1">
        <v>45512</v>
      </c>
      <c r="D212" s="1" t="s">
        <v>109</v>
      </c>
      <c r="E212">
        <v>11.99</v>
      </c>
      <c r="F212">
        <v>281</v>
      </c>
      <c r="G212" t="s">
        <v>63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27</v>
      </c>
      <c r="N212" t="s">
        <v>44</v>
      </c>
      <c r="O212" t="s">
        <v>45</v>
      </c>
      <c r="P212">
        <v>0</v>
      </c>
      <c r="Q212">
        <v>3.4</v>
      </c>
      <c r="R212" t="b">
        <v>0</v>
      </c>
      <c r="S212" t="s">
        <v>30</v>
      </c>
      <c r="T212">
        <v>225</v>
      </c>
      <c r="U212" t="s">
        <v>31</v>
      </c>
      <c r="V212" t="s">
        <v>69</v>
      </c>
      <c r="W212" t="s">
        <v>33</v>
      </c>
    </row>
    <row r="213" spans="1:23">
      <c r="A213">
        <v>7395</v>
      </c>
      <c r="B213" t="s">
        <v>130</v>
      </c>
      <c r="C213" s="1" t="s">
        <v>185</v>
      </c>
      <c r="D213" s="1">
        <v>45424</v>
      </c>
      <c r="E213">
        <v>11.99</v>
      </c>
      <c r="F213">
        <v>73</v>
      </c>
      <c r="G213" t="s">
        <v>26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68</v>
      </c>
      <c r="N213" t="s">
        <v>44</v>
      </c>
      <c r="O213" t="s">
        <v>37</v>
      </c>
      <c r="P213">
        <v>70</v>
      </c>
      <c r="Q213">
        <v>4.4000000000000004</v>
      </c>
      <c r="R213" t="b">
        <v>1</v>
      </c>
      <c r="S213" t="s">
        <v>30</v>
      </c>
      <c r="T213">
        <v>4083</v>
      </c>
      <c r="U213" t="s">
        <v>58</v>
      </c>
      <c r="V213" t="s">
        <v>39</v>
      </c>
      <c r="W213" t="s">
        <v>33</v>
      </c>
    </row>
    <row r="214" spans="1:23">
      <c r="A214">
        <v>3904</v>
      </c>
      <c r="B214" t="s">
        <v>224</v>
      </c>
      <c r="C214" s="1" t="s">
        <v>155</v>
      </c>
      <c r="D214" s="1">
        <v>45547</v>
      </c>
      <c r="E214">
        <v>11.99</v>
      </c>
      <c r="F214">
        <v>365</v>
      </c>
      <c r="G214" t="s">
        <v>63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92</v>
      </c>
      <c r="N214" t="s">
        <v>44</v>
      </c>
      <c r="O214" t="s">
        <v>78</v>
      </c>
      <c r="P214">
        <v>100</v>
      </c>
      <c r="Q214">
        <v>4.7</v>
      </c>
      <c r="R214" t="b">
        <v>0</v>
      </c>
      <c r="S214" t="s">
        <v>30</v>
      </c>
      <c r="T214">
        <v>2714</v>
      </c>
      <c r="U214" t="s">
        <v>76</v>
      </c>
      <c r="V214" t="s">
        <v>32</v>
      </c>
      <c r="W214" t="s">
        <v>40</v>
      </c>
    </row>
    <row r="215" spans="1:23">
      <c r="A215">
        <v>6545</v>
      </c>
      <c r="B215" t="s">
        <v>147</v>
      </c>
      <c r="C215" s="1" t="s">
        <v>108</v>
      </c>
      <c r="D215" s="1">
        <v>45516</v>
      </c>
      <c r="E215">
        <v>7.99</v>
      </c>
      <c r="F215">
        <v>61</v>
      </c>
      <c r="G215" t="s">
        <v>36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74</v>
      </c>
      <c r="N215" t="s">
        <v>75</v>
      </c>
      <c r="O215" t="s">
        <v>45</v>
      </c>
      <c r="P215">
        <v>53</v>
      </c>
      <c r="Q215">
        <v>4.8</v>
      </c>
      <c r="R215" t="b">
        <v>1</v>
      </c>
      <c r="S215" t="s">
        <v>30</v>
      </c>
      <c r="T215">
        <v>674</v>
      </c>
      <c r="U215" t="s">
        <v>65</v>
      </c>
      <c r="V215" t="s">
        <v>32</v>
      </c>
      <c r="W215" t="s">
        <v>33</v>
      </c>
    </row>
    <row r="216" spans="1:23">
      <c r="A216">
        <v>3131</v>
      </c>
      <c r="B216" t="s">
        <v>153</v>
      </c>
      <c r="C216" s="1">
        <v>45236</v>
      </c>
      <c r="D216" s="1" t="s">
        <v>134</v>
      </c>
      <c r="E216">
        <v>15.99</v>
      </c>
      <c r="F216">
        <v>399</v>
      </c>
      <c r="G216" t="s">
        <v>48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49</v>
      </c>
      <c r="N216" t="s">
        <v>44</v>
      </c>
      <c r="O216" t="s">
        <v>78</v>
      </c>
      <c r="P216">
        <v>4</v>
      </c>
      <c r="Q216">
        <v>4.9000000000000004</v>
      </c>
      <c r="R216" t="b">
        <v>1</v>
      </c>
      <c r="S216" t="s">
        <v>30</v>
      </c>
      <c r="T216">
        <v>948</v>
      </c>
      <c r="U216" t="s">
        <v>65</v>
      </c>
      <c r="V216" t="s">
        <v>79</v>
      </c>
      <c r="W216" t="s">
        <v>60</v>
      </c>
    </row>
    <row r="217" spans="1:23">
      <c r="A217">
        <v>8589</v>
      </c>
      <c r="B217" t="s">
        <v>207</v>
      </c>
      <c r="C217" s="1" t="s">
        <v>336</v>
      </c>
      <c r="D217" s="1" t="s">
        <v>84</v>
      </c>
      <c r="E217">
        <v>11.99</v>
      </c>
      <c r="F217">
        <v>102</v>
      </c>
      <c r="G217" t="s">
        <v>100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92</v>
      </c>
      <c r="N217" t="s">
        <v>28</v>
      </c>
      <c r="O217" t="s">
        <v>64</v>
      </c>
      <c r="P217">
        <v>76</v>
      </c>
      <c r="Q217">
        <v>4.7</v>
      </c>
      <c r="R217" t="b">
        <v>0</v>
      </c>
      <c r="S217" t="s">
        <v>30</v>
      </c>
      <c r="T217">
        <v>933</v>
      </c>
      <c r="U217" t="s">
        <v>38</v>
      </c>
      <c r="V217" t="s">
        <v>32</v>
      </c>
      <c r="W217" t="s">
        <v>93</v>
      </c>
    </row>
    <row r="218" spans="1:23">
      <c r="A218">
        <v>2908</v>
      </c>
      <c r="B218" t="s">
        <v>248</v>
      </c>
      <c r="C218" s="1" t="s">
        <v>250</v>
      </c>
      <c r="D218" s="1" t="s">
        <v>82</v>
      </c>
      <c r="E218">
        <v>11.99</v>
      </c>
      <c r="F218">
        <v>88</v>
      </c>
      <c r="G218" t="s">
        <v>48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92</v>
      </c>
      <c r="N218" t="s">
        <v>75</v>
      </c>
      <c r="O218" t="s">
        <v>37</v>
      </c>
      <c r="P218">
        <v>89</v>
      </c>
      <c r="Q218">
        <v>5</v>
      </c>
      <c r="R218" t="b">
        <v>1</v>
      </c>
      <c r="S218" t="s">
        <v>30</v>
      </c>
      <c r="T218">
        <v>2914</v>
      </c>
      <c r="U218" t="s">
        <v>58</v>
      </c>
      <c r="V218" t="s">
        <v>79</v>
      </c>
      <c r="W218" t="s">
        <v>40</v>
      </c>
    </row>
    <row r="219" spans="1:23">
      <c r="A219">
        <v>5209</v>
      </c>
      <c r="B219" t="s">
        <v>238</v>
      </c>
      <c r="C219" s="1">
        <v>45204</v>
      </c>
      <c r="D219" s="1" t="s">
        <v>54</v>
      </c>
      <c r="E219">
        <v>11.99</v>
      </c>
      <c r="F219">
        <v>92</v>
      </c>
      <c r="G219" t="s">
        <v>100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92</v>
      </c>
      <c r="N219" t="s">
        <v>56</v>
      </c>
      <c r="O219" t="s">
        <v>64</v>
      </c>
      <c r="P219">
        <v>71</v>
      </c>
      <c r="Q219">
        <v>3.9</v>
      </c>
      <c r="R219" t="b">
        <v>1</v>
      </c>
      <c r="S219" t="s">
        <v>30</v>
      </c>
      <c r="T219">
        <v>3928</v>
      </c>
      <c r="U219" t="s">
        <v>31</v>
      </c>
      <c r="V219" t="s">
        <v>69</v>
      </c>
      <c r="W219" t="s">
        <v>40</v>
      </c>
    </row>
    <row r="220" spans="1:23">
      <c r="A220">
        <v>2319</v>
      </c>
      <c r="B220" t="s">
        <v>150</v>
      </c>
      <c r="C220" s="1">
        <v>44932</v>
      </c>
      <c r="D220" s="1" t="s">
        <v>84</v>
      </c>
      <c r="E220">
        <v>15.99</v>
      </c>
      <c r="F220">
        <v>295</v>
      </c>
      <c r="G220" t="s">
        <v>36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92</v>
      </c>
      <c r="N220" t="s">
        <v>56</v>
      </c>
      <c r="O220" t="s">
        <v>57</v>
      </c>
      <c r="P220">
        <v>7</v>
      </c>
      <c r="Q220">
        <v>4.0999999999999996</v>
      </c>
      <c r="R220" t="b">
        <v>0</v>
      </c>
      <c r="S220" t="s">
        <v>30</v>
      </c>
      <c r="T220">
        <v>2559</v>
      </c>
      <c r="U220" t="s">
        <v>31</v>
      </c>
      <c r="V220" t="s">
        <v>32</v>
      </c>
      <c r="W220" t="s">
        <v>40</v>
      </c>
    </row>
    <row r="221" spans="1:23">
      <c r="A221">
        <v>9026</v>
      </c>
      <c r="B221" t="s">
        <v>197</v>
      </c>
      <c r="C221" s="1">
        <v>45356</v>
      </c>
      <c r="D221" s="1" t="s">
        <v>82</v>
      </c>
      <c r="E221">
        <v>11.99</v>
      </c>
      <c r="F221">
        <v>139</v>
      </c>
      <c r="G221" t="s">
        <v>73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49</v>
      </c>
      <c r="N221" t="s">
        <v>56</v>
      </c>
      <c r="O221" t="s">
        <v>57</v>
      </c>
      <c r="P221">
        <v>21</v>
      </c>
      <c r="Q221">
        <v>4.8</v>
      </c>
      <c r="R221" t="b">
        <v>1</v>
      </c>
      <c r="S221" t="s">
        <v>30</v>
      </c>
      <c r="T221">
        <v>2571</v>
      </c>
      <c r="U221" t="s">
        <v>76</v>
      </c>
      <c r="V221" t="s">
        <v>32</v>
      </c>
      <c r="W221" t="s">
        <v>40</v>
      </c>
    </row>
    <row r="222" spans="1:23">
      <c r="A222">
        <v>2723</v>
      </c>
      <c r="B222" t="s">
        <v>337</v>
      </c>
      <c r="C222" s="1">
        <v>44935</v>
      </c>
      <c r="D222" s="1" t="s">
        <v>156</v>
      </c>
      <c r="E222">
        <v>15.99</v>
      </c>
      <c r="F222">
        <v>416</v>
      </c>
      <c r="G222" t="s">
        <v>26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55</v>
      </c>
      <c r="N222" t="s">
        <v>44</v>
      </c>
      <c r="O222" t="s">
        <v>78</v>
      </c>
      <c r="P222">
        <v>20</v>
      </c>
      <c r="Q222">
        <v>4.4000000000000004</v>
      </c>
      <c r="R222" t="b">
        <v>0</v>
      </c>
      <c r="S222" t="s">
        <v>30</v>
      </c>
      <c r="T222">
        <v>3834</v>
      </c>
      <c r="U222" t="s">
        <v>31</v>
      </c>
      <c r="V222" t="s">
        <v>79</v>
      </c>
      <c r="W222" t="s">
        <v>40</v>
      </c>
    </row>
    <row r="223" spans="1:23">
      <c r="A223">
        <v>5487</v>
      </c>
      <c r="B223" t="s">
        <v>148</v>
      </c>
      <c r="C223" s="1" t="s">
        <v>338</v>
      </c>
      <c r="D223" s="1" t="s">
        <v>129</v>
      </c>
      <c r="E223">
        <v>7.99</v>
      </c>
      <c r="F223">
        <v>173</v>
      </c>
      <c r="G223" t="s">
        <v>73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27</v>
      </c>
      <c r="N223" t="s">
        <v>28</v>
      </c>
      <c r="O223" t="s">
        <v>29</v>
      </c>
      <c r="P223">
        <v>34</v>
      </c>
      <c r="Q223">
        <v>4.0999999999999996</v>
      </c>
      <c r="R223" t="b">
        <v>0</v>
      </c>
      <c r="S223" t="s">
        <v>30</v>
      </c>
      <c r="T223">
        <v>4714</v>
      </c>
      <c r="U223" t="s">
        <v>65</v>
      </c>
      <c r="V223" t="s">
        <v>39</v>
      </c>
      <c r="W223" t="s">
        <v>40</v>
      </c>
    </row>
    <row r="224" spans="1:23">
      <c r="A224">
        <v>4656</v>
      </c>
      <c r="B224" t="s">
        <v>207</v>
      </c>
      <c r="C224" s="1" t="s">
        <v>339</v>
      </c>
      <c r="D224" s="1" t="s">
        <v>168</v>
      </c>
      <c r="E224">
        <v>7.99</v>
      </c>
      <c r="F224">
        <v>75</v>
      </c>
      <c r="G224" t="s">
        <v>26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43</v>
      </c>
      <c r="N224" t="s">
        <v>75</v>
      </c>
      <c r="O224" t="s">
        <v>37</v>
      </c>
      <c r="P224">
        <v>57</v>
      </c>
      <c r="Q224">
        <v>3.8</v>
      </c>
      <c r="R224" t="b">
        <v>1</v>
      </c>
      <c r="S224" t="s">
        <v>30</v>
      </c>
      <c r="T224">
        <v>4800</v>
      </c>
      <c r="U224" t="s">
        <v>58</v>
      </c>
      <c r="V224" t="s">
        <v>39</v>
      </c>
      <c r="W224" t="s">
        <v>93</v>
      </c>
    </row>
    <row r="225" spans="1:23">
      <c r="A225">
        <v>5718</v>
      </c>
      <c r="B225" t="s">
        <v>340</v>
      </c>
      <c r="C225" s="1" t="s">
        <v>341</v>
      </c>
      <c r="D225" s="1" t="s">
        <v>105</v>
      </c>
      <c r="E225">
        <v>15.99</v>
      </c>
      <c r="F225">
        <v>173</v>
      </c>
      <c r="G225" t="s">
        <v>48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43</v>
      </c>
      <c r="N225" t="s">
        <v>28</v>
      </c>
      <c r="O225" t="s">
        <v>57</v>
      </c>
      <c r="P225">
        <v>28</v>
      </c>
      <c r="Q225">
        <v>3.3</v>
      </c>
      <c r="R225" t="b">
        <v>0</v>
      </c>
      <c r="S225" t="s">
        <v>30</v>
      </c>
      <c r="T225">
        <v>1610</v>
      </c>
      <c r="U225" t="s">
        <v>31</v>
      </c>
      <c r="V225" t="s">
        <v>69</v>
      </c>
      <c r="W225" t="s">
        <v>93</v>
      </c>
    </row>
    <row r="226" spans="1:23">
      <c r="A226">
        <v>1215</v>
      </c>
      <c r="B226" t="s">
        <v>342</v>
      </c>
      <c r="C226" s="1" t="s">
        <v>343</v>
      </c>
      <c r="D226" s="1" t="s">
        <v>99</v>
      </c>
      <c r="E226">
        <v>7.99</v>
      </c>
      <c r="F226">
        <v>421</v>
      </c>
      <c r="G226" t="s">
        <v>51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43</v>
      </c>
      <c r="N226" t="s">
        <v>56</v>
      </c>
      <c r="O226" t="s">
        <v>57</v>
      </c>
      <c r="P226">
        <v>7</v>
      </c>
      <c r="Q226">
        <v>4</v>
      </c>
      <c r="R226" t="b">
        <v>1</v>
      </c>
      <c r="S226" t="s">
        <v>30</v>
      </c>
      <c r="T226">
        <v>2780</v>
      </c>
      <c r="U226" t="s">
        <v>76</v>
      </c>
      <c r="V226" t="s">
        <v>39</v>
      </c>
      <c r="W226" t="s">
        <v>40</v>
      </c>
    </row>
    <row r="227" spans="1:23">
      <c r="A227">
        <v>3427</v>
      </c>
      <c r="B227" t="s">
        <v>344</v>
      </c>
      <c r="C227" s="1">
        <v>45211</v>
      </c>
      <c r="D227" s="1">
        <v>45485</v>
      </c>
      <c r="E227">
        <v>15.99</v>
      </c>
      <c r="F227">
        <v>29</v>
      </c>
      <c r="G227" t="s">
        <v>48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27</v>
      </c>
      <c r="N227" t="s">
        <v>56</v>
      </c>
      <c r="O227" t="s">
        <v>37</v>
      </c>
      <c r="P227">
        <v>78</v>
      </c>
      <c r="Q227">
        <v>3.8</v>
      </c>
      <c r="R227" t="b">
        <v>1</v>
      </c>
      <c r="S227" t="s">
        <v>30</v>
      </c>
      <c r="T227">
        <v>639</v>
      </c>
      <c r="U227" t="s">
        <v>76</v>
      </c>
      <c r="V227" t="s">
        <v>39</v>
      </c>
      <c r="W227" t="s">
        <v>60</v>
      </c>
    </row>
    <row r="228" spans="1:23">
      <c r="A228">
        <v>2428</v>
      </c>
      <c r="B228" t="s">
        <v>345</v>
      </c>
      <c r="C228" s="1" t="s">
        <v>346</v>
      </c>
      <c r="D228" s="1" t="s">
        <v>134</v>
      </c>
      <c r="E228">
        <v>7.99</v>
      </c>
      <c r="F228">
        <v>180</v>
      </c>
      <c r="G228" t="s">
        <v>73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92</v>
      </c>
      <c r="N228" t="s">
        <v>56</v>
      </c>
      <c r="O228" t="s">
        <v>29</v>
      </c>
      <c r="P228">
        <v>84</v>
      </c>
      <c r="Q228">
        <v>4.9000000000000004</v>
      </c>
      <c r="R228" t="b">
        <v>0</v>
      </c>
      <c r="S228" t="s">
        <v>30</v>
      </c>
      <c r="T228">
        <v>1960</v>
      </c>
      <c r="U228" t="s">
        <v>31</v>
      </c>
      <c r="V228" t="s">
        <v>59</v>
      </c>
      <c r="W228" t="s">
        <v>93</v>
      </c>
    </row>
    <row r="229" spans="1:23">
      <c r="A229">
        <v>1947</v>
      </c>
      <c r="B229" t="s">
        <v>347</v>
      </c>
      <c r="C229" s="1">
        <v>45300</v>
      </c>
      <c r="D229" s="1" t="s">
        <v>156</v>
      </c>
      <c r="E229">
        <v>11.99</v>
      </c>
      <c r="F229">
        <v>469</v>
      </c>
      <c r="G229" t="s">
        <v>26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43</v>
      </c>
      <c r="N229" t="s">
        <v>56</v>
      </c>
      <c r="O229" t="s">
        <v>64</v>
      </c>
      <c r="P229">
        <v>92</v>
      </c>
      <c r="Q229">
        <v>3.6</v>
      </c>
      <c r="R229" t="b">
        <v>1</v>
      </c>
      <c r="S229" t="s">
        <v>30</v>
      </c>
      <c r="T229">
        <v>1764</v>
      </c>
      <c r="U229" t="s">
        <v>58</v>
      </c>
      <c r="V229" t="s">
        <v>59</v>
      </c>
      <c r="W229" t="s">
        <v>33</v>
      </c>
    </row>
    <row r="230" spans="1:23">
      <c r="A230">
        <v>5036</v>
      </c>
      <c r="B230" t="s">
        <v>290</v>
      </c>
      <c r="C230" s="1" t="s">
        <v>348</v>
      </c>
      <c r="D230" s="1" t="s">
        <v>168</v>
      </c>
      <c r="E230">
        <v>15.99</v>
      </c>
      <c r="F230">
        <v>381</v>
      </c>
      <c r="G230" t="s">
        <v>63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43</v>
      </c>
      <c r="N230" t="s">
        <v>75</v>
      </c>
      <c r="O230" t="s">
        <v>78</v>
      </c>
      <c r="P230">
        <v>57</v>
      </c>
      <c r="Q230">
        <v>4.0999999999999996</v>
      </c>
      <c r="R230" t="b">
        <v>1</v>
      </c>
      <c r="S230" t="s">
        <v>30</v>
      </c>
      <c r="T230">
        <v>967</v>
      </c>
      <c r="U230" t="s">
        <v>31</v>
      </c>
      <c r="V230" t="s">
        <v>59</v>
      </c>
      <c r="W230" t="s">
        <v>93</v>
      </c>
    </row>
    <row r="231" spans="1:23">
      <c r="A231">
        <v>5857</v>
      </c>
      <c r="B231" t="s">
        <v>88</v>
      </c>
      <c r="C231" s="1">
        <v>45424</v>
      </c>
      <c r="D231" s="1" t="s">
        <v>35</v>
      </c>
      <c r="E231">
        <v>15.99</v>
      </c>
      <c r="F231">
        <v>263</v>
      </c>
      <c r="G231" t="s">
        <v>63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74</v>
      </c>
      <c r="N231" t="s">
        <v>56</v>
      </c>
      <c r="O231" t="s">
        <v>78</v>
      </c>
      <c r="P231">
        <v>17</v>
      </c>
      <c r="Q231">
        <v>4</v>
      </c>
      <c r="R231" t="b">
        <v>1</v>
      </c>
      <c r="S231" t="s">
        <v>30</v>
      </c>
      <c r="T231">
        <v>2086</v>
      </c>
      <c r="U231" t="s">
        <v>58</v>
      </c>
      <c r="V231" t="s">
        <v>79</v>
      </c>
      <c r="W231" t="s">
        <v>93</v>
      </c>
    </row>
    <row r="232" spans="1:23">
      <c r="A232">
        <v>8770</v>
      </c>
      <c r="B232" t="s">
        <v>106</v>
      </c>
      <c r="C232" s="1">
        <v>45268</v>
      </c>
      <c r="D232" s="1" t="s">
        <v>134</v>
      </c>
      <c r="E232">
        <v>7.99</v>
      </c>
      <c r="F232">
        <v>48</v>
      </c>
      <c r="G232" t="s">
        <v>36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43</v>
      </c>
      <c r="N232" t="s">
        <v>75</v>
      </c>
      <c r="O232" t="s">
        <v>78</v>
      </c>
      <c r="P232">
        <v>99</v>
      </c>
      <c r="Q232">
        <v>4.2</v>
      </c>
      <c r="R232" t="b">
        <v>1</v>
      </c>
      <c r="S232" t="s">
        <v>30</v>
      </c>
      <c r="T232">
        <v>3288</v>
      </c>
      <c r="U232" t="s">
        <v>58</v>
      </c>
      <c r="V232" t="s">
        <v>79</v>
      </c>
      <c r="W232" t="s">
        <v>33</v>
      </c>
    </row>
    <row r="233" spans="1:23">
      <c r="A233">
        <v>4118</v>
      </c>
      <c r="B233" t="s">
        <v>349</v>
      </c>
      <c r="C233" s="1" t="s">
        <v>350</v>
      </c>
      <c r="D233" s="1" t="s">
        <v>54</v>
      </c>
      <c r="E233">
        <v>11.99</v>
      </c>
      <c r="F233">
        <v>447</v>
      </c>
      <c r="G233" t="s">
        <v>51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68</v>
      </c>
      <c r="N233" t="s">
        <v>28</v>
      </c>
      <c r="O233" t="s">
        <v>45</v>
      </c>
      <c r="P233">
        <v>58</v>
      </c>
      <c r="Q233">
        <v>3.6</v>
      </c>
      <c r="R233" t="b">
        <v>0</v>
      </c>
      <c r="S233" t="s">
        <v>30</v>
      </c>
      <c r="T233">
        <v>1486</v>
      </c>
      <c r="U233" t="s">
        <v>31</v>
      </c>
      <c r="V233" t="s">
        <v>79</v>
      </c>
      <c r="W233" t="s">
        <v>93</v>
      </c>
    </row>
    <row r="234" spans="1:23">
      <c r="A234">
        <v>7162</v>
      </c>
      <c r="B234" t="s">
        <v>351</v>
      </c>
      <c r="C234" s="1" t="s">
        <v>206</v>
      </c>
      <c r="D234" s="1" t="s">
        <v>42</v>
      </c>
      <c r="E234">
        <v>15.99</v>
      </c>
      <c r="F234">
        <v>415</v>
      </c>
      <c r="G234" t="s">
        <v>48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92</v>
      </c>
      <c r="N234" t="s">
        <v>44</v>
      </c>
      <c r="O234" t="s">
        <v>78</v>
      </c>
      <c r="P234">
        <v>91</v>
      </c>
      <c r="Q234">
        <v>3.3</v>
      </c>
      <c r="R234" t="b">
        <v>0</v>
      </c>
      <c r="S234" t="s">
        <v>30</v>
      </c>
      <c r="T234">
        <v>223</v>
      </c>
      <c r="U234" t="s">
        <v>58</v>
      </c>
      <c r="V234" t="s">
        <v>79</v>
      </c>
      <c r="W234" t="s">
        <v>93</v>
      </c>
    </row>
    <row r="235" spans="1:23">
      <c r="A235">
        <v>9278</v>
      </c>
      <c r="B235" t="s">
        <v>304</v>
      </c>
      <c r="C235" s="1" t="s">
        <v>352</v>
      </c>
      <c r="D235" s="1" t="s">
        <v>42</v>
      </c>
      <c r="E235">
        <v>7.99</v>
      </c>
      <c r="F235">
        <v>429</v>
      </c>
      <c r="G235" t="s">
        <v>36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92</v>
      </c>
      <c r="N235" t="s">
        <v>28</v>
      </c>
      <c r="O235" t="s">
        <v>78</v>
      </c>
      <c r="P235">
        <v>12</v>
      </c>
      <c r="Q235">
        <v>4.7</v>
      </c>
      <c r="R235" t="b">
        <v>1</v>
      </c>
      <c r="S235" t="s">
        <v>30</v>
      </c>
      <c r="T235">
        <v>2394</v>
      </c>
      <c r="U235" t="s">
        <v>76</v>
      </c>
      <c r="V235" t="s">
        <v>69</v>
      </c>
      <c r="W235" t="s">
        <v>60</v>
      </c>
    </row>
    <row r="236" spans="1:23">
      <c r="A236">
        <v>5406</v>
      </c>
      <c r="B236" t="s">
        <v>353</v>
      </c>
      <c r="C236" s="1">
        <v>45636</v>
      </c>
      <c r="D236" s="1">
        <v>45485</v>
      </c>
      <c r="E236">
        <v>7.99</v>
      </c>
      <c r="F236">
        <v>26</v>
      </c>
      <c r="G236" t="s">
        <v>36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43</v>
      </c>
      <c r="N236" t="s">
        <v>56</v>
      </c>
      <c r="O236" t="s">
        <v>45</v>
      </c>
      <c r="P236">
        <v>6</v>
      </c>
      <c r="Q236">
        <v>3.1</v>
      </c>
      <c r="R236" t="b">
        <v>0</v>
      </c>
      <c r="S236" t="s">
        <v>30</v>
      </c>
      <c r="T236">
        <v>4329</v>
      </c>
      <c r="U236" t="s">
        <v>31</v>
      </c>
      <c r="V236" t="s">
        <v>59</v>
      </c>
      <c r="W236" t="s">
        <v>60</v>
      </c>
    </row>
    <row r="237" spans="1:23">
      <c r="A237">
        <v>4641</v>
      </c>
      <c r="B237" t="s">
        <v>311</v>
      </c>
      <c r="C237" s="1">
        <v>45635</v>
      </c>
      <c r="D237" s="1">
        <v>45516</v>
      </c>
      <c r="E237">
        <v>15.99</v>
      </c>
      <c r="F237">
        <v>101</v>
      </c>
      <c r="G237" t="s">
        <v>100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68</v>
      </c>
      <c r="N237" t="s">
        <v>28</v>
      </c>
      <c r="O237" t="s">
        <v>45</v>
      </c>
      <c r="P237">
        <v>11</v>
      </c>
      <c r="Q237">
        <v>3.4</v>
      </c>
      <c r="R237" t="b">
        <v>1</v>
      </c>
      <c r="S237" t="s">
        <v>30</v>
      </c>
      <c r="T237">
        <v>2193</v>
      </c>
      <c r="U237" t="s">
        <v>76</v>
      </c>
      <c r="V237" t="s">
        <v>32</v>
      </c>
      <c r="W237" t="s">
        <v>93</v>
      </c>
    </row>
    <row r="238" spans="1:23">
      <c r="A238">
        <v>3969</v>
      </c>
      <c r="B238" t="s">
        <v>329</v>
      </c>
      <c r="C238" s="1" t="s">
        <v>354</v>
      </c>
      <c r="D238" s="1">
        <v>45638</v>
      </c>
      <c r="E238">
        <v>15.99</v>
      </c>
      <c r="F238">
        <v>461</v>
      </c>
      <c r="G238" t="s">
        <v>48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43</v>
      </c>
      <c r="N238" t="s">
        <v>28</v>
      </c>
      <c r="O238" t="s">
        <v>57</v>
      </c>
      <c r="P238">
        <v>84</v>
      </c>
      <c r="Q238">
        <v>3.5</v>
      </c>
      <c r="R238" t="b">
        <v>1</v>
      </c>
      <c r="S238" t="s">
        <v>30</v>
      </c>
      <c r="T238">
        <v>3730</v>
      </c>
      <c r="U238" t="s">
        <v>76</v>
      </c>
      <c r="V238" t="s">
        <v>39</v>
      </c>
      <c r="W238" t="s">
        <v>60</v>
      </c>
    </row>
    <row r="239" spans="1:23">
      <c r="A239">
        <v>3078</v>
      </c>
      <c r="B239" t="s">
        <v>355</v>
      </c>
      <c r="C239" s="1" t="s">
        <v>173</v>
      </c>
      <c r="D239" s="1" t="s">
        <v>42</v>
      </c>
      <c r="E239">
        <v>7.99</v>
      </c>
      <c r="F239">
        <v>246</v>
      </c>
      <c r="G239" t="s">
        <v>26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74</v>
      </c>
      <c r="N239" t="s">
        <v>56</v>
      </c>
      <c r="O239" t="s">
        <v>29</v>
      </c>
      <c r="P239">
        <v>18</v>
      </c>
      <c r="Q239">
        <v>3.8</v>
      </c>
      <c r="R239" t="b">
        <v>0</v>
      </c>
      <c r="S239" t="s">
        <v>30</v>
      </c>
      <c r="T239">
        <v>2234</v>
      </c>
      <c r="U239" t="s">
        <v>58</v>
      </c>
      <c r="V239" t="s">
        <v>59</v>
      </c>
      <c r="W239" t="s">
        <v>93</v>
      </c>
    </row>
    <row r="240" spans="1:23">
      <c r="A240">
        <v>2808</v>
      </c>
      <c r="B240" t="s">
        <v>177</v>
      </c>
      <c r="C240" s="1">
        <v>45271</v>
      </c>
      <c r="D240" s="1" t="s">
        <v>42</v>
      </c>
      <c r="E240">
        <v>15.99</v>
      </c>
      <c r="F240">
        <v>91</v>
      </c>
      <c r="G240" t="s">
        <v>63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27</v>
      </c>
      <c r="N240" t="s">
        <v>28</v>
      </c>
      <c r="O240" t="s">
        <v>45</v>
      </c>
      <c r="P240">
        <v>87</v>
      </c>
      <c r="Q240">
        <v>4.2</v>
      </c>
      <c r="R240" t="b">
        <v>0</v>
      </c>
      <c r="S240" t="s">
        <v>30</v>
      </c>
      <c r="T240">
        <v>718</v>
      </c>
      <c r="U240" t="s">
        <v>58</v>
      </c>
      <c r="V240" t="s">
        <v>39</v>
      </c>
      <c r="W240" t="s">
        <v>93</v>
      </c>
    </row>
    <row r="241" spans="1:23">
      <c r="A241">
        <v>7484</v>
      </c>
      <c r="B241" t="s">
        <v>340</v>
      </c>
      <c r="C241" s="1">
        <v>45516</v>
      </c>
      <c r="D241" s="1" t="s">
        <v>134</v>
      </c>
      <c r="E241">
        <v>11.99</v>
      </c>
      <c r="F241">
        <v>152</v>
      </c>
      <c r="G241" t="s">
        <v>100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43</v>
      </c>
      <c r="N241" t="s">
        <v>75</v>
      </c>
      <c r="O241" t="s">
        <v>78</v>
      </c>
      <c r="P241">
        <v>89</v>
      </c>
      <c r="Q241">
        <v>4.5</v>
      </c>
      <c r="R241" t="b">
        <v>1</v>
      </c>
      <c r="S241" t="s">
        <v>30</v>
      </c>
      <c r="T241">
        <v>1594</v>
      </c>
      <c r="U241" t="s">
        <v>31</v>
      </c>
      <c r="V241" t="s">
        <v>39</v>
      </c>
      <c r="W241" t="s">
        <v>33</v>
      </c>
    </row>
    <row r="242" spans="1:23">
      <c r="A242">
        <v>2396</v>
      </c>
      <c r="B242" t="s">
        <v>272</v>
      </c>
      <c r="C242" s="1">
        <v>44969</v>
      </c>
      <c r="D242" s="1" t="s">
        <v>87</v>
      </c>
      <c r="E242">
        <v>11.99</v>
      </c>
      <c r="F242">
        <v>283</v>
      </c>
      <c r="G242" t="s">
        <v>26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49</v>
      </c>
      <c r="N242" t="s">
        <v>28</v>
      </c>
      <c r="O242" t="s">
        <v>29</v>
      </c>
      <c r="P242">
        <v>62</v>
      </c>
      <c r="Q242">
        <v>4</v>
      </c>
      <c r="R242" t="b">
        <v>1</v>
      </c>
      <c r="S242" t="s">
        <v>30</v>
      </c>
      <c r="T242">
        <v>681</v>
      </c>
      <c r="U242" t="s">
        <v>65</v>
      </c>
      <c r="V242" t="s">
        <v>32</v>
      </c>
      <c r="W242" t="s">
        <v>40</v>
      </c>
    </row>
    <row r="243" spans="1:23">
      <c r="A243">
        <v>2472</v>
      </c>
      <c r="B243" t="s">
        <v>325</v>
      </c>
      <c r="C243" s="1" t="s">
        <v>356</v>
      </c>
      <c r="D243" s="1" t="s">
        <v>87</v>
      </c>
      <c r="E243">
        <v>7.99</v>
      </c>
      <c r="F243">
        <v>61</v>
      </c>
      <c r="G243" t="s">
        <v>73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55</v>
      </c>
      <c r="N243" t="s">
        <v>44</v>
      </c>
      <c r="O243" t="s">
        <v>57</v>
      </c>
      <c r="P243">
        <v>82</v>
      </c>
      <c r="Q243">
        <v>4.7</v>
      </c>
      <c r="R243" t="b">
        <v>1</v>
      </c>
      <c r="S243" t="s">
        <v>30</v>
      </c>
      <c r="T243">
        <v>428</v>
      </c>
      <c r="U243" t="s">
        <v>76</v>
      </c>
      <c r="V243" t="s">
        <v>79</v>
      </c>
      <c r="W243" t="s">
        <v>33</v>
      </c>
    </row>
    <row r="244" spans="1:23">
      <c r="A244">
        <v>7939</v>
      </c>
      <c r="B244" t="s">
        <v>357</v>
      </c>
      <c r="C244" s="1">
        <v>45147</v>
      </c>
      <c r="D244" s="1" t="s">
        <v>87</v>
      </c>
      <c r="E244">
        <v>11.99</v>
      </c>
      <c r="F244">
        <v>410</v>
      </c>
      <c r="G244" t="s">
        <v>73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92</v>
      </c>
      <c r="N244" t="s">
        <v>28</v>
      </c>
      <c r="O244" t="s">
        <v>37</v>
      </c>
      <c r="P244">
        <v>68</v>
      </c>
      <c r="Q244">
        <v>4.7</v>
      </c>
      <c r="R244" t="b">
        <v>0</v>
      </c>
      <c r="S244" t="s">
        <v>30</v>
      </c>
      <c r="T244">
        <v>2542</v>
      </c>
      <c r="U244" t="s">
        <v>38</v>
      </c>
      <c r="V244" t="s">
        <v>39</v>
      </c>
      <c r="W244" t="s">
        <v>60</v>
      </c>
    </row>
    <row r="245" spans="1:23">
      <c r="A245">
        <v>8269</v>
      </c>
      <c r="B245" t="s">
        <v>88</v>
      </c>
      <c r="C245" s="1" t="s">
        <v>358</v>
      </c>
      <c r="D245" s="1" t="s">
        <v>72</v>
      </c>
      <c r="E245">
        <v>7.99</v>
      </c>
      <c r="F245">
        <v>88</v>
      </c>
      <c r="G245" t="s">
        <v>26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55</v>
      </c>
      <c r="N245" t="s">
        <v>56</v>
      </c>
      <c r="O245" t="s">
        <v>37</v>
      </c>
      <c r="P245">
        <v>80</v>
      </c>
      <c r="Q245">
        <v>4.0999999999999996</v>
      </c>
      <c r="R245" t="b">
        <v>0</v>
      </c>
      <c r="S245" t="s">
        <v>30</v>
      </c>
      <c r="T245">
        <v>4763</v>
      </c>
      <c r="U245" t="s">
        <v>58</v>
      </c>
      <c r="V245" t="s">
        <v>79</v>
      </c>
      <c r="W245" t="s">
        <v>40</v>
      </c>
    </row>
    <row r="246" spans="1:23">
      <c r="A246">
        <v>9073</v>
      </c>
      <c r="B246" t="s">
        <v>104</v>
      </c>
      <c r="C246" s="1">
        <v>45237</v>
      </c>
      <c r="D246" s="1">
        <v>45547</v>
      </c>
      <c r="E246">
        <v>15.99</v>
      </c>
      <c r="F246">
        <v>322</v>
      </c>
      <c r="G246" t="s">
        <v>51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68</v>
      </c>
      <c r="N246" t="s">
        <v>56</v>
      </c>
      <c r="O246" t="s">
        <v>78</v>
      </c>
      <c r="P246">
        <v>3</v>
      </c>
      <c r="Q246">
        <v>3</v>
      </c>
      <c r="R246" t="b">
        <v>0</v>
      </c>
      <c r="S246" t="s">
        <v>30</v>
      </c>
      <c r="T246">
        <v>486</v>
      </c>
      <c r="U246" t="s">
        <v>76</v>
      </c>
      <c r="V246" t="s">
        <v>69</v>
      </c>
      <c r="W246" t="s">
        <v>40</v>
      </c>
    </row>
    <row r="247" spans="1:23">
      <c r="A247">
        <v>9879</v>
      </c>
      <c r="B247" t="s">
        <v>143</v>
      </c>
      <c r="C247" s="1">
        <v>44959</v>
      </c>
      <c r="D247" s="1">
        <v>45394</v>
      </c>
      <c r="E247">
        <v>7.99</v>
      </c>
      <c r="F247">
        <v>217</v>
      </c>
      <c r="G247" t="s">
        <v>63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43</v>
      </c>
      <c r="N247" t="s">
        <v>28</v>
      </c>
      <c r="O247" t="s">
        <v>45</v>
      </c>
      <c r="P247">
        <v>8</v>
      </c>
      <c r="Q247">
        <v>4.2</v>
      </c>
      <c r="R247" t="b">
        <v>1</v>
      </c>
      <c r="S247" t="s">
        <v>30</v>
      </c>
      <c r="T247">
        <v>4327</v>
      </c>
      <c r="U247" t="s">
        <v>76</v>
      </c>
      <c r="V247" t="s">
        <v>39</v>
      </c>
      <c r="W247" t="s">
        <v>33</v>
      </c>
    </row>
    <row r="248" spans="1:23">
      <c r="A248">
        <v>3822</v>
      </c>
      <c r="B248" t="s">
        <v>359</v>
      </c>
      <c r="C248" s="1">
        <v>44993</v>
      </c>
      <c r="D248" s="1">
        <v>45394</v>
      </c>
      <c r="E248">
        <v>15.99</v>
      </c>
      <c r="F248">
        <v>180</v>
      </c>
      <c r="G248" t="s">
        <v>26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27</v>
      </c>
      <c r="N248" t="s">
        <v>56</v>
      </c>
      <c r="O248" t="s">
        <v>64</v>
      </c>
      <c r="P248">
        <v>79</v>
      </c>
      <c r="Q248">
        <v>4.8</v>
      </c>
      <c r="R248" t="b">
        <v>1</v>
      </c>
      <c r="S248" t="s">
        <v>30</v>
      </c>
      <c r="T248">
        <v>2938</v>
      </c>
      <c r="U248" t="s">
        <v>31</v>
      </c>
      <c r="V248" t="s">
        <v>32</v>
      </c>
      <c r="W248" t="s">
        <v>93</v>
      </c>
    </row>
    <row r="249" spans="1:23">
      <c r="A249">
        <v>9183</v>
      </c>
      <c r="B249" t="s">
        <v>101</v>
      </c>
      <c r="C249" s="1" t="s">
        <v>149</v>
      </c>
      <c r="D249" s="1">
        <v>45547</v>
      </c>
      <c r="E249">
        <v>15.99</v>
      </c>
      <c r="F249">
        <v>11</v>
      </c>
      <c r="G249" t="s">
        <v>48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74</v>
      </c>
      <c r="N249" t="s">
        <v>28</v>
      </c>
      <c r="O249" t="s">
        <v>57</v>
      </c>
      <c r="P249">
        <v>97</v>
      </c>
      <c r="Q249">
        <v>4.9000000000000004</v>
      </c>
      <c r="R249" t="b">
        <v>0</v>
      </c>
      <c r="S249" t="s">
        <v>30</v>
      </c>
      <c r="T249">
        <v>1429</v>
      </c>
      <c r="U249" t="s">
        <v>38</v>
      </c>
      <c r="V249" t="s">
        <v>59</v>
      </c>
      <c r="W249" t="s">
        <v>93</v>
      </c>
    </row>
    <row r="250" spans="1:23">
      <c r="A250">
        <v>8674</v>
      </c>
      <c r="B250" t="s">
        <v>360</v>
      </c>
      <c r="C250" s="1">
        <v>44927</v>
      </c>
      <c r="D250" s="1" t="s">
        <v>84</v>
      </c>
      <c r="E250">
        <v>15.99</v>
      </c>
      <c r="F250">
        <v>455</v>
      </c>
      <c r="G250" t="s">
        <v>73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43</v>
      </c>
      <c r="N250" t="s">
        <v>75</v>
      </c>
      <c r="O250" t="s">
        <v>78</v>
      </c>
      <c r="P250">
        <v>85</v>
      </c>
      <c r="Q250">
        <v>3.6</v>
      </c>
      <c r="R250" t="b">
        <v>1</v>
      </c>
      <c r="S250" t="s">
        <v>30</v>
      </c>
      <c r="T250">
        <v>2897</v>
      </c>
      <c r="U250" t="s">
        <v>58</v>
      </c>
      <c r="V250" t="s">
        <v>39</v>
      </c>
      <c r="W250" t="s">
        <v>60</v>
      </c>
    </row>
    <row r="251" spans="1:23">
      <c r="A251">
        <v>2481</v>
      </c>
      <c r="B251" t="s">
        <v>361</v>
      </c>
      <c r="C251" s="1" t="s">
        <v>362</v>
      </c>
      <c r="D251" s="1" t="s">
        <v>84</v>
      </c>
      <c r="E251">
        <v>7.99</v>
      </c>
      <c r="F251">
        <v>487</v>
      </c>
      <c r="G251" t="s">
        <v>100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92</v>
      </c>
      <c r="N251" t="s">
        <v>75</v>
      </c>
      <c r="O251" t="s">
        <v>64</v>
      </c>
      <c r="P251">
        <v>36</v>
      </c>
      <c r="Q251">
        <v>3.3</v>
      </c>
      <c r="R251" t="b">
        <v>1</v>
      </c>
      <c r="S251" t="s">
        <v>30</v>
      </c>
      <c r="T251">
        <v>274</v>
      </c>
      <c r="U251" t="s">
        <v>58</v>
      </c>
      <c r="V251" t="s">
        <v>69</v>
      </c>
      <c r="W251" t="s">
        <v>60</v>
      </c>
    </row>
    <row r="252" spans="1:23">
      <c r="A252">
        <v>8729</v>
      </c>
      <c r="B252" t="s">
        <v>363</v>
      </c>
      <c r="C252" s="1">
        <v>45536</v>
      </c>
      <c r="D252" s="1" t="s">
        <v>25</v>
      </c>
      <c r="E252">
        <v>7.99</v>
      </c>
      <c r="F252">
        <v>459</v>
      </c>
      <c r="G252" t="s">
        <v>51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68</v>
      </c>
      <c r="N252" t="s">
        <v>28</v>
      </c>
      <c r="O252" t="s">
        <v>57</v>
      </c>
      <c r="P252">
        <v>81</v>
      </c>
      <c r="Q252">
        <v>4.3</v>
      </c>
      <c r="R252" t="b">
        <v>0</v>
      </c>
      <c r="S252" t="s">
        <v>30</v>
      </c>
      <c r="T252">
        <v>3910</v>
      </c>
      <c r="U252" t="s">
        <v>65</v>
      </c>
      <c r="V252" t="s">
        <v>69</v>
      </c>
      <c r="W252" t="s">
        <v>60</v>
      </c>
    </row>
    <row r="253" spans="1:23">
      <c r="A253">
        <v>5534</v>
      </c>
      <c r="B253" t="s">
        <v>364</v>
      </c>
      <c r="C253" s="1">
        <v>45019</v>
      </c>
      <c r="D253" s="1" t="s">
        <v>25</v>
      </c>
      <c r="E253">
        <v>7.99</v>
      </c>
      <c r="F253">
        <v>74</v>
      </c>
      <c r="G253" t="s">
        <v>36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43</v>
      </c>
      <c r="N253" t="s">
        <v>44</v>
      </c>
      <c r="O253" t="s">
        <v>45</v>
      </c>
      <c r="P253">
        <v>40</v>
      </c>
      <c r="Q253">
        <v>3.8</v>
      </c>
      <c r="R253" t="b">
        <v>0</v>
      </c>
      <c r="S253" t="s">
        <v>30</v>
      </c>
      <c r="T253">
        <v>130</v>
      </c>
      <c r="U253" t="s">
        <v>38</v>
      </c>
      <c r="V253" t="s">
        <v>59</v>
      </c>
      <c r="W253" t="s">
        <v>60</v>
      </c>
    </row>
    <row r="254" spans="1:23">
      <c r="A254">
        <v>9785</v>
      </c>
      <c r="B254" t="s">
        <v>259</v>
      </c>
      <c r="C254" s="1">
        <v>45383</v>
      </c>
      <c r="D254" s="1" t="s">
        <v>103</v>
      </c>
      <c r="E254">
        <v>11.99</v>
      </c>
      <c r="F254">
        <v>54</v>
      </c>
      <c r="G254" t="s">
        <v>26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74</v>
      </c>
      <c r="N254" t="s">
        <v>28</v>
      </c>
      <c r="O254" t="s">
        <v>45</v>
      </c>
      <c r="P254">
        <v>82</v>
      </c>
      <c r="Q254">
        <v>4.3</v>
      </c>
      <c r="R254" t="b">
        <v>1</v>
      </c>
      <c r="S254" t="s">
        <v>30</v>
      </c>
      <c r="T254">
        <v>2557</v>
      </c>
      <c r="U254" t="s">
        <v>38</v>
      </c>
      <c r="V254" t="s">
        <v>32</v>
      </c>
      <c r="W254" t="s">
        <v>60</v>
      </c>
    </row>
    <row r="255" spans="1:23">
      <c r="A255">
        <v>9609</v>
      </c>
      <c r="B255" t="s">
        <v>344</v>
      </c>
      <c r="C255" s="1">
        <v>44994</v>
      </c>
      <c r="D255" s="1" t="s">
        <v>99</v>
      </c>
      <c r="E255">
        <v>11.99</v>
      </c>
      <c r="F255">
        <v>292</v>
      </c>
      <c r="G255" t="s">
        <v>100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68</v>
      </c>
      <c r="N255" t="s">
        <v>44</v>
      </c>
      <c r="O255" t="s">
        <v>29</v>
      </c>
      <c r="P255">
        <v>8</v>
      </c>
      <c r="Q255">
        <v>3.5</v>
      </c>
      <c r="R255" t="b">
        <v>0</v>
      </c>
      <c r="S255" t="s">
        <v>30</v>
      </c>
      <c r="T255">
        <v>3823</v>
      </c>
      <c r="U255" t="s">
        <v>38</v>
      </c>
      <c r="V255" t="s">
        <v>69</v>
      </c>
      <c r="W255" t="s">
        <v>40</v>
      </c>
    </row>
    <row r="256" spans="1:23">
      <c r="A256">
        <v>2829</v>
      </c>
      <c r="B256" t="s">
        <v>365</v>
      </c>
      <c r="C256" s="1" t="s">
        <v>366</v>
      </c>
      <c r="D256" s="1">
        <v>45547</v>
      </c>
      <c r="E256">
        <v>15.99</v>
      </c>
      <c r="F256">
        <v>23</v>
      </c>
      <c r="G256" t="s">
        <v>26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92</v>
      </c>
      <c r="N256" t="s">
        <v>56</v>
      </c>
      <c r="O256" t="s">
        <v>37</v>
      </c>
      <c r="P256">
        <v>14</v>
      </c>
      <c r="Q256">
        <v>3.9</v>
      </c>
      <c r="R256" t="b">
        <v>0</v>
      </c>
      <c r="S256" t="s">
        <v>30</v>
      </c>
      <c r="T256">
        <v>4048</v>
      </c>
      <c r="U256" t="s">
        <v>65</v>
      </c>
      <c r="V256" t="s">
        <v>39</v>
      </c>
      <c r="W256" t="s">
        <v>93</v>
      </c>
    </row>
    <row r="257" spans="1:23">
      <c r="A257">
        <v>1714</v>
      </c>
      <c r="B257" t="s">
        <v>367</v>
      </c>
      <c r="C257" s="1" t="s">
        <v>368</v>
      </c>
      <c r="D257" s="1" t="s">
        <v>214</v>
      </c>
      <c r="E257">
        <v>11.99</v>
      </c>
      <c r="F257">
        <v>147</v>
      </c>
      <c r="G257" t="s">
        <v>63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92</v>
      </c>
      <c r="N257" t="s">
        <v>56</v>
      </c>
      <c r="O257" t="s">
        <v>37</v>
      </c>
      <c r="P257">
        <v>21</v>
      </c>
      <c r="Q257">
        <v>3.5</v>
      </c>
      <c r="R257" t="b">
        <v>1</v>
      </c>
      <c r="S257" t="s">
        <v>30</v>
      </c>
      <c r="T257">
        <v>3173</v>
      </c>
      <c r="U257" t="s">
        <v>58</v>
      </c>
      <c r="V257" t="s">
        <v>32</v>
      </c>
      <c r="W257" t="s">
        <v>60</v>
      </c>
    </row>
    <row r="258" spans="1:23">
      <c r="A258">
        <v>4475</v>
      </c>
      <c r="B258" t="s">
        <v>369</v>
      </c>
      <c r="C258" s="1" t="s">
        <v>370</v>
      </c>
      <c r="D258" s="1">
        <v>45638</v>
      </c>
      <c r="E258">
        <v>7.99</v>
      </c>
      <c r="F258">
        <v>221</v>
      </c>
      <c r="G258" t="s">
        <v>26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43</v>
      </c>
      <c r="N258" t="s">
        <v>28</v>
      </c>
      <c r="O258" t="s">
        <v>78</v>
      </c>
      <c r="P258">
        <v>36</v>
      </c>
      <c r="Q258">
        <v>4.3</v>
      </c>
      <c r="R258" t="b">
        <v>0</v>
      </c>
      <c r="S258" t="s">
        <v>30</v>
      </c>
      <c r="T258">
        <v>3289</v>
      </c>
      <c r="U258" t="s">
        <v>65</v>
      </c>
      <c r="V258" t="s">
        <v>39</v>
      </c>
      <c r="W258" t="s">
        <v>40</v>
      </c>
    </row>
    <row r="259" spans="1:23">
      <c r="A259">
        <v>9820</v>
      </c>
      <c r="B259" t="s">
        <v>153</v>
      </c>
      <c r="C259" s="1" t="s">
        <v>319</v>
      </c>
      <c r="D259" s="1" t="s">
        <v>99</v>
      </c>
      <c r="E259">
        <v>7.99</v>
      </c>
      <c r="F259">
        <v>40</v>
      </c>
      <c r="G259" t="s">
        <v>51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49</v>
      </c>
      <c r="N259" t="s">
        <v>56</v>
      </c>
      <c r="O259" t="s">
        <v>45</v>
      </c>
      <c r="P259">
        <v>66</v>
      </c>
      <c r="Q259">
        <v>4.0999999999999996</v>
      </c>
      <c r="R259" t="b">
        <v>1</v>
      </c>
      <c r="S259" t="s">
        <v>30</v>
      </c>
      <c r="T259">
        <v>4377</v>
      </c>
      <c r="U259" t="s">
        <v>58</v>
      </c>
      <c r="V259" t="s">
        <v>39</v>
      </c>
      <c r="W259" t="s">
        <v>93</v>
      </c>
    </row>
    <row r="260" spans="1:23">
      <c r="A260">
        <v>3261</v>
      </c>
      <c r="B260" t="s">
        <v>179</v>
      </c>
      <c r="C260" s="1" t="s">
        <v>163</v>
      </c>
      <c r="D260" s="1" t="s">
        <v>25</v>
      </c>
      <c r="E260">
        <v>11.99</v>
      </c>
      <c r="F260">
        <v>365</v>
      </c>
      <c r="G260" t="s">
        <v>48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68</v>
      </c>
      <c r="N260" t="s">
        <v>75</v>
      </c>
      <c r="O260" t="s">
        <v>29</v>
      </c>
      <c r="P260">
        <v>8</v>
      </c>
      <c r="Q260">
        <v>3.3</v>
      </c>
      <c r="R260" t="b">
        <v>0</v>
      </c>
      <c r="S260" t="s">
        <v>30</v>
      </c>
      <c r="T260">
        <v>995</v>
      </c>
      <c r="U260" t="s">
        <v>65</v>
      </c>
      <c r="V260" t="s">
        <v>39</v>
      </c>
      <c r="W260" t="s">
        <v>40</v>
      </c>
    </row>
    <row r="261" spans="1:23">
      <c r="A261">
        <v>6130</v>
      </c>
      <c r="B261" t="s">
        <v>157</v>
      </c>
      <c r="C261" s="1" t="s">
        <v>371</v>
      </c>
      <c r="D261" s="1" t="s">
        <v>129</v>
      </c>
      <c r="E261">
        <v>11.99</v>
      </c>
      <c r="F261">
        <v>360</v>
      </c>
      <c r="G261" t="s">
        <v>100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55</v>
      </c>
      <c r="N261" t="s">
        <v>44</v>
      </c>
      <c r="O261" t="s">
        <v>57</v>
      </c>
      <c r="P261">
        <v>30</v>
      </c>
      <c r="Q261">
        <v>3.3</v>
      </c>
      <c r="R261" t="b">
        <v>1</v>
      </c>
      <c r="S261" t="s">
        <v>30</v>
      </c>
      <c r="T261">
        <v>2299</v>
      </c>
      <c r="U261" t="s">
        <v>38</v>
      </c>
      <c r="V261" t="s">
        <v>79</v>
      </c>
      <c r="W261" t="s">
        <v>93</v>
      </c>
    </row>
    <row r="262" spans="1:23">
      <c r="A262">
        <v>9399</v>
      </c>
      <c r="B262" t="s">
        <v>183</v>
      </c>
      <c r="C262" s="1" t="s">
        <v>372</v>
      </c>
      <c r="D262" s="1" t="s">
        <v>105</v>
      </c>
      <c r="E262">
        <v>7.99</v>
      </c>
      <c r="F262">
        <v>127</v>
      </c>
      <c r="G262" t="s">
        <v>26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43</v>
      </c>
      <c r="N262" t="s">
        <v>75</v>
      </c>
      <c r="O262" t="s">
        <v>57</v>
      </c>
      <c r="P262">
        <v>72</v>
      </c>
      <c r="Q262">
        <v>3.2</v>
      </c>
      <c r="R262" t="b">
        <v>1</v>
      </c>
      <c r="S262" t="s">
        <v>30</v>
      </c>
      <c r="T262">
        <v>4644</v>
      </c>
      <c r="U262" t="s">
        <v>31</v>
      </c>
      <c r="V262" t="s">
        <v>39</v>
      </c>
      <c r="W262" t="s">
        <v>33</v>
      </c>
    </row>
    <row r="263" spans="1:23">
      <c r="A263">
        <v>6047</v>
      </c>
      <c r="B263" t="s">
        <v>284</v>
      </c>
      <c r="C263" s="1" t="s">
        <v>109</v>
      </c>
      <c r="D263" s="1">
        <v>45334</v>
      </c>
      <c r="E263">
        <v>15.99</v>
      </c>
      <c r="F263">
        <v>30</v>
      </c>
      <c r="G263" t="s">
        <v>63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43</v>
      </c>
      <c r="N263" t="s">
        <v>28</v>
      </c>
      <c r="O263" t="s">
        <v>45</v>
      </c>
      <c r="P263">
        <v>57</v>
      </c>
      <c r="Q263">
        <v>3</v>
      </c>
      <c r="R263" t="b">
        <v>1</v>
      </c>
      <c r="S263" t="s">
        <v>30</v>
      </c>
      <c r="T263">
        <v>746</v>
      </c>
      <c r="U263" t="s">
        <v>76</v>
      </c>
      <c r="V263" t="s">
        <v>79</v>
      </c>
      <c r="W263" t="s">
        <v>33</v>
      </c>
    </row>
    <row r="264" spans="1:23">
      <c r="A264">
        <v>7789</v>
      </c>
      <c r="B264" t="s">
        <v>120</v>
      </c>
      <c r="C264" s="1" t="s">
        <v>158</v>
      </c>
      <c r="D264" s="1" t="s">
        <v>156</v>
      </c>
      <c r="E264">
        <v>7.99</v>
      </c>
      <c r="F264">
        <v>222</v>
      </c>
      <c r="G264" t="s">
        <v>36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27</v>
      </c>
      <c r="N264" t="s">
        <v>75</v>
      </c>
      <c r="O264" t="s">
        <v>29</v>
      </c>
      <c r="P264">
        <v>21</v>
      </c>
      <c r="Q264">
        <v>3.4</v>
      </c>
      <c r="R264" t="b">
        <v>1</v>
      </c>
      <c r="S264" t="s">
        <v>30</v>
      </c>
      <c r="T264">
        <v>2835</v>
      </c>
      <c r="U264" t="s">
        <v>76</v>
      </c>
      <c r="V264" t="s">
        <v>69</v>
      </c>
      <c r="W264" t="s">
        <v>40</v>
      </c>
    </row>
    <row r="265" spans="1:23">
      <c r="A265">
        <v>6111</v>
      </c>
      <c r="B265" t="s">
        <v>176</v>
      </c>
      <c r="C265" s="1">
        <v>45241</v>
      </c>
      <c r="D265" s="1" t="s">
        <v>25</v>
      </c>
      <c r="E265">
        <v>11.99</v>
      </c>
      <c r="F265">
        <v>168</v>
      </c>
      <c r="G265" t="s">
        <v>100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92</v>
      </c>
      <c r="N265" t="s">
        <v>75</v>
      </c>
      <c r="O265" t="s">
        <v>78</v>
      </c>
      <c r="P265">
        <v>98</v>
      </c>
      <c r="Q265">
        <v>3.5</v>
      </c>
      <c r="R265" t="b">
        <v>0</v>
      </c>
      <c r="S265" t="s">
        <v>30</v>
      </c>
      <c r="T265">
        <v>3626</v>
      </c>
      <c r="U265" t="s">
        <v>58</v>
      </c>
      <c r="V265" t="s">
        <v>32</v>
      </c>
      <c r="W265" t="s">
        <v>40</v>
      </c>
    </row>
    <row r="266" spans="1:23">
      <c r="A266">
        <v>4968</v>
      </c>
      <c r="B266" t="s">
        <v>373</v>
      </c>
      <c r="C266" s="1">
        <v>45600</v>
      </c>
      <c r="D266" s="1" t="s">
        <v>214</v>
      </c>
      <c r="E266">
        <v>7.99</v>
      </c>
      <c r="F266">
        <v>317</v>
      </c>
      <c r="G266" t="s">
        <v>73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55</v>
      </c>
      <c r="N266" t="s">
        <v>56</v>
      </c>
      <c r="O266" t="s">
        <v>64</v>
      </c>
      <c r="P266">
        <v>92</v>
      </c>
      <c r="Q266">
        <v>4.5999999999999996</v>
      </c>
      <c r="R266" t="b">
        <v>0</v>
      </c>
      <c r="S266" t="s">
        <v>30</v>
      </c>
      <c r="T266">
        <v>1000</v>
      </c>
      <c r="U266" t="s">
        <v>65</v>
      </c>
      <c r="V266" t="s">
        <v>79</v>
      </c>
      <c r="W266" t="s">
        <v>40</v>
      </c>
    </row>
    <row r="267" spans="1:23">
      <c r="A267">
        <v>2739</v>
      </c>
      <c r="B267" t="s">
        <v>374</v>
      </c>
      <c r="C267" s="1" t="s">
        <v>372</v>
      </c>
      <c r="D267" s="1" t="s">
        <v>84</v>
      </c>
      <c r="E267">
        <v>15.99</v>
      </c>
      <c r="F267">
        <v>285</v>
      </c>
      <c r="G267" t="s">
        <v>51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49</v>
      </c>
      <c r="N267" t="s">
        <v>28</v>
      </c>
      <c r="O267" t="s">
        <v>45</v>
      </c>
      <c r="P267">
        <v>4</v>
      </c>
      <c r="Q267">
        <v>3.4</v>
      </c>
      <c r="R267" t="b">
        <v>1</v>
      </c>
      <c r="S267" t="s">
        <v>30</v>
      </c>
      <c r="T267">
        <v>368</v>
      </c>
      <c r="U267" t="s">
        <v>38</v>
      </c>
      <c r="V267" t="s">
        <v>39</v>
      </c>
      <c r="W267" t="s">
        <v>33</v>
      </c>
    </row>
    <row r="268" spans="1:23">
      <c r="A268">
        <v>6974</v>
      </c>
      <c r="B268" t="s">
        <v>77</v>
      </c>
      <c r="C268" s="1" t="s">
        <v>375</v>
      </c>
      <c r="D268" s="1" t="s">
        <v>105</v>
      </c>
      <c r="E268">
        <v>11.99</v>
      </c>
      <c r="F268">
        <v>420</v>
      </c>
      <c r="G268" t="s">
        <v>73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55</v>
      </c>
      <c r="N268" t="s">
        <v>75</v>
      </c>
      <c r="O268" t="s">
        <v>37</v>
      </c>
      <c r="P268">
        <v>22</v>
      </c>
      <c r="Q268">
        <v>4.8</v>
      </c>
      <c r="R268" t="b">
        <v>0</v>
      </c>
      <c r="S268" t="s">
        <v>30</v>
      </c>
      <c r="T268">
        <v>2229</v>
      </c>
      <c r="U268" t="s">
        <v>58</v>
      </c>
      <c r="V268" t="s">
        <v>39</v>
      </c>
      <c r="W268" t="s">
        <v>60</v>
      </c>
    </row>
    <row r="269" spans="1:23">
      <c r="A269">
        <v>1784</v>
      </c>
      <c r="B269" t="s">
        <v>244</v>
      </c>
      <c r="C269" s="1">
        <v>45236</v>
      </c>
      <c r="D269" s="1" t="s">
        <v>129</v>
      </c>
      <c r="E269">
        <v>15.99</v>
      </c>
      <c r="F269">
        <v>100</v>
      </c>
      <c r="G269" t="s">
        <v>36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92</v>
      </c>
      <c r="N269" t="s">
        <v>56</v>
      </c>
      <c r="O269" t="s">
        <v>29</v>
      </c>
      <c r="P269">
        <v>100</v>
      </c>
      <c r="Q269">
        <v>3.6</v>
      </c>
      <c r="R269" t="b">
        <v>1</v>
      </c>
      <c r="S269" t="s">
        <v>30</v>
      </c>
      <c r="T269">
        <v>2643</v>
      </c>
      <c r="U269" t="s">
        <v>38</v>
      </c>
      <c r="V269" t="s">
        <v>39</v>
      </c>
      <c r="W269" t="s">
        <v>93</v>
      </c>
    </row>
    <row r="270" spans="1:23">
      <c r="A270">
        <v>8077</v>
      </c>
      <c r="B270" t="s">
        <v>128</v>
      </c>
      <c r="C270" s="1">
        <v>45357</v>
      </c>
      <c r="D270" s="1" t="s">
        <v>103</v>
      </c>
      <c r="E270">
        <v>11.99</v>
      </c>
      <c r="F270">
        <v>426</v>
      </c>
      <c r="G270" t="s">
        <v>51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74</v>
      </c>
      <c r="N270" t="s">
        <v>44</v>
      </c>
      <c r="O270" t="s">
        <v>29</v>
      </c>
      <c r="P270">
        <v>71</v>
      </c>
      <c r="Q270">
        <v>4.0999999999999996</v>
      </c>
      <c r="R270" t="b">
        <v>0</v>
      </c>
      <c r="S270" t="s">
        <v>30</v>
      </c>
      <c r="T270">
        <v>2647</v>
      </c>
      <c r="U270" t="s">
        <v>31</v>
      </c>
      <c r="V270" t="s">
        <v>39</v>
      </c>
      <c r="W270" t="s">
        <v>60</v>
      </c>
    </row>
    <row r="271" spans="1:23">
      <c r="A271">
        <v>2727</v>
      </c>
      <c r="B271" t="s">
        <v>376</v>
      </c>
      <c r="C271" s="1" t="s">
        <v>377</v>
      </c>
      <c r="D271" s="1">
        <v>45516</v>
      </c>
      <c r="E271">
        <v>7.99</v>
      </c>
      <c r="F271">
        <v>263</v>
      </c>
      <c r="G271" t="s">
        <v>100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55</v>
      </c>
      <c r="N271" t="s">
        <v>44</v>
      </c>
      <c r="O271" t="s">
        <v>64</v>
      </c>
      <c r="P271">
        <v>87</v>
      </c>
      <c r="Q271">
        <v>3.5</v>
      </c>
      <c r="R271" t="b">
        <v>0</v>
      </c>
      <c r="S271" t="s">
        <v>30</v>
      </c>
      <c r="T271">
        <v>4497</v>
      </c>
      <c r="U271" t="s">
        <v>76</v>
      </c>
      <c r="V271" t="s">
        <v>39</v>
      </c>
      <c r="W271" t="s">
        <v>40</v>
      </c>
    </row>
    <row r="272" spans="1:23">
      <c r="A272">
        <v>7661</v>
      </c>
      <c r="B272" t="s">
        <v>378</v>
      </c>
      <c r="C272" s="1" t="s">
        <v>200</v>
      </c>
      <c r="D272" s="1" t="s">
        <v>42</v>
      </c>
      <c r="E272">
        <v>11.99</v>
      </c>
      <c r="F272">
        <v>162</v>
      </c>
      <c r="G272" t="s">
        <v>26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27</v>
      </c>
      <c r="N272" t="s">
        <v>44</v>
      </c>
      <c r="O272" t="s">
        <v>29</v>
      </c>
      <c r="P272">
        <v>49</v>
      </c>
      <c r="Q272">
        <v>4.0999999999999996</v>
      </c>
      <c r="R272" t="b">
        <v>1</v>
      </c>
      <c r="S272" t="s">
        <v>30</v>
      </c>
      <c r="T272">
        <v>1121</v>
      </c>
      <c r="U272" t="s">
        <v>58</v>
      </c>
      <c r="V272" t="s">
        <v>69</v>
      </c>
      <c r="W272" t="s">
        <v>93</v>
      </c>
    </row>
    <row r="273" spans="1:23">
      <c r="A273">
        <v>5083</v>
      </c>
      <c r="B273" t="s">
        <v>148</v>
      </c>
      <c r="C273" s="1" t="s">
        <v>156</v>
      </c>
      <c r="D273" s="1" t="s">
        <v>109</v>
      </c>
      <c r="E273">
        <v>15.99</v>
      </c>
      <c r="F273">
        <v>19</v>
      </c>
      <c r="G273" t="s">
        <v>100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43</v>
      </c>
      <c r="N273" t="s">
        <v>44</v>
      </c>
      <c r="O273" t="s">
        <v>37</v>
      </c>
      <c r="P273">
        <v>8</v>
      </c>
      <c r="Q273">
        <v>4.3</v>
      </c>
      <c r="R273" t="b">
        <v>0</v>
      </c>
      <c r="S273" t="s">
        <v>30</v>
      </c>
      <c r="T273">
        <v>1525</v>
      </c>
      <c r="U273" t="s">
        <v>65</v>
      </c>
      <c r="V273" t="s">
        <v>69</v>
      </c>
      <c r="W273" t="s">
        <v>40</v>
      </c>
    </row>
    <row r="274" spans="1:23">
      <c r="A274">
        <v>7275</v>
      </c>
      <c r="B274" t="s">
        <v>379</v>
      </c>
      <c r="C274" s="1">
        <v>45421</v>
      </c>
      <c r="D274" s="1">
        <v>45485</v>
      </c>
      <c r="E274">
        <v>11.99</v>
      </c>
      <c r="F274">
        <v>358</v>
      </c>
      <c r="G274" t="s">
        <v>100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74</v>
      </c>
      <c r="N274" t="s">
        <v>28</v>
      </c>
      <c r="O274" t="s">
        <v>37</v>
      </c>
      <c r="P274">
        <v>65</v>
      </c>
      <c r="Q274">
        <v>3.4</v>
      </c>
      <c r="R274" t="b">
        <v>0</v>
      </c>
      <c r="S274" t="s">
        <v>30</v>
      </c>
      <c r="T274">
        <v>3488</v>
      </c>
      <c r="U274" t="s">
        <v>58</v>
      </c>
      <c r="V274" t="s">
        <v>79</v>
      </c>
      <c r="W274" t="s">
        <v>33</v>
      </c>
    </row>
    <row r="275" spans="1:23">
      <c r="A275">
        <v>7316</v>
      </c>
      <c r="B275" t="s">
        <v>380</v>
      </c>
      <c r="C275" s="1" t="s">
        <v>381</v>
      </c>
      <c r="D275" s="1" t="s">
        <v>35</v>
      </c>
      <c r="E275">
        <v>11.99</v>
      </c>
      <c r="F275">
        <v>183</v>
      </c>
      <c r="G275" t="s">
        <v>36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43</v>
      </c>
      <c r="N275" t="s">
        <v>28</v>
      </c>
      <c r="O275" t="s">
        <v>64</v>
      </c>
      <c r="P275">
        <v>72</v>
      </c>
      <c r="Q275">
        <v>4.7</v>
      </c>
      <c r="R275" t="b">
        <v>0</v>
      </c>
      <c r="S275" t="s">
        <v>30</v>
      </c>
      <c r="T275">
        <v>3009</v>
      </c>
      <c r="U275" t="s">
        <v>58</v>
      </c>
      <c r="V275" t="s">
        <v>69</v>
      </c>
      <c r="W275" t="s">
        <v>33</v>
      </c>
    </row>
    <row r="276" spans="1:23">
      <c r="A276">
        <v>4497</v>
      </c>
      <c r="B276" t="s">
        <v>382</v>
      </c>
      <c r="C276" s="1">
        <v>44986</v>
      </c>
      <c r="D276" s="1" t="s">
        <v>35</v>
      </c>
      <c r="E276">
        <v>15.99</v>
      </c>
      <c r="F276">
        <v>63</v>
      </c>
      <c r="G276" t="s">
        <v>26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27</v>
      </c>
      <c r="N276" t="s">
        <v>28</v>
      </c>
      <c r="O276" t="s">
        <v>57</v>
      </c>
      <c r="P276">
        <v>27</v>
      </c>
      <c r="Q276">
        <v>4.8</v>
      </c>
      <c r="R276" t="b">
        <v>0</v>
      </c>
      <c r="S276" t="s">
        <v>30</v>
      </c>
      <c r="T276">
        <v>15</v>
      </c>
      <c r="U276" t="s">
        <v>31</v>
      </c>
      <c r="V276" t="s">
        <v>32</v>
      </c>
      <c r="W276" t="s">
        <v>40</v>
      </c>
    </row>
    <row r="277" spans="1:23">
      <c r="A277">
        <v>8685</v>
      </c>
      <c r="B277" t="s">
        <v>138</v>
      </c>
      <c r="C277" s="1">
        <v>45538</v>
      </c>
      <c r="D277" s="1" t="s">
        <v>84</v>
      </c>
      <c r="E277">
        <v>11.99</v>
      </c>
      <c r="F277">
        <v>446</v>
      </c>
      <c r="G277" t="s">
        <v>51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92</v>
      </c>
      <c r="N277" t="s">
        <v>28</v>
      </c>
      <c r="O277" t="s">
        <v>64</v>
      </c>
      <c r="P277">
        <v>54</v>
      </c>
      <c r="Q277">
        <v>3.3</v>
      </c>
      <c r="R277" t="b">
        <v>1</v>
      </c>
      <c r="S277" t="s">
        <v>30</v>
      </c>
      <c r="T277">
        <v>3007</v>
      </c>
      <c r="U277" t="s">
        <v>58</v>
      </c>
      <c r="V277" t="s">
        <v>69</v>
      </c>
      <c r="W277" t="s">
        <v>40</v>
      </c>
    </row>
    <row r="278" spans="1:23">
      <c r="A278">
        <v>8583</v>
      </c>
      <c r="B278" t="s">
        <v>118</v>
      </c>
      <c r="C278" s="1" t="s">
        <v>317</v>
      </c>
      <c r="D278" s="1" t="s">
        <v>99</v>
      </c>
      <c r="E278">
        <v>15.99</v>
      </c>
      <c r="F278">
        <v>352</v>
      </c>
      <c r="G278" t="s">
        <v>48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92</v>
      </c>
      <c r="N278" t="s">
        <v>44</v>
      </c>
      <c r="O278" t="s">
        <v>64</v>
      </c>
      <c r="P278">
        <v>39</v>
      </c>
      <c r="Q278">
        <v>4.7</v>
      </c>
      <c r="R278" t="b">
        <v>1</v>
      </c>
      <c r="S278" t="s">
        <v>30</v>
      </c>
      <c r="T278">
        <v>4588</v>
      </c>
      <c r="U278" t="s">
        <v>65</v>
      </c>
      <c r="V278" t="s">
        <v>32</v>
      </c>
      <c r="W278" t="s">
        <v>60</v>
      </c>
    </row>
    <row r="279" spans="1:23">
      <c r="A279">
        <v>1062</v>
      </c>
      <c r="B279" t="s">
        <v>179</v>
      </c>
      <c r="C279" s="1">
        <v>45361</v>
      </c>
      <c r="D279" s="1" t="s">
        <v>25</v>
      </c>
      <c r="E279">
        <v>7.99</v>
      </c>
      <c r="F279">
        <v>209</v>
      </c>
      <c r="G279" t="s">
        <v>48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27</v>
      </c>
      <c r="N279" t="s">
        <v>44</v>
      </c>
      <c r="O279" t="s">
        <v>37</v>
      </c>
      <c r="P279">
        <v>95</v>
      </c>
      <c r="Q279">
        <v>3.5</v>
      </c>
      <c r="R279" t="b">
        <v>1</v>
      </c>
      <c r="S279" t="s">
        <v>30</v>
      </c>
      <c r="T279">
        <v>73</v>
      </c>
      <c r="U279" t="s">
        <v>31</v>
      </c>
      <c r="V279" t="s">
        <v>79</v>
      </c>
      <c r="W279" t="s">
        <v>33</v>
      </c>
    </row>
    <row r="280" spans="1:23">
      <c r="A280">
        <v>2593</v>
      </c>
      <c r="B280" t="s">
        <v>130</v>
      </c>
      <c r="C280" s="1" t="s">
        <v>246</v>
      </c>
      <c r="D280" s="1">
        <v>45608</v>
      </c>
      <c r="E280">
        <v>7.99</v>
      </c>
      <c r="F280">
        <v>311</v>
      </c>
      <c r="G280" t="s">
        <v>63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55</v>
      </c>
      <c r="N280" t="s">
        <v>28</v>
      </c>
      <c r="O280" t="s">
        <v>45</v>
      </c>
      <c r="P280">
        <v>43</v>
      </c>
      <c r="Q280">
        <v>3.6</v>
      </c>
      <c r="R280" t="b">
        <v>1</v>
      </c>
      <c r="S280" t="s">
        <v>30</v>
      </c>
      <c r="T280">
        <v>4635</v>
      </c>
      <c r="U280" t="s">
        <v>31</v>
      </c>
      <c r="V280" t="s">
        <v>59</v>
      </c>
      <c r="W280" t="s">
        <v>93</v>
      </c>
    </row>
    <row r="281" spans="1:23">
      <c r="A281">
        <v>3951</v>
      </c>
      <c r="B281" t="s">
        <v>383</v>
      </c>
      <c r="C281" s="1" t="s">
        <v>384</v>
      </c>
      <c r="D281" s="1">
        <v>45455</v>
      </c>
      <c r="E281">
        <v>11.99</v>
      </c>
      <c r="F281">
        <v>293</v>
      </c>
      <c r="G281" t="s">
        <v>48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55</v>
      </c>
      <c r="N281" t="s">
        <v>56</v>
      </c>
      <c r="O281" t="s">
        <v>57</v>
      </c>
      <c r="P281">
        <v>60</v>
      </c>
      <c r="Q281">
        <v>3.7</v>
      </c>
      <c r="R281" t="b">
        <v>0</v>
      </c>
      <c r="S281" t="s">
        <v>30</v>
      </c>
      <c r="T281">
        <v>1882</v>
      </c>
      <c r="U281" t="s">
        <v>76</v>
      </c>
      <c r="V281" t="s">
        <v>69</v>
      </c>
      <c r="W281" t="s">
        <v>33</v>
      </c>
    </row>
    <row r="282" spans="1:23">
      <c r="A282">
        <v>8580</v>
      </c>
      <c r="B282" t="s">
        <v>385</v>
      </c>
      <c r="C282" s="1">
        <v>45328</v>
      </c>
      <c r="D282" s="1">
        <v>45577</v>
      </c>
      <c r="E282">
        <v>15.99</v>
      </c>
      <c r="F282">
        <v>119</v>
      </c>
      <c r="G282" t="s">
        <v>100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27</v>
      </c>
      <c r="N282" t="s">
        <v>75</v>
      </c>
      <c r="O282" t="s">
        <v>45</v>
      </c>
      <c r="P282">
        <v>59</v>
      </c>
      <c r="Q282">
        <v>4.0999999999999996</v>
      </c>
      <c r="R282" t="b">
        <v>1</v>
      </c>
      <c r="S282" t="s">
        <v>30</v>
      </c>
      <c r="T282">
        <v>1690</v>
      </c>
      <c r="U282" t="s">
        <v>38</v>
      </c>
      <c r="V282" t="s">
        <v>39</v>
      </c>
      <c r="W282" t="s">
        <v>93</v>
      </c>
    </row>
    <row r="283" spans="1:23">
      <c r="A283">
        <v>4372</v>
      </c>
      <c r="B283" t="s">
        <v>157</v>
      </c>
      <c r="C283" s="1" t="s">
        <v>386</v>
      </c>
      <c r="D283" s="1">
        <v>45424</v>
      </c>
      <c r="E283">
        <v>15.99</v>
      </c>
      <c r="F283">
        <v>329</v>
      </c>
      <c r="G283" t="s">
        <v>48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49</v>
      </c>
      <c r="N283" t="s">
        <v>28</v>
      </c>
      <c r="O283" t="s">
        <v>29</v>
      </c>
      <c r="P283">
        <v>61</v>
      </c>
      <c r="Q283">
        <v>3</v>
      </c>
      <c r="R283" t="b">
        <v>0</v>
      </c>
      <c r="S283" t="s">
        <v>30</v>
      </c>
      <c r="T283">
        <v>2572</v>
      </c>
      <c r="U283" t="s">
        <v>65</v>
      </c>
      <c r="V283" t="s">
        <v>32</v>
      </c>
      <c r="W283" t="s">
        <v>60</v>
      </c>
    </row>
    <row r="284" spans="1:23">
      <c r="A284">
        <v>4463</v>
      </c>
      <c r="B284" t="s">
        <v>387</v>
      </c>
      <c r="C284" s="1" t="s">
        <v>388</v>
      </c>
      <c r="D284" s="1" t="s">
        <v>156</v>
      </c>
      <c r="E284">
        <v>15.99</v>
      </c>
      <c r="F284">
        <v>141</v>
      </c>
      <c r="G284" t="s">
        <v>63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49</v>
      </c>
      <c r="N284" t="s">
        <v>56</v>
      </c>
      <c r="O284" t="s">
        <v>45</v>
      </c>
      <c r="P284">
        <v>95</v>
      </c>
      <c r="Q284">
        <v>3.6</v>
      </c>
      <c r="R284" t="b">
        <v>0</v>
      </c>
      <c r="S284" t="s">
        <v>30</v>
      </c>
      <c r="T284">
        <v>3865</v>
      </c>
      <c r="U284" t="s">
        <v>65</v>
      </c>
      <c r="V284" t="s">
        <v>59</v>
      </c>
      <c r="W284" t="s">
        <v>33</v>
      </c>
    </row>
    <row r="285" spans="1:23">
      <c r="A285">
        <v>7498</v>
      </c>
      <c r="B285" t="s">
        <v>389</v>
      </c>
      <c r="C285" s="1">
        <v>45171</v>
      </c>
      <c r="D285" s="1" t="s">
        <v>156</v>
      </c>
      <c r="E285">
        <v>11.99</v>
      </c>
      <c r="F285">
        <v>15</v>
      </c>
      <c r="G285" t="s">
        <v>51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68</v>
      </c>
      <c r="N285" t="s">
        <v>75</v>
      </c>
      <c r="O285" t="s">
        <v>57</v>
      </c>
      <c r="P285">
        <v>35</v>
      </c>
      <c r="Q285">
        <v>4.7</v>
      </c>
      <c r="R285" t="b">
        <v>0</v>
      </c>
      <c r="S285" t="s">
        <v>30</v>
      </c>
      <c r="T285">
        <v>380</v>
      </c>
      <c r="U285" t="s">
        <v>65</v>
      </c>
      <c r="V285" t="s">
        <v>39</v>
      </c>
      <c r="W285" t="s">
        <v>33</v>
      </c>
    </row>
    <row r="286" spans="1:23">
      <c r="A286">
        <v>9618</v>
      </c>
      <c r="B286" t="s">
        <v>234</v>
      </c>
      <c r="C286" s="1" t="s">
        <v>390</v>
      </c>
      <c r="D286" s="1" t="s">
        <v>90</v>
      </c>
      <c r="E286">
        <v>11.99</v>
      </c>
      <c r="F286">
        <v>30</v>
      </c>
      <c r="G286" t="s">
        <v>73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68</v>
      </c>
      <c r="N286" t="s">
        <v>44</v>
      </c>
      <c r="O286" t="s">
        <v>37</v>
      </c>
      <c r="P286">
        <v>30</v>
      </c>
      <c r="Q286">
        <v>3.1</v>
      </c>
      <c r="R286" t="b">
        <v>1</v>
      </c>
      <c r="S286" t="s">
        <v>30</v>
      </c>
      <c r="T286">
        <v>3566</v>
      </c>
      <c r="U286" t="s">
        <v>58</v>
      </c>
      <c r="V286" t="s">
        <v>39</v>
      </c>
      <c r="W286" t="s">
        <v>40</v>
      </c>
    </row>
    <row r="287" spans="1:23">
      <c r="A287">
        <v>1813</v>
      </c>
      <c r="B287" t="s">
        <v>391</v>
      </c>
      <c r="C287" s="1" t="s">
        <v>392</v>
      </c>
      <c r="D287" s="1" t="s">
        <v>168</v>
      </c>
      <c r="E287">
        <v>11.99</v>
      </c>
      <c r="F287">
        <v>145</v>
      </c>
      <c r="G287" t="s">
        <v>63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68</v>
      </c>
      <c r="N287" t="s">
        <v>75</v>
      </c>
      <c r="O287" t="s">
        <v>78</v>
      </c>
      <c r="P287">
        <v>39</v>
      </c>
      <c r="Q287">
        <v>4.8</v>
      </c>
      <c r="R287" t="b">
        <v>0</v>
      </c>
      <c r="S287" t="s">
        <v>30</v>
      </c>
      <c r="T287">
        <v>1835</v>
      </c>
      <c r="U287" t="s">
        <v>38</v>
      </c>
      <c r="V287" t="s">
        <v>69</v>
      </c>
      <c r="W287" t="s">
        <v>60</v>
      </c>
    </row>
    <row r="288" spans="1:23">
      <c r="A288">
        <v>3009</v>
      </c>
      <c r="B288" t="s">
        <v>393</v>
      </c>
      <c r="C288" s="1" t="s">
        <v>394</v>
      </c>
      <c r="D288" s="1" t="s">
        <v>25</v>
      </c>
      <c r="E288">
        <v>15.99</v>
      </c>
      <c r="F288">
        <v>250</v>
      </c>
      <c r="G288" t="s">
        <v>51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68</v>
      </c>
      <c r="N288" t="s">
        <v>44</v>
      </c>
      <c r="O288" t="s">
        <v>45</v>
      </c>
      <c r="P288">
        <v>64</v>
      </c>
      <c r="Q288">
        <v>3.3</v>
      </c>
      <c r="R288" t="b">
        <v>0</v>
      </c>
      <c r="S288" t="s">
        <v>30</v>
      </c>
      <c r="T288">
        <v>1882</v>
      </c>
      <c r="U288" t="s">
        <v>38</v>
      </c>
      <c r="V288" t="s">
        <v>59</v>
      </c>
      <c r="W288" t="s">
        <v>60</v>
      </c>
    </row>
    <row r="289" spans="1:23">
      <c r="A289">
        <v>8210</v>
      </c>
      <c r="B289" t="s">
        <v>114</v>
      </c>
      <c r="C289" s="1">
        <v>45047</v>
      </c>
      <c r="D289" s="1" t="s">
        <v>82</v>
      </c>
      <c r="E289">
        <v>15.99</v>
      </c>
      <c r="F289">
        <v>243</v>
      </c>
      <c r="G289" t="s">
        <v>63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74</v>
      </c>
      <c r="N289" t="s">
        <v>28</v>
      </c>
      <c r="O289" t="s">
        <v>57</v>
      </c>
      <c r="P289">
        <v>73</v>
      </c>
      <c r="Q289">
        <v>4.7</v>
      </c>
      <c r="R289" t="b">
        <v>0</v>
      </c>
      <c r="S289" t="s">
        <v>30</v>
      </c>
      <c r="T289">
        <v>525</v>
      </c>
      <c r="U289" t="s">
        <v>31</v>
      </c>
      <c r="V289" t="s">
        <v>69</v>
      </c>
      <c r="W289" t="s">
        <v>93</v>
      </c>
    </row>
    <row r="290" spans="1:23">
      <c r="A290">
        <v>8439</v>
      </c>
      <c r="B290" t="s">
        <v>395</v>
      </c>
      <c r="C290" s="1" t="s">
        <v>396</v>
      </c>
      <c r="D290" s="1" t="s">
        <v>134</v>
      </c>
      <c r="E290">
        <v>11.99</v>
      </c>
      <c r="F290">
        <v>392</v>
      </c>
      <c r="G290" t="s">
        <v>63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49</v>
      </c>
      <c r="N290" t="s">
        <v>75</v>
      </c>
      <c r="O290" t="s">
        <v>64</v>
      </c>
      <c r="P290">
        <v>57</v>
      </c>
      <c r="Q290">
        <v>3</v>
      </c>
      <c r="R290" t="b">
        <v>1</v>
      </c>
      <c r="S290" t="s">
        <v>30</v>
      </c>
      <c r="T290">
        <v>1025</v>
      </c>
      <c r="U290" t="s">
        <v>38</v>
      </c>
      <c r="V290" t="s">
        <v>59</v>
      </c>
      <c r="W290" t="s">
        <v>93</v>
      </c>
    </row>
    <row r="291" spans="1:23">
      <c r="A291">
        <v>8310</v>
      </c>
      <c r="B291" t="s">
        <v>344</v>
      </c>
      <c r="C291" s="1" t="s">
        <v>397</v>
      </c>
      <c r="D291" s="1">
        <v>45608</v>
      </c>
      <c r="E291">
        <v>11.99</v>
      </c>
      <c r="F291">
        <v>389</v>
      </c>
      <c r="G291" t="s">
        <v>36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74</v>
      </c>
      <c r="N291" t="s">
        <v>28</v>
      </c>
      <c r="O291" t="s">
        <v>64</v>
      </c>
      <c r="P291">
        <v>67</v>
      </c>
      <c r="Q291">
        <v>3.4</v>
      </c>
      <c r="R291" t="b">
        <v>0</v>
      </c>
      <c r="S291" t="s">
        <v>30</v>
      </c>
      <c r="T291">
        <v>2508</v>
      </c>
      <c r="U291" t="s">
        <v>31</v>
      </c>
      <c r="V291" t="s">
        <v>69</v>
      </c>
      <c r="W291" t="s">
        <v>93</v>
      </c>
    </row>
    <row r="292" spans="1:23">
      <c r="A292">
        <v>6369</v>
      </c>
      <c r="B292" t="s">
        <v>143</v>
      </c>
      <c r="C292" s="1" t="s">
        <v>398</v>
      </c>
      <c r="D292" s="1" t="s">
        <v>99</v>
      </c>
      <c r="E292">
        <v>7.99</v>
      </c>
      <c r="F292">
        <v>414</v>
      </c>
      <c r="G292" t="s">
        <v>63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55</v>
      </c>
      <c r="N292" t="s">
        <v>28</v>
      </c>
      <c r="O292" t="s">
        <v>37</v>
      </c>
      <c r="P292">
        <v>8</v>
      </c>
      <c r="Q292">
        <v>4.3</v>
      </c>
      <c r="R292" t="b">
        <v>0</v>
      </c>
      <c r="S292" t="s">
        <v>30</v>
      </c>
      <c r="T292">
        <v>1546</v>
      </c>
      <c r="U292" t="s">
        <v>38</v>
      </c>
      <c r="V292" t="s">
        <v>39</v>
      </c>
      <c r="W292" t="s">
        <v>40</v>
      </c>
    </row>
    <row r="293" spans="1:23">
      <c r="A293">
        <v>5721</v>
      </c>
      <c r="B293" t="s">
        <v>399</v>
      </c>
      <c r="C293" s="1">
        <v>45236</v>
      </c>
      <c r="D293" s="1">
        <v>45638</v>
      </c>
      <c r="E293">
        <v>15.99</v>
      </c>
      <c r="F293">
        <v>415</v>
      </c>
      <c r="G293" t="s">
        <v>51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27</v>
      </c>
      <c r="N293" t="s">
        <v>56</v>
      </c>
      <c r="O293" t="s">
        <v>37</v>
      </c>
      <c r="P293">
        <v>22</v>
      </c>
      <c r="Q293">
        <v>4.8</v>
      </c>
      <c r="R293" t="b">
        <v>1</v>
      </c>
      <c r="S293" t="s">
        <v>30</v>
      </c>
      <c r="T293">
        <v>1955</v>
      </c>
      <c r="U293" t="s">
        <v>76</v>
      </c>
      <c r="V293" t="s">
        <v>32</v>
      </c>
      <c r="W293" t="s">
        <v>93</v>
      </c>
    </row>
    <row r="294" spans="1:23">
      <c r="A294">
        <v>4204</v>
      </c>
      <c r="B294" t="s">
        <v>169</v>
      </c>
      <c r="C294" s="1">
        <v>45271</v>
      </c>
      <c r="D294" s="1" t="s">
        <v>42</v>
      </c>
      <c r="E294">
        <v>11.99</v>
      </c>
      <c r="F294">
        <v>494</v>
      </c>
      <c r="G294" t="s">
        <v>63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49</v>
      </c>
      <c r="N294" t="s">
        <v>44</v>
      </c>
      <c r="O294" t="s">
        <v>57</v>
      </c>
      <c r="P294">
        <v>61</v>
      </c>
      <c r="Q294">
        <v>4</v>
      </c>
      <c r="R294" t="b">
        <v>1</v>
      </c>
      <c r="S294" t="s">
        <v>30</v>
      </c>
      <c r="T294">
        <v>4889</v>
      </c>
      <c r="U294" t="s">
        <v>76</v>
      </c>
      <c r="V294" t="s">
        <v>32</v>
      </c>
      <c r="W294" t="s">
        <v>60</v>
      </c>
    </row>
    <row r="295" spans="1:23">
      <c r="A295">
        <v>5666</v>
      </c>
      <c r="B295" t="s">
        <v>272</v>
      </c>
      <c r="C295" s="1" t="s">
        <v>400</v>
      </c>
      <c r="D295" s="1" t="s">
        <v>84</v>
      </c>
      <c r="E295">
        <v>7.99</v>
      </c>
      <c r="F295">
        <v>109</v>
      </c>
      <c r="G295" t="s">
        <v>36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49</v>
      </c>
      <c r="N295" t="s">
        <v>56</v>
      </c>
      <c r="O295" t="s">
        <v>37</v>
      </c>
      <c r="P295">
        <v>63</v>
      </c>
      <c r="Q295">
        <v>4.3</v>
      </c>
      <c r="R295" t="b">
        <v>0</v>
      </c>
      <c r="S295" t="s">
        <v>30</v>
      </c>
      <c r="T295">
        <v>1185</v>
      </c>
      <c r="U295" t="s">
        <v>65</v>
      </c>
      <c r="V295" t="s">
        <v>59</v>
      </c>
      <c r="W295" t="s">
        <v>33</v>
      </c>
    </row>
    <row r="296" spans="1:23">
      <c r="A296">
        <v>5943</v>
      </c>
      <c r="B296" t="s">
        <v>401</v>
      </c>
      <c r="C296" s="1" t="s">
        <v>213</v>
      </c>
      <c r="D296" s="1">
        <v>45485</v>
      </c>
      <c r="E296">
        <v>7.99</v>
      </c>
      <c r="F296">
        <v>200</v>
      </c>
      <c r="G296" t="s">
        <v>100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55</v>
      </c>
      <c r="N296" t="s">
        <v>75</v>
      </c>
      <c r="O296" t="s">
        <v>45</v>
      </c>
      <c r="P296">
        <v>29</v>
      </c>
      <c r="Q296">
        <v>4.7</v>
      </c>
      <c r="R296" t="b">
        <v>1</v>
      </c>
      <c r="S296" t="s">
        <v>30</v>
      </c>
      <c r="T296">
        <v>3040</v>
      </c>
      <c r="U296" t="s">
        <v>38</v>
      </c>
      <c r="V296" t="s">
        <v>79</v>
      </c>
      <c r="W296" t="s">
        <v>40</v>
      </c>
    </row>
    <row r="297" spans="1:23">
      <c r="A297">
        <v>3202</v>
      </c>
      <c r="B297" t="s">
        <v>52</v>
      </c>
      <c r="C297" s="1" t="s">
        <v>312</v>
      </c>
      <c r="D297" s="1">
        <v>45394</v>
      </c>
      <c r="E297">
        <v>11.99</v>
      </c>
      <c r="F297">
        <v>134</v>
      </c>
      <c r="G297" t="s">
        <v>48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49</v>
      </c>
      <c r="N297" t="s">
        <v>75</v>
      </c>
      <c r="O297" t="s">
        <v>37</v>
      </c>
      <c r="P297">
        <v>3</v>
      </c>
      <c r="Q297">
        <v>3.7</v>
      </c>
      <c r="R297" t="b">
        <v>1</v>
      </c>
      <c r="S297" t="s">
        <v>30</v>
      </c>
      <c r="T297">
        <v>4729</v>
      </c>
      <c r="U297" t="s">
        <v>31</v>
      </c>
      <c r="V297" t="s">
        <v>69</v>
      </c>
      <c r="W297" t="s">
        <v>93</v>
      </c>
    </row>
    <row r="298" spans="1:23">
      <c r="A298">
        <v>4512</v>
      </c>
      <c r="B298" t="s">
        <v>259</v>
      </c>
      <c r="C298" s="1" t="s">
        <v>402</v>
      </c>
      <c r="D298" s="1" t="s">
        <v>90</v>
      </c>
      <c r="E298">
        <v>11.99</v>
      </c>
      <c r="F298">
        <v>250</v>
      </c>
      <c r="G298" t="s">
        <v>51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49</v>
      </c>
      <c r="N298" t="s">
        <v>56</v>
      </c>
      <c r="O298" t="s">
        <v>64</v>
      </c>
      <c r="P298">
        <v>71</v>
      </c>
      <c r="Q298">
        <v>3.9</v>
      </c>
      <c r="R298" t="b">
        <v>0</v>
      </c>
      <c r="S298" t="s">
        <v>30</v>
      </c>
      <c r="T298">
        <v>4193</v>
      </c>
      <c r="U298" t="s">
        <v>31</v>
      </c>
      <c r="V298" t="s">
        <v>39</v>
      </c>
      <c r="W298" t="s">
        <v>40</v>
      </c>
    </row>
    <row r="299" spans="1:23">
      <c r="A299">
        <v>2075</v>
      </c>
      <c r="B299" t="s">
        <v>347</v>
      </c>
      <c r="C299" s="1" t="s">
        <v>403</v>
      </c>
      <c r="D299" s="1">
        <v>45547</v>
      </c>
      <c r="E299">
        <v>7.99</v>
      </c>
      <c r="F299">
        <v>305</v>
      </c>
      <c r="G299" t="s">
        <v>36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27</v>
      </c>
      <c r="N299" t="s">
        <v>44</v>
      </c>
      <c r="O299" t="s">
        <v>45</v>
      </c>
      <c r="P299">
        <v>48</v>
      </c>
      <c r="Q299">
        <v>4.5999999999999996</v>
      </c>
      <c r="R299" t="b">
        <v>0</v>
      </c>
      <c r="S299" t="s">
        <v>30</v>
      </c>
      <c r="T299">
        <v>4626</v>
      </c>
      <c r="U299" t="s">
        <v>58</v>
      </c>
      <c r="V299" t="s">
        <v>79</v>
      </c>
      <c r="W299" t="s">
        <v>60</v>
      </c>
    </row>
    <row r="300" spans="1:23">
      <c r="A300">
        <v>4057</v>
      </c>
      <c r="B300" t="s">
        <v>404</v>
      </c>
      <c r="C300" s="1">
        <v>45570</v>
      </c>
      <c r="D300" s="1" t="s">
        <v>105</v>
      </c>
      <c r="E300">
        <v>15.99</v>
      </c>
      <c r="F300">
        <v>256</v>
      </c>
      <c r="G300" t="s">
        <v>73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43</v>
      </c>
      <c r="N300" t="s">
        <v>28</v>
      </c>
      <c r="O300" t="s">
        <v>57</v>
      </c>
      <c r="P300">
        <v>89</v>
      </c>
      <c r="Q300">
        <v>3.3</v>
      </c>
      <c r="R300" t="b">
        <v>0</v>
      </c>
      <c r="S300" t="s">
        <v>30</v>
      </c>
      <c r="T300">
        <v>60</v>
      </c>
      <c r="U300" t="s">
        <v>31</v>
      </c>
      <c r="V300" t="s">
        <v>79</v>
      </c>
      <c r="W300" t="s">
        <v>60</v>
      </c>
    </row>
    <row r="301" spans="1:23">
      <c r="A301">
        <v>5537</v>
      </c>
      <c r="B301" t="s">
        <v>212</v>
      </c>
      <c r="C301" s="1">
        <v>45635</v>
      </c>
      <c r="D301" s="1" t="s">
        <v>54</v>
      </c>
      <c r="E301">
        <v>11.99</v>
      </c>
      <c r="F301">
        <v>214</v>
      </c>
      <c r="G301" t="s">
        <v>51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43</v>
      </c>
      <c r="N301" t="s">
        <v>44</v>
      </c>
      <c r="O301" t="s">
        <v>29</v>
      </c>
      <c r="P301">
        <v>37</v>
      </c>
      <c r="Q301">
        <v>3.5</v>
      </c>
      <c r="R301" t="b">
        <v>1</v>
      </c>
      <c r="S301" t="s">
        <v>30</v>
      </c>
      <c r="T301">
        <v>2597</v>
      </c>
      <c r="U301" t="s">
        <v>76</v>
      </c>
      <c r="V301" t="s">
        <v>69</v>
      </c>
      <c r="W301" t="s">
        <v>60</v>
      </c>
    </row>
    <row r="302" spans="1:23">
      <c r="A302">
        <v>9520</v>
      </c>
      <c r="B302" t="s">
        <v>405</v>
      </c>
      <c r="C302" s="1">
        <v>45054</v>
      </c>
      <c r="D302" s="1">
        <v>45303</v>
      </c>
      <c r="E302">
        <v>11.99</v>
      </c>
      <c r="F302">
        <v>272</v>
      </c>
      <c r="G302" t="s">
        <v>100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74</v>
      </c>
      <c r="N302" t="s">
        <v>28</v>
      </c>
      <c r="O302" t="s">
        <v>37</v>
      </c>
      <c r="P302">
        <v>100</v>
      </c>
      <c r="Q302">
        <v>5</v>
      </c>
      <c r="R302" t="b">
        <v>0</v>
      </c>
      <c r="S302" t="s">
        <v>30</v>
      </c>
      <c r="T302">
        <v>260</v>
      </c>
      <c r="U302" t="s">
        <v>76</v>
      </c>
      <c r="V302" t="s">
        <v>79</v>
      </c>
      <c r="W302" t="s">
        <v>60</v>
      </c>
    </row>
    <row r="303" spans="1:23">
      <c r="A303">
        <v>1081</v>
      </c>
      <c r="B303" t="s">
        <v>406</v>
      </c>
      <c r="C303" s="1" t="s">
        <v>407</v>
      </c>
      <c r="D303" s="1" t="s">
        <v>168</v>
      </c>
      <c r="E303">
        <v>15.99</v>
      </c>
      <c r="F303">
        <v>144</v>
      </c>
      <c r="G303" t="s">
        <v>36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43</v>
      </c>
      <c r="N303" t="s">
        <v>44</v>
      </c>
      <c r="O303" t="s">
        <v>64</v>
      </c>
      <c r="P303">
        <v>98</v>
      </c>
      <c r="Q303">
        <v>3.3</v>
      </c>
      <c r="R303" t="b">
        <v>0</v>
      </c>
      <c r="S303" t="s">
        <v>30</v>
      </c>
      <c r="T303">
        <v>1544</v>
      </c>
      <c r="U303" t="s">
        <v>76</v>
      </c>
      <c r="V303" t="s">
        <v>32</v>
      </c>
      <c r="W303" t="s">
        <v>33</v>
      </c>
    </row>
    <row r="304" spans="1:23">
      <c r="A304">
        <v>7621</v>
      </c>
      <c r="B304" t="s">
        <v>405</v>
      </c>
      <c r="C304" s="1">
        <v>45086</v>
      </c>
      <c r="D304" s="1">
        <v>45455</v>
      </c>
      <c r="E304">
        <v>7.99</v>
      </c>
      <c r="F304">
        <v>381</v>
      </c>
      <c r="G304" t="s">
        <v>36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68</v>
      </c>
      <c r="N304" t="s">
        <v>44</v>
      </c>
      <c r="O304" t="s">
        <v>64</v>
      </c>
      <c r="P304">
        <v>10</v>
      </c>
      <c r="Q304">
        <v>4.5999999999999996</v>
      </c>
      <c r="R304" t="b">
        <v>1</v>
      </c>
      <c r="S304" t="s">
        <v>30</v>
      </c>
      <c r="T304">
        <v>4528</v>
      </c>
      <c r="U304" t="s">
        <v>76</v>
      </c>
      <c r="V304" t="s">
        <v>79</v>
      </c>
      <c r="W304" t="s">
        <v>40</v>
      </c>
    </row>
    <row r="305" spans="1:23">
      <c r="A305">
        <v>4558</v>
      </c>
      <c r="B305" t="s">
        <v>204</v>
      </c>
      <c r="C305" s="1" t="s">
        <v>386</v>
      </c>
      <c r="D305" s="1" t="s">
        <v>84</v>
      </c>
      <c r="E305">
        <v>11.99</v>
      </c>
      <c r="F305">
        <v>292</v>
      </c>
      <c r="G305" t="s">
        <v>36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74</v>
      </c>
      <c r="N305" t="s">
        <v>56</v>
      </c>
      <c r="O305" t="s">
        <v>64</v>
      </c>
      <c r="P305">
        <v>95</v>
      </c>
      <c r="Q305">
        <v>4.3</v>
      </c>
      <c r="R305" t="b">
        <v>0</v>
      </c>
      <c r="S305" t="s">
        <v>30</v>
      </c>
      <c r="T305">
        <v>1127</v>
      </c>
      <c r="U305" t="s">
        <v>65</v>
      </c>
      <c r="V305" t="s">
        <v>79</v>
      </c>
      <c r="W305" t="s">
        <v>40</v>
      </c>
    </row>
    <row r="306" spans="1:23">
      <c r="A306">
        <v>6628</v>
      </c>
      <c r="B306" t="s">
        <v>357</v>
      </c>
      <c r="C306" s="1" t="s">
        <v>81</v>
      </c>
      <c r="D306" s="1" t="s">
        <v>35</v>
      </c>
      <c r="E306">
        <v>11.99</v>
      </c>
      <c r="F306">
        <v>358</v>
      </c>
      <c r="G306" t="s">
        <v>100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55</v>
      </c>
      <c r="N306" t="s">
        <v>44</v>
      </c>
      <c r="O306" t="s">
        <v>57</v>
      </c>
      <c r="P306">
        <v>92</v>
      </c>
      <c r="Q306">
        <v>4</v>
      </c>
      <c r="R306" t="b">
        <v>0</v>
      </c>
      <c r="S306" t="s">
        <v>30</v>
      </c>
      <c r="T306">
        <v>4542</v>
      </c>
      <c r="U306" t="s">
        <v>31</v>
      </c>
      <c r="V306" t="s">
        <v>69</v>
      </c>
      <c r="W306" t="s">
        <v>40</v>
      </c>
    </row>
    <row r="307" spans="1:23">
      <c r="A307">
        <v>7643</v>
      </c>
      <c r="B307" t="s">
        <v>408</v>
      </c>
      <c r="C307" s="1">
        <v>45572</v>
      </c>
      <c r="D307" s="1">
        <v>45363</v>
      </c>
      <c r="E307">
        <v>15.99</v>
      </c>
      <c r="F307">
        <v>426</v>
      </c>
      <c r="G307" t="s">
        <v>48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27</v>
      </c>
      <c r="N307" t="s">
        <v>28</v>
      </c>
      <c r="O307" t="s">
        <v>78</v>
      </c>
      <c r="P307">
        <v>38</v>
      </c>
      <c r="Q307">
        <v>3.3</v>
      </c>
      <c r="R307" t="b">
        <v>1</v>
      </c>
      <c r="S307" t="s">
        <v>30</v>
      </c>
      <c r="T307">
        <v>1436</v>
      </c>
      <c r="U307" t="s">
        <v>31</v>
      </c>
      <c r="V307" t="s">
        <v>79</v>
      </c>
      <c r="W307" t="s">
        <v>60</v>
      </c>
    </row>
    <row r="308" spans="1:23">
      <c r="A308">
        <v>4709</v>
      </c>
      <c r="B308" t="s">
        <v>409</v>
      </c>
      <c r="C308" s="1" t="s">
        <v>113</v>
      </c>
      <c r="D308" s="1" t="s">
        <v>156</v>
      </c>
      <c r="E308">
        <v>11.99</v>
      </c>
      <c r="F308">
        <v>474</v>
      </c>
      <c r="G308" t="s">
        <v>73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68</v>
      </c>
      <c r="N308" t="s">
        <v>44</v>
      </c>
      <c r="O308" t="s">
        <v>37</v>
      </c>
      <c r="P308">
        <v>66</v>
      </c>
      <c r="Q308">
        <v>4</v>
      </c>
      <c r="R308" t="b">
        <v>0</v>
      </c>
      <c r="S308" t="s">
        <v>30</v>
      </c>
      <c r="T308">
        <v>4438</v>
      </c>
      <c r="U308" t="s">
        <v>38</v>
      </c>
      <c r="V308" t="s">
        <v>69</v>
      </c>
      <c r="W308" t="s">
        <v>33</v>
      </c>
    </row>
    <row r="309" spans="1:23">
      <c r="A309">
        <v>8408</v>
      </c>
      <c r="B309" t="s">
        <v>176</v>
      </c>
      <c r="C309" s="1" t="s">
        <v>410</v>
      </c>
      <c r="D309" s="1">
        <v>45638</v>
      </c>
      <c r="E309">
        <v>7.99</v>
      </c>
      <c r="F309">
        <v>286</v>
      </c>
      <c r="G309" t="s">
        <v>51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27</v>
      </c>
      <c r="N309" t="s">
        <v>56</v>
      </c>
      <c r="O309" t="s">
        <v>45</v>
      </c>
      <c r="P309">
        <v>8</v>
      </c>
      <c r="Q309">
        <v>3.7</v>
      </c>
      <c r="R309" t="b">
        <v>1</v>
      </c>
      <c r="S309" t="s">
        <v>30</v>
      </c>
      <c r="T309">
        <v>3130</v>
      </c>
      <c r="U309" t="s">
        <v>31</v>
      </c>
      <c r="V309" t="s">
        <v>32</v>
      </c>
      <c r="W309" t="s">
        <v>93</v>
      </c>
    </row>
    <row r="310" spans="1:23">
      <c r="A310">
        <v>3530</v>
      </c>
      <c r="B310" t="s">
        <v>411</v>
      </c>
      <c r="C310" s="1">
        <v>45575</v>
      </c>
      <c r="D310" s="1">
        <v>45455</v>
      </c>
      <c r="E310">
        <v>15.99</v>
      </c>
      <c r="F310">
        <v>498</v>
      </c>
      <c r="G310" t="s">
        <v>36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55</v>
      </c>
      <c r="N310" t="s">
        <v>44</v>
      </c>
      <c r="O310" t="s">
        <v>64</v>
      </c>
      <c r="P310">
        <v>6</v>
      </c>
      <c r="Q310">
        <v>3.9</v>
      </c>
      <c r="R310" t="b">
        <v>1</v>
      </c>
      <c r="S310" t="s">
        <v>30</v>
      </c>
      <c r="T310">
        <v>3379</v>
      </c>
      <c r="U310" t="s">
        <v>38</v>
      </c>
      <c r="V310" t="s">
        <v>39</v>
      </c>
      <c r="W310" t="s">
        <v>33</v>
      </c>
    </row>
    <row r="311" spans="1:23">
      <c r="A311">
        <v>3779</v>
      </c>
      <c r="B311" t="s">
        <v>291</v>
      </c>
      <c r="C311" s="1" t="s">
        <v>392</v>
      </c>
      <c r="D311" s="1" t="s">
        <v>35</v>
      </c>
      <c r="E311">
        <v>11.99</v>
      </c>
      <c r="F311">
        <v>32</v>
      </c>
      <c r="G311" t="s">
        <v>36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49</v>
      </c>
      <c r="N311" t="s">
        <v>75</v>
      </c>
      <c r="O311" t="s">
        <v>57</v>
      </c>
      <c r="P311">
        <v>88</v>
      </c>
      <c r="Q311">
        <v>3.4</v>
      </c>
      <c r="R311" t="b">
        <v>0</v>
      </c>
      <c r="S311" t="s">
        <v>30</v>
      </c>
      <c r="T311">
        <v>3696</v>
      </c>
      <c r="U311" t="s">
        <v>76</v>
      </c>
      <c r="V311" t="s">
        <v>39</v>
      </c>
      <c r="W311" t="s">
        <v>40</v>
      </c>
    </row>
    <row r="312" spans="1:23">
      <c r="A312">
        <v>8564</v>
      </c>
      <c r="B312" t="s">
        <v>202</v>
      </c>
      <c r="C312" s="1" t="s">
        <v>412</v>
      </c>
      <c r="D312" s="1">
        <v>45303</v>
      </c>
      <c r="E312">
        <v>7.99</v>
      </c>
      <c r="F312">
        <v>84</v>
      </c>
      <c r="G312" t="s">
        <v>100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27</v>
      </c>
      <c r="N312" t="s">
        <v>44</v>
      </c>
      <c r="O312" t="s">
        <v>45</v>
      </c>
      <c r="P312">
        <v>96</v>
      </c>
      <c r="Q312">
        <v>4.5</v>
      </c>
      <c r="R312" t="b">
        <v>1</v>
      </c>
      <c r="S312" t="s">
        <v>30</v>
      </c>
      <c r="T312">
        <v>2416</v>
      </c>
      <c r="U312" t="s">
        <v>31</v>
      </c>
      <c r="V312" t="s">
        <v>69</v>
      </c>
      <c r="W312" t="s">
        <v>33</v>
      </c>
    </row>
    <row r="313" spans="1:23">
      <c r="A313">
        <v>8731</v>
      </c>
      <c r="B313" t="s">
        <v>177</v>
      </c>
      <c r="C313" s="1" t="s">
        <v>198</v>
      </c>
      <c r="D313" s="1">
        <v>45334</v>
      </c>
      <c r="E313">
        <v>15.99</v>
      </c>
      <c r="F313">
        <v>210</v>
      </c>
      <c r="G313" t="s">
        <v>100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43</v>
      </c>
      <c r="N313" t="s">
        <v>28</v>
      </c>
      <c r="O313" t="s">
        <v>29</v>
      </c>
      <c r="P313">
        <v>62</v>
      </c>
      <c r="Q313">
        <v>3.9</v>
      </c>
      <c r="R313" t="b">
        <v>0</v>
      </c>
      <c r="S313" t="s">
        <v>30</v>
      </c>
      <c r="T313">
        <v>2856</v>
      </c>
      <c r="U313" t="s">
        <v>31</v>
      </c>
      <c r="V313" t="s">
        <v>69</v>
      </c>
      <c r="W313" t="s">
        <v>40</v>
      </c>
    </row>
    <row r="314" spans="1:23">
      <c r="A314">
        <v>5000</v>
      </c>
      <c r="B314" t="s">
        <v>150</v>
      </c>
      <c r="C314" s="1" t="s">
        <v>413</v>
      </c>
      <c r="D314" s="1" t="s">
        <v>156</v>
      </c>
      <c r="E314">
        <v>15.99</v>
      </c>
      <c r="F314">
        <v>231</v>
      </c>
      <c r="G314" t="s">
        <v>63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55</v>
      </c>
      <c r="N314" t="s">
        <v>56</v>
      </c>
      <c r="O314" t="s">
        <v>37</v>
      </c>
      <c r="P314">
        <v>65</v>
      </c>
      <c r="Q314">
        <v>3.4</v>
      </c>
      <c r="R314" t="b">
        <v>1</v>
      </c>
      <c r="S314" t="s">
        <v>30</v>
      </c>
      <c r="T314">
        <v>4177</v>
      </c>
      <c r="U314" t="s">
        <v>31</v>
      </c>
      <c r="V314" t="s">
        <v>59</v>
      </c>
      <c r="W314" t="s">
        <v>60</v>
      </c>
    </row>
    <row r="315" spans="1:23">
      <c r="A315">
        <v>3882</v>
      </c>
      <c r="B315" t="s">
        <v>318</v>
      </c>
      <c r="C315" s="1">
        <v>45303</v>
      </c>
      <c r="D315" s="1" t="s">
        <v>35</v>
      </c>
      <c r="E315">
        <v>15.99</v>
      </c>
      <c r="F315">
        <v>246</v>
      </c>
      <c r="G315" t="s">
        <v>36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43</v>
      </c>
      <c r="N315" t="s">
        <v>56</v>
      </c>
      <c r="O315" t="s">
        <v>64</v>
      </c>
      <c r="P315">
        <v>82</v>
      </c>
      <c r="Q315">
        <v>4.9000000000000004</v>
      </c>
      <c r="R315" t="b">
        <v>0</v>
      </c>
      <c r="S315" t="s">
        <v>30</v>
      </c>
      <c r="T315">
        <v>1912</v>
      </c>
      <c r="U315" t="s">
        <v>65</v>
      </c>
      <c r="V315" t="s">
        <v>59</v>
      </c>
      <c r="W315" t="s">
        <v>40</v>
      </c>
    </row>
    <row r="316" spans="1:23">
      <c r="A316">
        <v>4551</v>
      </c>
      <c r="B316" t="s">
        <v>414</v>
      </c>
      <c r="C316" s="1" t="s">
        <v>415</v>
      </c>
      <c r="D316" s="1" t="s">
        <v>54</v>
      </c>
      <c r="E316">
        <v>11.99</v>
      </c>
      <c r="F316">
        <v>174</v>
      </c>
      <c r="G316" t="s">
        <v>100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27</v>
      </c>
      <c r="N316" t="s">
        <v>56</v>
      </c>
      <c r="O316" t="s">
        <v>64</v>
      </c>
      <c r="P316">
        <v>65</v>
      </c>
      <c r="Q316">
        <v>3.7</v>
      </c>
      <c r="R316" t="b">
        <v>0</v>
      </c>
      <c r="S316" t="s">
        <v>30</v>
      </c>
      <c r="T316">
        <v>2388</v>
      </c>
      <c r="U316" t="s">
        <v>76</v>
      </c>
      <c r="V316" t="s">
        <v>59</v>
      </c>
      <c r="W316" t="s">
        <v>60</v>
      </c>
    </row>
    <row r="317" spans="1:23">
      <c r="A317">
        <v>7970</v>
      </c>
      <c r="B317" t="s">
        <v>169</v>
      </c>
      <c r="C317" s="1" t="s">
        <v>416</v>
      </c>
      <c r="D317" s="1" t="s">
        <v>54</v>
      </c>
      <c r="E317">
        <v>15.99</v>
      </c>
      <c r="F317">
        <v>298</v>
      </c>
      <c r="G317" t="s">
        <v>73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74</v>
      </c>
      <c r="N317" t="s">
        <v>28</v>
      </c>
      <c r="O317" t="s">
        <v>29</v>
      </c>
      <c r="P317">
        <v>27</v>
      </c>
      <c r="Q317">
        <v>3</v>
      </c>
      <c r="R317" t="b">
        <v>0</v>
      </c>
      <c r="S317" t="s">
        <v>30</v>
      </c>
      <c r="T317">
        <v>4216</v>
      </c>
      <c r="U317" t="s">
        <v>31</v>
      </c>
      <c r="V317" t="s">
        <v>79</v>
      </c>
      <c r="W317" t="s">
        <v>60</v>
      </c>
    </row>
    <row r="318" spans="1:23">
      <c r="A318">
        <v>2466</v>
      </c>
      <c r="B318" t="s">
        <v>417</v>
      </c>
      <c r="C318" s="1" t="s">
        <v>418</v>
      </c>
      <c r="D318" s="1">
        <v>45363</v>
      </c>
      <c r="E318">
        <v>11.99</v>
      </c>
      <c r="F318">
        <v>344</v>
      </c>
      <c r="G318" t="s">
        <v>51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27</v>
      </c>
      <c r="N318" t="s">
        <v>28</v>
      </c>
      <c r="O318" t="s">
        <v>37</v>
      </c>
      <c r="P318">
        <v>100</v>
      </c>
      <c r="Q318">
        <v>4.5999999999999996</v>
      </c>
      <c r="R318" t="b">
        <v>1</v>
      </c>
      <c r="S318" t="s">
        <v>30</v>
      </c>
      <c r="T318">
        <v>599</v>
      </c>
      <c r="U318" t="s">
        <v>65</v>
      </c>
      <c r="V318" t="s">
        <v>39</v>
      </c>
      <c r="W318" t="s">
        <v>93</v>
      </c>
    </row>
    <row r="319" spans="1:23">
      <c r="A319">
        <v>1303</v>
      </c>
      <c r="B319" t="s">
        <v>140</v>
      </c>
      <c r="C319" s="1" t="s">
        <v>71</v>
      </c>
      <c r="D319" s="1">
        <v>45394</v>
      </c>
      <c r="E319">
        <v>11.99</v>
      </c>
      <c r="F319">
        <v>264</v>
      </c>
      <c r="G319" t="s">
        <v>100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68</v>
      </c>
      <c r="N319" t="s">
        <v>75</v>
      </c>
      <c r="O319" t="s">
        <v>64</v>
      </c>
      <c r="P319">
        <v>29</v>
      </c>
      <c r="Q319">
        <v>4.9000000000000004</v>
      </c>
      <c r="R319" t="b">
        <v>1</v>
      </c>
      <c r="S319" t="s">
        <v>30</v>
      </c>
      <c r="T319">
        <v>804</v>
      </c>
      <c r="U319" t="s">
        <v>38</v>
      </c>
      <c r="V319" t="s">
        <v>39</v>
      </c>
      <c r="W319" t="s">
        <v>40</v>
      </c>
    </row>
    <row r="320" spans="1:23">
      <c r="A320">
        <v>9832</v>
      </c>
      <c r="B320" t="s">
        <v>311</v>
      </c>
      <c r="C320" s="1" t="s">
        <v>246</v>
      </c>
      <c r="D320" s="1" t="s">
        <v>134</v>
      </c>
      <c r="E320">
        <v>7.99</v>
      </c>
      <c r="F320">
        <v>380</v>
      </c>
      <c r="G320" t="s">
        <v>36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68</v>
      </c>
      <c r="N320" t="s">
        <v>28</v>
      </c>
      <c r="O320" t="s">
        <v>78</v>
      </c>
      <c r="P320">
        <v>93</v>
      </c>
      <c r="Q320">
        <v>3</v>
      </c>
      <c r="R320" t="b">
        <v>0</v>
      </c>
      <c r="S320" t="s">
        <v>30</v>
      </c>
      <c r="T320">
        <v>4565</v>
      </c>
      <c r="U320" t="s">
        <v>65</v>
      </c>
      <c r="V320" t="s">
        <v>39</v>
      </c>
      <c r="W320" t="s">
        <v>40</v>
      </c>
    </row>
    <row r="321" spans="1:23">
      <c r="A321">
        <v>3618</v>
      </c>
      <c r="B321" t="s">
        <v>284</v>
      </c>
      <c r="C321" s="1">
        <v>45353</v>
      </c>
      <c r="D321" s="1">
        <v>45363</v>
      </c>
      <c r="E321">
        <v>11.99</v>
      </c>
      <c r="F321">
        <v>160</v>
      </c>
      <c r="G321" t="s">
        <v>26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68</v>
      </c>
      <c r="N321" t="s">
        <v>75</v>
      </c>
      <c r="O321" t="s">
        <v>37</v>
      </c>
      <c r="P321">
        <v>71</v>
      </c>
      <c r="Q321">
        <v>3</v>
      </c>
      <c r="R321" t="b">
        <v>0</v>
      </c>
      <c r="S321" t="s">
        <v>30</v>
      </c>
      <c r="T321">
        <v>1095</v>
      </c>
      <c r="U321" t="s">
        <v>38</v>
      </c>
      <c r="V321" t="s">
        <v>79</v>
      </c>
      <c r="W321" t="s">
        <v>33</v>
      </c>
    </row>
    <row r="322" spans="1:23">
      <c r="A322">
        <v>7424</v>
      </c>
      <c r="B322" t="s">
        <v>148</v>
      </c>
      <c r="C322" s="1">
        <v>45146</v>
      </c>
      <c r="D322" s="1" t="s">
        <v>25</v>
      </c>
      <c r="E322">
        <v>7.99</v>
      </c>
      <c r="F322">
        <v>55</v>
      </c>
      <c r="G322" t="s">
        <v>73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74</v>
      </c>
      <c r="N322" t="s">
        <v>56</v>
      </c>
      <c r="O322" t="s">
        <v>78</v>
      </c>
      <c r="P322">
        <v>5</v>
      </c>
      <c r="Q322">
        <v>3.4</v>
      </c>
      <c r="R322" t="b">
        <v>0</v>
      </c>
      <c r="S322" t="s">
        <v>30</v>
      </c>
      <c r="T322">
        <v>1512</v>
      </c>
      <c r="U322" t="s">
        <v>76</v>
      </c>
      <c r="V322" t="s">
        <v>69</v>
      </c>
      <c r="W322" t="s">
        <v>40</v>
      </c>
    </row>
    <row r="323" spans="1:23">
      <c r="A323">
        <v>8414</v>
      </c>
      <c r="B323" t="s">
        <v>148</v>
      </c>
      <c r="C323" s="1" t="s">
        <v>419</v>
      </c>
      <c r="D323" s="1" t="s">
        <v>82</v>
      </c>
      <c r="E323">
        <v>11.99</v>
      </c>
      <c r="F323">
        <v>70</v>
      </c>
      <c r="G323" t="s">
        <v>36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55</v>
      </c>
      <c r="N323" t="s">
        <v>75</v>
      </c>
      <c r="O323" t="s">
        <v>45</v>
      </c>
      <c r="P323">
        <v>24</v>
      </c>
      <c r="Q323">
        <v>3.8</v>
      </c>
      <c r="R323" t="b">
        <v>0</v>
      </c>
      <c r="S323" t="s">
        <v>30</v>
      </c>
      <c r="T323">
        <v>1422</v>
      </c>
      <c r="U323" t="s">
        <v>65</v>
      </c>
      <c r="V323" t="s">
        <v>79</v>
      </c>
      <c r="W323" t="s">
        <v>93</v>
      </c>
    </row>
    <row r="324" spans="1:23">
      <c r="A324">
        <v>5688</v>
      </c>
      <c r="B324" t="s">
        <v>140</v>
      </c>
      <c r="C324" s="1" t="s">
        <v>420</v>
      </c>
      <c r="D324" s="1" t="s">
        <v>90</v>
      </c>
      <c r="E324">
        <v>7.99</v>
      </c>
      <c r="F324">
        <v>256</v>
      </c>
      <c r="G324" t="s">
        <v>36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43</v>
      </c>
      <c r="N324" t="s">
        <v>56</v>
      </c>
      <c r="O324" t="s">
        <v>64</v>
      </c>
      <c r="P324">
        <v>65</v>
      </c>
      <c r="Q324">
        <v>4.5</v>
      </c>
      <c r="R324" t="b">
        <v>0</v>
      </c>
      <c r="S324" t="s">
        <v>30</v>
      </c>
      <c r="T324">
        <v>147</v>
      </c>
      <c r="U324" t="s">
        <v>31</v>
      </c>
      <c r="V324" t="s">
        <v>69</v>
      </c>
      <c r="W324" t="s">
        <v>60</v>
      </c>
    </row>
    <row r="325" spans="1:23">
      <c r="A325">
        <v>2062</v>
      </c>
      <c r="B325" t="s">
        <v>421</v>
      </c>
      <c r="C325" s="1" t="s">
        <v>220</v>
      </c>
      <c r="D325" s="1" t="s">
        <v>156</v>
      </c>
      <c r="E325">
        <v>15.99</v>
      </c>
      <c r="F325">
        <v>436</v>
      </c>
      <c r="G325" t="s">
        <v>51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92</v>
      </c>
      <c r="N325" t="s">
        <v>56</v>
      </c>
      <c r="O325" t="s">
        <v>37</v>
      </c>
      <c r="P325">
        <v>64</v>
      </c>
      <c r="Q325">
        <v>3.5</v>
      </c>
      <c r="R325" t="b">
        <v>1</v>
      </c>
      <c r="S325" t="s">
        <v>30</v>
      </c>
      <c r="T325">
        <v>4317</v>
      </c>
      <c r="U325" t="s">
        <v>58</v>
      </c>
      <c r="V325" t="s">
        <v>69</v>
      </c>
      <c r="W325" t="s">
        <v>33</v>
      </c>
    </row>
    <row r="326" spans="1:23">
      <c r="A326">
        <v>5031</v>
      </c>
      <c r="B326" t="s">
        <v>422</v>
      </c>
      <c r="C326" s="1">
        <v>45024</v>
      </c>
      <c r="D326" s="1" t="s">
        <v>99</v>
      </c>
      <c r="E326">
        <v>7.99</v>
      </c>
      <c r="F326">
        <v>394</v>
      </c>
      <c r="G326" t="s">
        <v>26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49</v>
      </c>
      <c r="N326" t="s">
        <v>28</v>
      </c>
      <c r="O326" t="s">
        <v>37</v>
      </c>
      <c r="P326">
        <v>51</v>
      </c>
      <c r="Q326">
        <v>3</v>
      </c>
      <c r="R326" t="b">
        <v>1</v>
      </c>
      <c r="S326" t="s">
        <v>30</v>
      </c>
      <c r="T326">
        <v>3197</v>
      </c>
      <c r="U326" t="s">
        <v>38</v>
      </c>
      <c r="V326" t="s">
        <v>59</v>
      </c>
      <c r="W326" t="s">
        <v>33</v>
      </c>
    </row>
    <row r="327" spans="1:23">
      <c r="A327">
        <v>1162</v>
      </c>
      <c r="B327" t="s">
        <v>294</v>
      </c>
      <c r="C327" s="1" t="s">
        <v>423</v>
      </c>
      <c r="D327" s="1" t="s">
        <v>168</v>
      </c>
      <c r="E327">
        <v>15.99</v>
      </c>
      <c r="F327">
        <v>131</v>
      </c>
      <c r="G327" t="s">
        <v>48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55</v>
      </c>
      <c r="N327" t="s">
        <v>44</v>
      </c>
      <c r="O327" t="s">
        <v>57</v>
      </c>
      <c r="P327">
        <v>78</v>
      </c>
      <c r="Q327">
        <v>4.5999999999999996</v>
      </c>
      <c r="R327" t="b">
        <v>0</v>
      </c>
      <c r="S327" t="s">
        <v>30</v>
      </c>
      <c r="T327">
        <v>1413</v>
      </c>
      <c r="U327" t="s">
        <v>58</v>
      </c>
      <c r="V327" t="s">
        <v>69</v>
      </c>
      <c r="W327" t="s">
        <v>93</v>
      </c>
    </row>
    <row r="328" spans="1:23">
      <c r="A328">
        <v>6564</v>
      </c>
      <c r="B328" t="s">
        <v>153</v>
      </c>
      <c r="C328" s="1" t="s">
        <v>398</v>
      </c>
      <c r="D328" s="1">
        <v>45485</v>
      </c>
      <c r="E328">
        <v>11.99</v>
      </c>
      <c r="F328">
        <v>98</v>
      </c>
      <c r="G328" t="s">
        <v>36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27</v>
      </c>
      <c r="N328" t="s">
        <v>44</v>
      </c>
      <c r="O328" t="s">
        <v>64</v>
      </c>
      <c r="P328">
        <v>10</v>
      </c>
      <c r="Q328">
        <v>3.9</v>
      </c>
      <c r="R328" t="b">
        <v>1</v>
      </c>
      <c r="S328" t="s">
        <v>30</v>
      </c>
      <c r="T328">
        <v>747</v>
      </c>
      <c r="U328" t="s">
        <v>65</v>
      </c>
      <c r="V328" t="s">
        <v>39</v>
      </c>
      <c r="W328" t="s">
        <v>93</v>
      </c>
    </row>
    <row r="329" spans="1:23">
      <c r="A329">
        <v>9298</v>
      </c>
      <c r="B329" t="s">
        <v>174</v>
      </c>
      <c r="C329" s="1">
        <v>45328</v>
      </c>
      <c r="D329" s="1">
        <v>45394</v>
      </c>
      <c r="E329">
        <v>11.99</v>
      </c>
      <c r="F329">
        <v>276</v>
      </c>
      <c r="G329" t="s">
        <v>73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92</v>
      </c>
      <c r="N329" t="s">
        <v>28</v>
      </c>
      <c r="O329" t="s">
        <v>64</v>
      </c>
      <c r="P329">
        <v>19</v>
      </c>
      <c r="Q329">
        <v>4.3</v>
      </c>
      <c r="R329" t="b">
        <v>0</v>
      </c>
      <c r="S329" t="s">
        <v>30</v>
      </c>
      <c r="T329">
        <v>1099</v>
      </c>
      <c r="U329" t="s">
        <v>76</v>
      </c>
      <c r="V329" t="s">
        <v>79</v>
      </c>
      <c r="W329" t="s">
        <v>40</v>
      </c>
    </row>
    <row r="330" spans="1:23">
      <c r="A330">
        <v>4216</v>
      </c>
      <c r="B330" t="s">
        <v>424</v>
      </c>
      <c r="C330" s="1" t="s">
        <v>425</v>
      </c>
      <c r="D330" s="1" t="s">
        <v>54</v>
      </c>
      <c r="E330">
        <v>11.99</v>
      </c>
      <c r="F330">
        <v>251</v>
      </c>
      <c r="G330" t="s">
        <v>26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68</v>
      </c>
      <c r="N330" t="s">
        <v>44</v>
      </c>
      <c r="O330" t="s">
        <v>29</v>
      </c>
      <c r="P330">
        <v>56</v>
      </c>
      <c r="Q330">
        <v>4.3</v>
      </c>
      <c r="R330" t="b">
        <v>1</v>
      </c>
      <c r="S330" t="s">
        <v>30</v>
      </c>
      <c r="T330">
        <v>585</v>
      </c>
      <c r="U330" t="s">
        <v>31</v>
      </c>
      <c r="V330" t="s">
        <v>39</v>
      </c>
      <c r="W330" t="s">
        <v>33</v>
      </c>
    </row>
    <row r="331" spans="1:23">
      <c r="A331">
        <v>3677</v>
      </c>
      <c r="B331" t="s">
        <v>226</v>
      </c>
      <c r="C331" s="1">
        <v>45141</v>
      </c>
      <c r="D331" s="1" t="s">
        <v>168</v>
      </c>
      <c r="E331">
        <v>7.99</v>
      </c>
      <c r="F331">
        <v>233</v>
      </c>
      <c r="G331" t="s">
        <v>48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43</v>
      </c>
      <c r="N331" t="s">
        <v>28</v>
      </c>
      <c r="O331" t="s">
        <v>45</v>
      </c>
      <c r="P331">
        <v>47</v>
      </c>
      <c r="Q331">
        <v>3.4</v>
      </c>
      <c r="R331" t="b">
        <v>1</v>
      </c>
      <c r="S331" t="s">
        <v>30</v>
      </c>
      <c r="T331">
        <v>615</v>
      </c>
      <c r="U331" t="s">
        <v>31</v>
      </c>
      <c r="V331" t="s">
        <v>39</v>
      </c>
      <c r="W331" t="s">
        <v>93</v>
      </c>
    </row>
    <row r="332" spans="1:23">
      <c r="A332">
        <v>8453</v>
      </c>
      <c r="B332" t="s">
        <v>344</v>
      </c>
      <c r="C332" s="1" t="s">
        <v>426</v>
      </c>
      <c r="D332" s="1" t="s">
        <v>99</v>
      </c>
      <c r="E332">
        <v>11.99</v>
      </c>
      <c r="F332">
        <v>136</v>
      </c>
      <c r="G332" t="s">
        <v>100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55</v>
      </c>
      <c r="N332" t="s">
        <v>75</v>
      </c>
      <c r="O332" t="s">
        <v>29</v>
      </c>
      <c r="P332">
        <v>15</v>
      </c>
      <c r="Q332">
        <v>3.6</v>
      </c>
      <c r="R332" t="b">
        <v>0</v>
      </c>
      <c r="S332" t="s">
        <v>30</v>
      </c>
      <c r="T332">
        <v>2634</v>
      </c>
      <c r="U332" t="s">
        <v>65</v>
      </c>
      <c r="V332" t="s">
        <v>59</v>
      </c>
      <c r="W332" t="s">
        <v>60</v>
      </c>
    </row>
    <row r="333" spans="1:23">
      <c r="A333">
        <v>6231</v>
      </c>
      <c r="B333" t="s">
        <v>186</v>
      </c>
      <c r="C333" s="1" t="s">
        <v>427</v>
      </c>
      <c r="D333" s="1">
        <v>45485</v>
      </c>
      <c r="E333">
        <v>15.99</v>
      </c>
      <c r="F333">
        <v>248</v>
      </c>
      <c r="G333" t="s">
        <v>63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92</v>
      </c>
      <c r="N333" t="s">
        <v>56</v>
      </c>
      <c r="O333" t="s">
        <v>57</v>
      </c>
      <c r="P333">
        <v>43</v>
      </c>
      <c r="Q333">
        <v>4.9000000000000004</v>
      </c>
      <c r="R333" t="b">
        <v>1</v>
      </c>
      <c r="S333" t="s">
        <v>30</v>
      </c>
      <c r="T333">
        <v>136</v>
      </c>
      <c r="U333" t="s">
        <v>65</v>
      </c>
      <c r="V333" t="s">
        <v>69</v>
      </c>
      <c r="W333" t="s">
        <v>33</v>
      </c>
    </row>
    <row r="334" spans="1:23">
      <c r="A334">
        <v>1481</v>
      </c>
      <c r="B334" t="s">
        <v>52</v>
      </c>
      <c r="C334" s="1" t="s">
        <v>279</v>
      </c>
      <c r="D334" s="1">
        <v>45303</v>
      </c>
      <c r="E334">
        <v>7.99</v>
      </c>
      <c r="F334">
        <v>180</v>
      </c>
      <c r="G334" t="s">
        <v>51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49</v>
      </c>
      <c r="N334" t="s">
        <v>44</v>
      </c>
      <c r="O334" t="s">
        <v>64</v>
      </c>
      <c r="P334">
        <v>71</v>
      </c>
      <c r="Q334">
        <v>4.9000000000000004</v>
      </c>
      <c r="R334" t="b">
        <v>1</v>
      </c>
      <c r="S334" t="s">
        <v>30</v>
      </c>
      <c r="T334">
        <v>4566</v>
      </c>
      <c r="U334" t="s">
        <v>31</v>
      </c>
      <c r="V334" t="s">
        <v>69</v>
      </c>
      <c r="W334" t="s">
        <v>60</v>
      </c>
    </row>
    <row r="335" spans="1:23">
      <c r="A335">
        <v>7400</v>
      </c>
      <c r="B335" t="s">
        <v>428</v>
      </c>
      <c r="C335" s="1">
        <v>45540</v>
      </c>
      <c r="D335" s="1" t="s">
        <v>35</v>
      </c>
      <c r="E335">
        <v>11.99</v>
      </c>
      <c r="F335">
        <v>254</v>
      </c>
      <c r="G335" t="s">
        <v>26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68</v>
      </c>
      <c r="N335" t="s">
        <v>44</v>
      </c>
      <c r="O335" t="s">
        <v>45</v>
      </c>
      <c r="P335">
        <v>5</v>
      </c>
      <c r="Q335">
        <v>3.6</v>
      </c>
      <c r="R335" t="b">
        <v>0</v>
      </c>
      <c r="S335" t="s">
        <v>30</v>
      </c>
      <c r="T335">
        <v>3281</v>
      </c>
      <c r="U335" t="s">
        <v>38</v>
      </c>
      <c r="V335" t="s">
        <v>69</v>
      </c>
      <c r="W335" t="s">
        <v>33</v>
      </c>
    </row>
    <row r="336" spans="1:23">
      <c r="A336">
        <v>7447</v>
      </c>
      <c r="B336" t="s">
        <v>130</v>
      </c>
      <c r="C336" s="1" t="s">
        <v>429</v>
      </c>
      <c r="D336" s="1" t="s">
        <v>84</v>
      </c>
      <c r="E336">
        <v>7.99</v>
      </c>
      <c r="F336">
        <v>108</v>
      </c>
      <c r="G336" t="s">
        <v>36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74</v>
      </c>
      <c r="N336" t="s">
        <v>28</v>
      </c>
      <c r="O336" t="s">
        <v>29</v>
      </c>
      <c r="P336">
        <v>82</v>
      </c>
      <c r="Q336">
        <v>3.9</v>
      </c>
      <c r="R336" t="b">
        <v>0</v>
      </c>
      <c r="S336" t="s">
        <v>30</v>
      </c>
      <c r="T336">
        <v>1559</v>
      </c>
      <c r="U336" t="s">
        <v>58</v>
      </c>
      <c r="V336" t="s">
        <v>32</v>
      </c>
      <c r="W336" t="s">
        <v>33</v>
      </c>
    </row>
    <row r="337" spans="1:23">
      <c r="A337">
        <v>4597</v>
      </c>
      <c r="B337" t="s">
        <v>244</v>
      </c>
      <c r="C337" s="1">
        <v>45573</v>
      </c>
      <c r="D337" s="1" t="s">
        <v>25</v>
      </c>
      <c r="E337">
        <v>7.99</v>
      </c>
      <c r="F337">
        <v>183</v>
      </c>
      <c r="G337" t="s">
        <v>51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92</v>
      </c>
      <c r="N337" t="s">
        <v>28</v>
      </c>
      <c r="O337" t="s">
        <v>37</v>
      </c>
      <c r="P337">
        <v>46</v>
      </c>
      <c r="Q337">
        <v>3.9</v>
      </c>
      <c r="R337" t="b">
        <v>0</v>
      </c>
      <c r="S337" t="s">
        <v>30</v>
      </c>
      <c r="T337">
        <v>3113</v>
      </c>
      <c r="U337" t="s">
        <v>76</v>
      </c>
      <c r="V337" t="s">
        <v>32</v>
      </c>
      <c r="W337" t="s">
        <v>40</v>
      </c>
    </row>
    <row r="338" spans="1:23">
      <c r="A338">
        <v>3173</v>
      </c>
      <c r="B338" t="s">
        <v>236</v>
      </c>
      <c r="C338" s="1" t="s">
        <v>430</v>
      </c>
      <c r="D338" s="1">
        <v>45547</v>
      </c>
      <c r="E338">
        <v>7.99</v>
      </c>
      <c r="F338">
        <v>53</v>
      </c>
      <c r="G338" t="s">
        <v>48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92</v>
      </c>
      <c r="N338" t="s">
        <v>75</v>
      </c>
      <c r="O338" t="s">
        <v>64</v>
      </c>
      <c r="P338">
        <v>57</v>
      </c>
      <c r="Q338">
        <v>4.3</v>
      </c>
      <c r="R338" t="b">
        <v>0</v>
      </c>
      <c r="S338" t="s">
        <v>30</v>
      </c>
      <c r="T338">
        <v>3836</v>
      </c>
      <c r="U338" t="s">
        <v>38</v>
      </c>
      <c r="V338" t="s">
        <v>39</v>
      </c>
      <c r="W338" t="s">
        <v>40</v>
      </c>
    </row>
    <row r="339" spans="1:23">
      <c r="A339">
        <v>9514</v>
      </c>
      <c r="B339" t="s">
        <v>431</v>
      </c>
      <c r="C339" s="1">
        <v>45083</v>
      </c>
      <c r="D339" s="1">
        <v>45577</v>
      </c>
      <c r="E339">
        <v>7.99</v>
      </c>
      <c r="F339">
        <v>120</v>
      </c>
      <c r="G339" t="s">
        <v>63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49</v>
      </c>
      <c r="N339" t="s">
        <v>44</v>
      </c>
      <c r="O339" t="s">
        <v>29</v>
      </c>
      <c r="P339">
        <v>16</v>
      </c>
      <c r="Q339">
        <v>4</v>
      </c>
      <c r="R339" t="b">
        <v>1</v>
      </c>
      <c r="S339" t="s">
        <v>30</v>
      </c>
      <c r="T339">
        <v>1522</v>
      </c>
      <c r="U339" t="s">
        <v>65</v>
      </c>
      <c r="V339" t="s">
        <v>39</v>
      </c>
      <c r="W339" t="s">
        <v>40</v>
      </c>
    </row>
    <row r="340" spans="1:23">
      <c r="A340">
        <v>4985</v>
      </c>
      <c r="B340" t="s">
        <v>157</v>
      </c>
      <c r="C340" s="1">
        <v>45238</v>
      </c>
      <c r="D340" s="1">
        <v>45303</v>
      </c>
      <c r="E340">
        <v>7.99</v>
      </c>
      <c r="F340">
        <v>118</v>
      </c>
      <c r="G340" t="s">
        <v>48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49</v>
      </c>
      <c r="N340" t="s">
        <v>75</v>
      </c>
      <c r="O340" t="s">
        <v>45</v>
      </c>
      <c r="P340">
        <v>94</v>
      </c>
      <c r="Q340">
        <v>4.0999999999999996</v>
      </c>
      <c r="R340" t="b">
        <v>1</v>
      </c>
      <c r="S340" t="s">
        <v>30</v>
      </c>
      <c r="T340">
        <v>1756</v>
      </c>
      <c r="U340" t="s">
        <v>38</v>
      </c>
      <c r="V340" t="s">
        <v>59</v>
      </c>
      <c r="W340" t="s">
        <v>33</v>
      </c>
    </row>
    <row r="341" spans="1:23">
      <c r="A341">
        <v>4486</v>
      </c>
      <c r="B341" t="s">
        <v>395</v>
      </c>
      <c r="C341" s="1">
        <v>45413</v>
      </c>
      <c r="D341" s="1" t="s">
        <v>25</v>
      </c>
      <c r="E341">
        <v>7.99</v>
      </c>
      <c r="F341">
        <v>113</v>
      </c>
      <c r="G341" t="s">
        <v>36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68</v>
      </c>
      <c r="N341" t="s">
        <v>75</v>
      </c>
      <c r="O341" t="s">
        <v>64</v>
      </c>
      <c r="P341">
        <v>69</v>
      </c>
      <c r="Q341">
        <v>4.8</v>
      </c>
      <c r="R341" t="b">
        <v>0</v>
      </c>
      <c r="S341" t="s">
        <v>30</v>
      </c>
      <c r="T341">
        <v>1542</v>
      </c>
      <c r="U341" t="s">
        <v>38</v>
      </c>
      <c r="V341" t="s">
        <v>79</v>
      </c>
      <c r="W341" t="s">
        <v>33</v>
      </c>
    </row>
    <row r="342" spans="1:23">
      <c r="A342">
        <v>8756</v>
      </c>
      <c r="B342" t="s">
        <v>143</v>
      </c>
      <c r="C342" s="1" t="s">
        <v>432</v>
      </c>
      <c r="D342" s="1">
        <v>45547</v>
      </c>
      <c r="E342">
        <v>7.99</v>
      </c>
      <c r="F342">
        <v>138</v>
      </c>
      <c r="G342" t="s">
        <v>36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68</v>
      </c>
      <c r="N342" t="s">
        <v>44</v>
      </c>
      <c r="O342" t="s">
        <v>45</v>
      </c>
      <c r="P342">
        <v>36</v>
      </c>
      <c r="Q342">
        <v>3.6</v>
      </c>
      <c r="R342" t="b">
        <v>0</v>
      </c>
      <c r="S342" t="s">
        <v>30</v>
      </c>
      <c r="T342">
        <v>77</v>
      </c>
      <c r="U342" t="s">
        <v>31</v>
      </c>
      <c r="V342" t="s">
        <v>32</v>
      </c>
      <c r="W342" t="s">
        <v>40</v>
      </c>
    </row>
    <row r="343" spans="1:23">
      <c r="A343">
        <v>9121</v>
      </c>
      <c r="B343" t="s">
        <v>262</v>
      </c>
      <c r="C343" s="1" t="s">
        <v>314</v>
      </c>
      <c r="D343" s="1">
        <v>45638</v>
      </c>
      <c r="E343">
        <v>7.99</v>
      </c>
      <c r="F343">
        <v>178</v>
      </c>
      <c r="G343" t="s">
        <v>63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43</v>
      </c>
      <c r="N343" t="s">
        <v>75</v>
      </c>
      <c r="O343" t="s">
        <v>64</v>
      </c>
      <c r="P343">
        <v>86</v>
      </c>
      <c r="Q343">
        <v>3.9</v>
      </c>
      <c r="R343" t="b">
        <v>0</v>
      </c>
      <c r="S343" t="s">
        <v>30</v>
      </c>
      <c r="T343">
        <v>4356</v>
      </c>
      <c r="U343" t="s">
        <v>65</v>
      </c>
      <c r="V343" t="s">
        <v>69</v>
      </c>
      <c r="W343" t="s">
        <v>40</v>
      </c>
    </row>
    <row r="344" spans="1:23">
      <c r="A344">
        <v>6471</v>
      </c>
      <c r="B344" t="s">
        <v>88</v>
      </c>
      <c r="C344" s="1" t="s">
        <v>433</v>
      </c>
      <c r="D344" s="1" t="s">
        <v>87</v>
      </c>
      <c r="E344">
        <v>7.99</v>
      </c>
      <c r="F344">
        <v>105</v>
      </c>
      <c r="G344" t="s">
        <v>73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68</v>
      </c>
      <c r="N344" t="s">
        <v>56</v>
      </c>
      <c r="O344" t="s">
        <v>78</v>
      </c>
      <c r="P344">
        <v>8</v>
      </c>
      <c r="Q344">
        <v>3.6</v>
      </c>
      <c r="R344" t="b">
        <v>0</v>
      </c>
      <c r="S344" t="s">
        <v>30</v>
      </c>
      <c r="T344">
        <v>1989</v>
      </c>
      <c r="U344" t="s">
        <v>38</v>
      </c>
      <c r="V344" t="s">
        <v>69</v>
      </c>
      <c r="W344" t="s">
        <v>93</v>
      </c>
    </row>
    <row r="345" spans="1:23">
      <c r="A345">
        <v>6601</v>
      </c>
      <c r="B345" t="s">
        <v>434</v>
      </c>
      <c r="C345" s="1" t="s">
        <v>354</v>
      </c>
      <c r="D345" s="1" t="s">
        <v>103</v>
      </c>
      <c r="E345">
        <v>7.99</v>
      </c>
      <c r="F345">
        <v>283</v>
      </c>
      <c r="G345" t="s">
        <v>26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92</v>
      </c>
      <c r="N345" t="s">
        <v>44</v>
      </c>
      <c r="O345" t="s">
        <v>78</v>
      </c>
      <c r="P345">
        <v>26</v>
      </c>
      <c r="Q345">
        <v>3.1</v>
      </c>
      <c r="R345" t="b">
        <v>1</v>
      </c>
      <c r="S345" t="s">
        <v>30</v>
      </c>
      <c r="T345">
        <v>906</v>
      </c>
      <c r="U345" t="s">
        <v>58</v>
      </c>
      <c r="V345" t="s">
        <v>79</v>
      </c>
      <c r="W345" t="s">
        <v>93</v>
      </c>
    </row>
    <row r="346" spans="1:23">
      <c r="A346">
        <v>4340</v>
      </c>
      <c r="B346" t="s">
        <v>435</v>
      </c>
      <c r="C346" s="1" t="s">
        <v>436</v>
      </c>
      <c r="D346" s="1">
        <v>45485</v>
      </c>
      <c r="E346">
        <v>15.99</v>
      </c>
      <c r="F346">
        <v>154</v>
      </c>
      <c r="G346" t="s">
        <v>48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49</v>
      </c>
      <c r="N346" t="s">
        <v>28</v>
      </c>
      <c r="O346" t="s">
        <v>64</v>
      </c>
      <c r="P346">
        <v>60</v>
      </c>
      <c r="Q346">
        <v>4.8</v>
      </c>
      <c r="R346" t="b">
        <v>0</v>
      </c>
      <c r="S346" t="s">
        <v>30</v>
      </c>
      <c r="T346">
        <v>4108</v>
      </c>
      <c r="U346" t="s">
        <v>65</v>
      </c>
      <c r="V346" t="s">
        <v>79</v>
      </c>
      <c r="W346" t="s">
        <v>33</v>
      </c>
    </row>
    <row r="347" spans="1:23">
      <c r="A347">
        <v>5112</v>
      </c>
      <c r="B347" t="s">
        <v>228</v>
      </c>
      <c r="C347" s="1">
        <v>45423</v>
      </c>
      <c r="D347" s="1" t="s">
        <v>42</v>
      </c>
      <c r="E347">
        <v>15.99</v>
      </c>
      <c r="F347">
        <v>240</v>
      </c>
      <c r="G347" t="s">
        <v>63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27</v>
      </c>
      <c r="N347" t="s">
        <v>75</v>
      </c>
      <c r="O347" t="s">
        <v>29</v>
      </c>
      <c r="P347">
        <v>40</v>
      </c>
      <c r="Q347">
        <v>3.5</v>
      </c>
      <c r="R347" t="b">
        <v>1</v>
      </c>
      <c r="S347" t="s">
        <v>30</v>
      </c>
      <c r="T347">
        <v>333</v>
      </c>
      <c r="U347" t="s">
        <v>58</v>
      </c>
      <c r="V347" t="s">
        <v>39</v>
      </c>
      <c r="W347" t="s">
        <v>40</v>
      </c>
    </row>
    <row r="348" spans="1:23">
      <c r="A348">
        <v>5700</v>
      </c>
      <c r="B348" t="s">
        <v>242</v>
      </c>
      <c r="C348" s="1" t="s">
        <v>437</v>
      </c>
      <c r="D348" s="1">
        <v>45547</v>
      </c>
      <c r="E348">
        <v>11.99</v>
      </c>
      <c r="F348">
        <v>29</v>
      </c>
      <c r="G348" t="s">
        <v>48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92</v>
      </c>
      <c r="N348" t="s">
        <v>56</v>
      </c>
      <c r="O348" t="s">
        <v>57</v>
      </c>
      <c r="P348">
        <v>41</v>
      </c>
      <c r="Q348">
        <v>4.3</v>
      </c>
      <c r="R348" t="b">
        <v>0</v>
      </c>
      <c r="S348" t="s">
        <v>30</v>
      </c>
      <c r="T348">
        <v>3847</v>
      </c>
      <c r="U348" t="s">
        <v>65</v>
      </c>
      <c r="V348" t="s">
        <v>59</v>
      </c>
      <c r="W348" t="s">
        <v>93</v>
      </c>
    </row>
    <row r="349" spans="1:23">
      <c r="A349">
        <v>8617</v>
      </c>
      <c r="B349" t="s">
        <v>140</v>
      </c>
      <c r="C349" s="1" t="s">
        <v>438</v>
      </c>
      <c r="D349" s="1">
        <v>45608</v>
      </c>
      <c r="E349">
        <v>15.99</v>
      </c>
      <c r="F349">
        <v>202</v>
      </c>
      <c r="G349" t="s">
        <v>73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68</v>
      </c>
      <c r="N349" t="s">
        <v>75</v>
      </c>
      <c r="O349" t="s">
        <v>64</v>
      </c>
      <c r="P349">
        <v>13</v>
      </c>
      <c r="Q349">
        <v>3.9</v>
      </c>
      <c r="R349" t="b">
        <v>1</v>
      </c>
      <c r="S349" t="s">
        <v>30</v>
      </c>
      <c r="T349">
        <v>1423</v>
      </c>
      <c r="U349" t="s">
        <v>65</v>
      </c>
      <c r="V349" t="s">
        <v>79</v>
      </c>
      <c r="W349" t="s">
        <v>40</v>
      </c>
    </row>
    <row r="350" spans="1:23">
      <c r="A350">
        <v>9149</v>
      </c>
      <c r="B350" t="s">
        <v>439</v>
      </c>
      <c r="C350" s="1">
        <v>45047</v>
      </c>
      <c r="D350" s="1" t="s">
        <v>72</v>
      </c>
      <c r="E350">
        <v>15.99</v>
      </c>
      <c r="F350">
        <v>348</v>
      </c>
      <c r="G350" t="s">
        <v>51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68</v>
      </c>
      <c r="N350" t="s">
        <v>44</v>
      </c>
      <c r="O350" t="s">
        <v>57</v>
      </c>
      <c r="P350">
        <v>9</v>
      </c>
      <c r="Q350">
        <v>4.5</v>
      </c>
      <c r="R350" t="b">
        <v>1</v>
      </c>
      <c r="S350" t="s">
        <v>30</v>
      </c>
      <c r="T350">
        <v>595</v>
      </c>
      <c r="U350" t="s">
        <v>58</v>
      </c>
      <c r="V350" t="s">
        <v>59</v>
      </c>
      <c r="W350" t="s">
        <v>93</v>
      </c>
    </row>
    <row r="351" spans="1:23">
      <c r="A351">
        <v>8651</v>
      </c>
      <c r="B351" t="s">
        <v>283</v>
      </c>
      <c r="C351" s="1" t="s">
        <v>440</v>
      </c>
      <c r="D351" s="1" t="s">
        <v>214</v>
      </c>
      <c r="E351">
        <v>15.99</v>
      </c>
      <c r="F351">
        <v>380</v>
      </c>
      <c r="G351" t="s">
        <v>100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92</v>
      </c>
      <c r="N351" t="s">
        <v>56</v>
      </c>
      <c r="O351" t="s">
        <v>37</v>
      </c>
      <c r="P351">
        <v>69</v>
      </c>
      <c r="Q351">
        <v>3.1</v>
      </c>
      <c r="R351" t="b">
        <v>0</v>
      </c>
      <c r="S351" t="s">
        <v>30</v>
      </c>
      <c r="T351">
        <v>4445</v>
      </c>
      <c r="U351" t="s">
        <v>76</v>
      </c>
      <c r="V351" t="s">
        <v>79</v>
      </c>
      <c r="W351" t="s">
        <v>33</v>
      </c>
    </row>
    <row r="352" spans="1:23">
      <c r="A352">
        <v>1495</v>
      </c>
      <c r="B352" t="s">
        <v>441</v>
      </c>
      <c r="C352" s="1" t="s">
        <v>440</v>
      </c>
      <c r="D352" s="1" t="s">
        <v>82</v>
      </c>
      <c r="E352">
        <v>15.99</v>
      </c>
      <c r="F352">
        <v>254</v>
      </c>
      <c r="G352" t="s">
        <v>100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92</v>
      </c>
      <c r="N352" t="s">
        <v>44</v>
      </c>
      <c r="O352" t="s">
        <v>64</v>
      </c>
      <c r="P352">
        <v>97</v>
      </c>
      <c r="Q352">
        <v>3.1</v>
      </c>
      <c r="R352" t="b">
        <v>0</v>
      </c>
      <c r="S352" t="s">
        <v>30</v>
      </c>
      <c r="T352">
        <v>144</v>
      </c>
      <c r="U352" t="s">
        <v>31</v>
      </c>
      <c r="V352" t="s">
        <v>39</v>
      </c>
      <c r="W352" t="s">
        <v>33</v>
      </c>
    </row>
    <row r="353" spans="1:23">
      <c r="A353">
        <v>7359</v>
      </c>
      <c r="B353" t="s">
        <v>190</v>
      </c>
      <c r="C353" s="1" t="s">
        <v>442</v>
      </c>
      <c r="D353" s="1" t="s">
        <v>72</v>
      </c>
      <c r="E353">
        <v>15.99</v>
      </c>
      <c r="F353">
        <v>477</v>
      </c>
      <c r="G353" t="s">
        <v>26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27</v>
      </c>
      <c r="N353" t="s">
        <v>56</v>
      </c>
      <c r="O353" t="s">
        <v>64</v>
      </c>
      <c r="P353">
        <v>42</v>
      </c>
      <c r="Q353">
        <v>4.7</v>
      </c>
      <c r="R353" t="b">
        <v>1</v>
      </c>
      <c r="S353" t="s">
        <v>30</v>
      </c>
      <c r="T353">
        <v>3428</v>
      </c>
      <c r="U353" t="s">
        <v>65</v>
      </c>
      <c r="V353" t="s">
        <v>69</v>
      </c>
      <c r="W353" t="s">
        <v>60</v>
      </c>
    </row>
    <row r="354" spans="1:23">
      <c r="A354">
        <v>6525</v>
      </c>
      <c r="B354" t="s">
        <v>284</v>
      </c>
      <c r="C354" s="1" t="s">
        <v>443</v>
      </c>
      <c r="D354" s="1" t="s">
        <v>82</v>
      </c>
      <c r="E354">
        <v>15.99</v>
      </c>
      <c r="F354">
        <v>385</v>
      </c>
      <c r="G354" t="s">
        <v>73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27</v>
      </c>
      <c r="N354" t="s">
        <v>56</v>
      </c>
      <c r="O354" t="s">
        <v>78</v>
      </c>
      <c r="P354">
        <v>3</v>
      </c>
      <c r="Q354">
        <v>3.4</v>
      </c>
      <c r="R354" t="b">
        <v>0</v>
      </c>
      <c r="S354" t="s">
        <v>30</v>
      </c>
      <c r="T354">
        <v>4919</v>
      </c>
      <c r="U354" t="s">
        <v>76</v>
      </c>
      <c r="V354" t="s">
        <v>32</v>
      </c>
      <c r="W354" t="s">
        <v>93</v>
      </c>
    </row>
    <row r="355" spans="1:23">
      <c r="A355">
        <v>7207</v>
      </c>
      <c r="B355" t="s">
        <v>383</v>
      </c>
      <c r="C355" s="1" t="s">
        <v>440</v>
      </c>
      <c r="D355" s="1" t="s">
        <v>72</v>
      </c>
      <c r="E355">
        <v>7.99</v>
      </c>
      <c r="F355">
        <v>336</v>
      </c>
      <c r="G355" t="s">
        <v>48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68</v>
      </c>
      <c r="N355" t="s">
        <v>56</v>
      </c>
      <c r="O355" t="s">
        <v>78</v>
      </c>
      <c r="P355">
        <v>31</v>
      </c>
      <c r="Q355">
        <v>3.9</v>
      </c>
      <c r="R355" t="b">
        <v>0</v>
      </c>
      <c r="S355" t="s">
        <v>30</v>
      </c>
      <c r="T355">
        <v>4905</v>
      </c>
      <c r="U355" t="s">
        <v>65</v>
      </c>
      <c r="V355" t="s">
        <v>32</v>
      </c>
      <c r="W355" t="s">
        <v>33</v>
      </c>
    </row>
    <row r="356" spans="1:23">
      <c r="A356">
        <v>2361</v>
      </c>
      <c r="B356" t="s">
        <v>444</v>
      </c>
      <c r="C356" s="1" t="s">
        <v>436</v>
      </c>
      <c r="D356" s="1" t="s">
        <v>87</v>
      </c>
      <c r="E356">
        <v>15.99</v>
      </c>
      <c r="F356">
        <v>171</v>
      </c>
      <c r="G356" t="s">
        <v>26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49</v>
      </c>
      <c r="N356" t="s">
        <v>28</v>
      </c>
      <c r="O356" t="s">
        <v>57</v>
      </c>
      <c r="P356">
        <v>17</v>
      </c>
      <c r="Q356">
        <v>3.4</v>
      </c>
      <c r="R356" t="b">
        <v>1</v>
      </c>
      <c r="S356" t="s">
        <v>30</v>
      </c>
      <c r="T356">
        <v>428</v>
      </c>
      <c r="U356" t="s">
        <v>76</v>
      </c>
      <c r="V356" t="s">
        <v>39</v>
      </c>
      <c r="W356" t="s">
        <v>40</v>
      </c>
    </row>
    <row r="357" spans="1:23">
      <c r="A357">
        <v>8766</v>
      </c>
      <c r="B357" t="s">
        <v>445</v>
      </c>
      <c r="C357" s="1" t="s">
        <v>446</v>
      </c>
      <c r="D357" s="1" t="s">
        <v>99</v>
      </c>
      <c r="E357">
        <v>15.99</v>
      </c>
      <c r="F357">
        <v>33</v>
      </c>
      <c r="G357" t="s">
        <v>51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43</v>
      </c>
      <c r="N357" t="s">
        <v>56</v>
      </c>
      <c r="O357" t="s">
        <v>78</v>
      </c>
      <c r="P357">
        <v>16</v>
      </c>
      <c r="Q357">
        <v>4.7</v>
      </c>
      <c r="R357" t="b">
        <v>1</v>
      </c>
      <c r="S357" t="s">
        <v>30</v>
      </c>
      <c r="T357">
        <v>1634</v>
      </c>
      <c r="U357" t="s">
        <v>58</v>
      </c>
      <c r="V357" t="s">
        <v>69</v>
      </c>
      <c r="W357" t="s">
        <v>33</v>
      </c>
    </row>
    <row r="358" spans="1:23">
      <c r="A358">
        <v>7236</v>
      </c>
      <c r="B358" t="s">
        <v>52</v>
      </c>
      <c r="C358" s="1" t="s">
        <v>447</v>
      </c>
      <c r="D358" s="1">
        <v>45577</v>
      </c>
      <c r="E358">
        <v>7.99</v>
      </c>
      <c r="F358">
        <v>193</v>
      </c>
      <c r="G358" t="s">
        <v>100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49</v>
      </c>
      <c r="N358" t="s">
        <v>75</v>
      </c>
      <c r="O358" t="s">
        <v>78</v>
      </c>
      <c r="P358">
        <v>74</v>
      </c>
      <c r="Q358">
        <v>3.5</v>
      </c>
      <c r="R358" t="b">
        <v>1</v>
      </c>
      <c r="S358" t="s">
        <v>30</v>
      </c>
      <c r="T358">
        <v>4085</v>
      </c>
      <c r="U358" t="s">
        <v>65</v>
      </c>
      <c r="V358" t="s">
        <v>39</v>
      </c>
      <c r="W358" t="s">
        <v>40</v>
      </c>
    </row>
    <row r="359" spans="1:23">
      <c r="A359">
        <v>8605</v>
      </c>
      <c r="B359" t="s">
        <v>143</v>
      </c>
      <c r="C359" s="1" t="s">
        <v>429</v>
      </c>
      <c r="D359" s="1">
        <v>45303</v>
      </c>
      <c r="E359">
        <v>11.99</v>
      </c>
      <c r="F359">
        <v>153</v>
      </c>
      <c r="G359" t="s">
        <v>63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55</v>
      </c>
      <c r="N359" t="s">
        <v>44</v>
      </c>
      <c r="O359" t="s">
        <v>78</v>
      </c>
      <c r="P359">
        <v>44</v>
      </c>
      <c r="Q359">
        <v>4.4000000000000004</v>
      </c>
      <c r="R359" t="b">
        <v>1</v>
      </c>
      <c r="S359" t="s">
        <v>30</v>
      </c>
      <c r="T359">
        <v>2790</v>
      </c>
      <c r="U359" t="s">
        <v>76</v>
      </c>
      <c r="V359" t="s">
        <v>39</v>
      </c>
      <c r="W359" t="s">
        <v>93</v>
      </c>
    </row>
    <row r="360" spans="1:23">
      <c r="A360">
        <v>1055</v>
      </c>
      <c r="B360" t="s">
        <v>275</v>
      </c>
      <c r="C360" s="1" t="s">
        <v>279</v>
      </c>
      <c r="D360" s="1">
        <v>45638</v>
      </c>
      <c r="E360">
        <v>15.99</v>
      </c>
      <c r="F360">
        <v>140</v>
      </c>
      <c r="G360" t="s">
        <v>63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92</v>
      </c>
      <c r="N360" t="s">
        <v>56</v>
      </c>
      <c r="O360" t="s">
        <v>29</v>
      </c>
      <c r="P360">
        <v>60</v>
      </c>
      <c r="Q360">
        <v>3.1</v>
      </c>
      <c r="R360" t="b">
        <v>1</v>
      </c>
      <c r="S360" t="s">
        <v>30</v>
      </c>
      <c r="T360">
        <v>2440</v>
      </c>
      <c r="U360" t="s">
        <v>38</v>
      </c>
      <c r="V360" t="s">
        <v>32</v>
      </c>
      <c r="W360" t="s">
        <v>40</v>
      </c>
    </row>
    <row r="361" spans="1:23">
      <c r="A361">
        <v>7986</v>
      </c>
      <c r="B361" t="s">
        <v>184</v>
      </c>
      <c r="C361" s="1" t="s">
        <v>267</v>
      </c>
      <c r="D361" s="1">
        <v>45577</v>
      </c>
      <c r="E361">
        <v>15.99</v>
      </c>
      <c r="F361">
        <v>196</v>
      </c>
      <c r="G361" t="s">
        <v>73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68</v>
      </c>
      <c r="N361" t="s">
        <v>75</v>
      </c>
      <c r="O361" t="s">
        <v>57</v>
      </c>
      <c r="P361">
        <v>11</v>
      </c>
      <c r="Q361">
        <v>3.7</v>
      </c>
      <c r="R361" t="b">
        <v>0</v>
      </c>
      <c r="S361" t="s">
        <v>30</v>
      </c>
      <c r="T361">
        <v>2741</v>
      </c>
      <c r="U361" t="s">
        <v>76</v>
      </c>
      <c r="V361" t="s">
        <v>69</v>
      </c>
      <c r="W361" t="s">
        <v>93</v>
      </c>
    </row>
    <row r="362" spans="1:23">
      <c r="A362">
        <v>6170</v>
      </c>
      <c r="B362" t="s">
        <v>244</v>
      </c>
      <c r="C362" s="1" t="s">
        <v>392</v>
      </c>
      <c r="D362" s="1" t="s">
        <v>82</v>
      </c>
      <c r="E362">
        <v>15.99</v>
      </c>
      <c r="F362">
        <v>298</v>
      </c>
      <c r="G362" t="s">
        <v>63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49</v>
      </c>
      <c r="N362" t="s">
        <v>75</v>
      </c>
      <c r="O362" t="s">
        <v>57</v>
      </c>
      <c r="P362">
        <v>60</v>
      </c>
      <c r="Q362">
        <v>3.7</v>
      </c>
      <c r="R362" t="b">
        <v>0</v>
      </c>
      <c r="S362" t="s">
        <v>30</v>
      </c>
      <c r="T362">
        <v>4338</v>
      </c>
      <c r="U362" t="s">
        <v>38</v>
      </c>
      <c r="V362" t="s">
        <v>69</v>
      </c>
      <c r="W362" t="s">
        <v>33</v>
      </c>
    </row>
    <row r="363" spans="1:23">
      <c r="A363">
        <v>7172</v>
      </c>
      <c r="B363" t="s">
        <v>448</v>
      </c>
      <c r="C363" s="1">
        <v>45176</v>
      </c>
      <c r="D363" s="1" t="s">
        <v>82</v>
      </c>
      <c r="E363">
        <v>11.99</v>
      </c>
      <c r="F363">
        <v>477</v>
      </c>
      <c r="G363" t="s">
        <v>51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92</v>
      </c>
      <c r="N363" t="s">
        <v>56</v>
      </c>
      <c r="O363" t="s">
        <v>29</v>
      </c>
      <c r="P363">
        <v>31</v>
      </c>
      <c r="Q363">
        <v>5</v>
      </c>
      <c r="R363" t="b">
        <v>0</v>
      </c>
      <c r="S363" t="s">
        <v>30</v>
      </c>
      <c r="T363">
        <v>2039</v>
      </c>
      <c r="U363" t="s">
        <v>58</v>
      </c>
      <c r="V363" t="s">
        <v>69</v>
      </c>
      <c r="W363" t="s">
        <v>60</v>
      </c>
    </row>
    <row r="364" spans="1:23">
      <c r="A364">
        <v>7408</v>
      </c>
      <c r="B364" t="s">
        <v>236</v>
      </c>
      <c r="C364" s="1" t="s">
        <v>449</v>
      </c>
      <c r="D364" s="1" t="s">
        <v>156</v>
      </c>
      <c r="E364">
        <v>15.99</v>
      </c>
      <c r="F364">
        <v>308</v>
      </c>
      <c r="G364" t="s">
        <v>100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55</v>
      </c>
      <c r="N364" t="s">
        <v>75</v>
      </c>
      <c r="O364" t="s">
        <v>57</v>
      </c>
      <c r="P364">
        <v>21</v>
      </c>
      <c r="Q364">
        <v>4.5</v>
      </c>
      <c r="R364" t="b">
        <v>0</v>
      </c>
      <c r="S364" t="s">
        <v>30</v>
      </c>
      <c r="T364">
        <v>2097</v>
      </c>
      <c r="U364" t="s">
        <v>38</v>
      </c>
      <c r="V364" t="s">
        <v>39</v>
      </c>
      <c r="W364" t="s">
        <v>60</v>
      </c>
    </row>
    <row r="365" spans="1:23">
      <c r="A365">
        <v>7274</v>
      </c>
      <c r="B365" t="s">
        <v>304</v>
      </c>
      <c r="C365" s="1">
        <v>45264</v>
      </c>
      <c r="D365" s="1">
        <v>45455</v>
      </c>
      <c r="E365">
        <v>11.99</v>
      </c>
      <c r="F365">
        <v>193</v>
      </c>
      <c r="G365" t="s">
        <v>51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92</v>
      </c>
      <c r="N365" t="s">
        <v>56</v>
      </c>
      <c r="O365" t="s">
        <v>64</v>
      </c>
      <c r="P365">
        <v>51</v>
      </c>
      <c r="Q365">
        <v>4.7</v>
      </c>
      <c r="R365" t="b">
        <v>0</v>
      </c>
      <c r="S365" t="s">
        <v>30</v>
      </c>
      <c r="T365">
        <v>2384</v>
      </c>
      <c r="U365" t="s">
        <v>38</v>
      </c>
      <c r="V365" t="s">
        <v>79</v>
      </c>
      <c r="W365" t="s">
        <v>93</v>
      </c>
    </row>
    <row r="366" spans="1:23">
      <c r="A366">
        <v>6001</v>
      </c>
      <c r="B366" t="s">
        <v>276</v>
      </c>
      <c r="C366" s="1">
        <v>45331</v>
      </c>
      <c r="D366" s="1" t="s">
        <v>105</v>
      </c>
      <c r="E366">
        <v>15.99</v>
      </c>
      <c r="F366">
        <v>420</v>
      </c>
      <c r="G366" t="s">
        <v>51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27</v>
      </c>
      <c r="N366" t="s">
        <v>44</v>
      </c>
      <c r="O366" t="s">
        <v>64</v>
      </c>
      <c r="P366">
        <v>2</v>
      </c>
      <c r="Q366">
        <v>3.2</v>
      </c>
      <c r="R366" t="b">
        <v>1</v>
      </c>
      <c r="S366" t="s">
        <v>30</v>
      </c>
      <c r="T366">
        <v>4159</v>
      </c>
      <c r="U366" t="s">
        <v>58</v>
      </c>
      <c r="V366" t="s">
        <v>69</v>
      </c>
      <c r="W366" t="s">
        <v>40</v>
      </c>
    </row>
    <row r="367" spans="1:23">
      <c r="A367">
        <v>9418</v>
      </c>
      <c r="B367" t="s">
        <v>450</v>
      </c>
      <c r="C367" s="1" t="s">
        <v>451</v>
      </c>
      <c r="D367" s="1" t="s">
        <v>214</v>
      </c>
      <c r="E367">
        <v>7.99</v>
      </c>
      <c r="F367">
        <v>128</v>
      </c>
      <c r="G367" t="s">
        <v>26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55</v>
      </c>
      <c r="N367" t="s">
        <v>56</v>
      </c>
      <c r="O367" t="s">
        <v>37</v>
      </c>
      <c r="P367">
        <v>89</v>
      </c>
      <c r="Q367">
        <v>3.3</v>
      </c>
      <c r="R367" t="b">
        <v>1</v>
      </c>
      <c r="S367" t="s">
        <v>30</v>
      </c>
      <c r="T367">
        <v>2002</v>
      </c>
      <c r="U367" t="s">
        <v>76</v>
      </c>
      <c r="V367" t="s">
        <v>59</v>
      </c>
      <c r="W367" t="s">
        <v>60</v>
      </c>
    </row>
    <row r="368" spans="1:23">
      <c r="A368">
        <v>9354</v>
      </c>
      <c r="B368" t="s">
        <v>441</v>
      </c>
      <c r="C368" s="1" t="s">
        <v>416</v>
      </c>
      <c r="D368" s="1" t="s">
        <v>90</v>
      </c>
      <c r="E368">
        <v>11.99</v>
      </c>
      <c r="F368">
        <v>133</v>
      </c>
      <c r="G368" t="s">
        <v>26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68</v>
      </c>
      <c r="N368" t="s">
        <v>28</v>
      </c>
      <c r="O368" t="s">
        <v>64</v>
      </c>
      <c r="P368">
        <v>85</v>
      </c>
      <c r="Q368">
        <v>4.4000000000000004</v>
      </c>
      <c r="R368" t="b">
        <v>0</v>
      </c>
      <c r="S368" t="s">
        <v>30</v>
      </c>
      <c r="T368">
        <v>782</v>
      </c>
      <c r="U368" t="s">
        <v>76</v>
      </c>
      <c r="V368" t="s">
        <v>32</v>
      </c>
      <c r="W368" t="s">
        <v>93</v>
      </c>
    </row>
    <row r="369" spans="1:23">
      <c r="A369">
        <v>8122</v>
      </c>
      <c r="B369" t="s">
        <v>452</v>
      </c>
      <c r="C369" s="1">
        <v>45605</v>
      </c>
      <c r="D369" s="1" t="s">
        <v>168</v>
      </c>
      <c r="E369">
        <v>15.99</v>
      </c>
      <c r="F369">
        <v>413</v>
      </c>
      <c r="G369" t="s">
        <v>48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49</v>
      </c>
      <c r="N369" t="s">
        <v>56</v>
      </c>
      <c r="O369" t="s">
        <v>78</v>
      </c>
      <c r="P369">
        <v>62</v>
      </c>
      <c r="Q369">
        <v>4.3</v>
      </c>
      <c r="R369" t="b">
        <v>1</v>
      </c>
      <c r="S369" t="s">
        <v>30</v>
      </c>
      <c r="T369">
        <v>4056</v>
      </c>
      <c r="U369" t="s">
        <v>31</v>
      </c>
      <c r="V369" t="s">
        <v>79</v>
      </c>
      <c r="W369" t="s">
        <v>40</v>
      </c>
    </row>
    <row r="370" spans="1:23">
      <c r="A370">
        <v>1765</v>
      </c>
      <c r="B370" t="s">
        <v>453</v>
      </c>
      <c r="C370" s="1" t="s">
        <v>454</v>
      </c>
      <c r="D370" s="1" t="s">
        <v>156</v>
      </c>
      <c r="E370">
        <v>11.99</v>
      </c>
      <c r="F370">
        <v>28</v>
      </c>
      <c r="G370" t="s">
        <v>51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49</v>
      </c>
      <c r="N370" t="s">
        <v>56</v>
      </c>
      <c r="O370" t="s">
        <v>78</v>
      </c>
      <c r="P370">
        <v>97</v>
      </c>
      <c r="Q370">
        <v>5</v>
      </c>
      <c r="R370" t="b">
        <v>0</v>
      </c>
      <c r="S370" t="s">
        <v>30</v>
      </c>
      <c r="T370">
        <v>1341</v>
      </c>
      <c r="U370" t="s">
        <v>76</v>
      </c>
      <c r="V370" t="s">
        <v>32</v>
      </c>
      <c r="W370" t="s">
        <v>33</v>
      </c>
    </row>
    <row r="371" spans="1:23">
      <c r="A371">
        <v>5352</v>
      </c>
      <c r="B371" t="s">
        <v>290</v>
      </c>
      <c r="C371" s="1" t="s">
        <v>455</v>
      </c>
      <c r="D371" s="1" t="s">
        <v>42</v>
      </c>
      <c r="E371">
        <v>15.99</v>
      </c>
      <c r="F371">
        <v>453</v>
      </c>
      <c r="G371" t="s">
        <v>36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27</v>
      </c>
      <c r="N371" t="s">
        <v>75</v>
      </c>
      <c r="O371" t="s">
        <v>45</v>
      </c>
      <c r="P371">
        <v>1</v>
      </c>
      <c r="Q371">
        <v>3.7</v>
      </c>
      <c r="R371" t="b">
        <v>0</v>
      </c>
      <c r="S371" t="s">
        <v>30</v>
      </c>
      <c r="T371">
        <v>3028</v>
      </c>
      <c r="U371" t="s">
        <v>38</v>
      </c>
      <c r="V371" t="s">
        <v>79</v>
      </c>
      <c r="W371" t="s">
        <v>60</v>
      </c>
    </row>
    <row r="372" spans="1:23">
      <c r="A372">
        <v>7578</v>
      </c>
      <c r="B372" t="s">
        <v>130</v>
      </c>
      <c r="C372" s="1">
        <v>44995</v>
      </c>
      <c r="D372" s="1">
        <v>45363</v>
      </c>
      <c r="E372">
        <v>11.99</v>
      </c>
      <c r="F372">
        <v>186</v>
      </c>
      <c r="G372" t="s">
        <v>36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27</v>
      </c>
      <c r="N372" t="s">
        <v>44</v>
      </c>
      <c r="O372" t="s">
        <v>37</v>
      </c>
      <c r="P372">
        <v>76</v>
      </c>
      <c r="Q372">
        <v>4.3</v>
      </c>
      <c r="R372" t="b">
        <v>1</v>
      </c>
      <c r="S372" t="s">
        <v>30</v>
      </c>
      <c r="T372">
        <v>4799</v>
      </c>
      <c r="U372" t="s">
        <v>38</v>
      </c>
      <c r="V372" t="s">
        <v>59</v>
      </c>
      <c r="W372" t="s">
        <v>60</v>
      </c>
    </row>
    <row r="373" spans="1:23">
      <c r="A373">
        <v>8912</v>
      </c>
      <c r="B373" t="s">
        <v>169</v>
      </c>
      <c r="C373" s="1">
        <v>45421</v>
      </c>
      <c r="D373" s="1" t="s">
        <v>134</v>
      </c>
      <c r="E373">
        <v>15.99</v>
      </c>
      <c r="F373">
        <v>287</v>
      </c>
      <c r="G373" t="s">
        <v>100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55</v>
      </c>
      <c r="N373" t="s">
        <v>44</v>
      </c>
      <c r="O373" t="s">
        <v>45</v>
      </c>
      <c r="P373">
        <v>45</v>
      </c>
      <c r="Q373">
        <v>4.3</v>
      </c>
      <c r="R373" t="b">
        <v>1</v>
      </c>
      <c r="S373" t="s">
        <v>30</v>
      </c>
      <c r="T373">
        <v>4556</v>
      </c>
      <c r="U373" t="s">
        <v>76</v>
      </c>
      <c r="V373" t="s">
        <v>69</v>
      </c>
      <c r="W373" t="s">
        <v>60</v>
      </c>
    </row>
    <row r="374" spans="1:23">
      <c r="A374">
        <v>6641</v>
      </c>
      <c r="B374" t="s">
        <v>140</v>
      </c>
      <c r="C374" s="1" t="s">
        <v>192</v>
      </c>
      <c r="D374" s="1">
        <v>45516</v>
      </c>
      <c r="E374">
        <v>7.99</v>
      </c>
      <c r="F374">
        <v>45</v>
      </c>
      <c r="G374" t="s">
        <v>63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49</v>
      </c>
      <c r="N374" t="s">
        <v>75</v>
      </c>
      <c r="O374" t="s">
        <v>45</v>
      </c>
      <c r="P374">
        <v>41</v>
      </c>
      <c r="Q374">
        <v>3.3</v>
      </c>
      <c r="R374" t="b">
        <v>1</v>
      </c>
      <c r="S374" t="s">
        <v>30</v>
      </c>
      <c r="T374">
        <v>2965</v>
      </c>
      <c r="U374" t="s">
        <v>65</v>
      </c>
      <c r="V374" t="s">
        <v>79</v>
      </c>
      <c r="W374" t="s">
        <v>40</v>
      </c>
    </row>
    <row r="375" spans="1:23">
      <c r="A375">
        <v>9664</v>
      </c>
      <c r="B375" t="s">
        <v>456</v>
      </c>
      <c r="C375" s="1">
        <v>45237</v>
      </c>
      <c r="D375" s="1" t="s">
        <v>82</v>
      </c>
      <c r="E375">
        <v>11.99</v>
      </c>
      <c r="F375">
        <v>463</v>
      </c>
      <c r="G375" t="s">
        <v>73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49</v>
      </c>
      <c r="N375" t="s">
        <v>75</v>
      </c>
      <c r="O375" t="s">
        <v>57</v>
      </c>
      <c r="P375">
        <v>62</v>
      </c>
      <c r="Q375">
        <v>3.4</v>
      </c>
      <c r="R375" t="b">
        <v>1</v>
      </c>
      <c r="S375" t="s">
        <v>30</v>
      </c>
      <c r="T375">
        <v>3556</v>
      </c>
      <c r="U375" t="s">
        <v>65</v>
      </c>
      <c r="V375" t="s">
        <v>59</v>
      </c>
      <c r="W375" t="s">
        <v>40</v>
      </c>
    </row>
    <row r="376" spans="1:23">
      <c r="A376">
        <v>9134</v>
      </c>
      <c r="B376" t="s">
        <v>130</v>
      </c>
      <c r="C376" s="1" t="s">
        <v>457</v>
      </c>
      <c r="D376" s="1" t="s">
        <v>54</v>
      </c>
      <c r="E376">
        <v>15.99</v>
      </c>
      <c r="F376">
        <v>241</v>
      </c>
      <c r="G376" t="s">
        <v>48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92</v>
      </c>
      <c r="N376" t="s">
        <v>44</v>
      </c>
      <c r="O376" t="s">
        <v>29</v>
      </c>
      <c r="P376">
        <v>94</v>
      </c>
      <c r="Q376">
        <v>3.1</v>
      </c>
      <c r="R376" t="b">
        <v>0</v>
      </c>
      <c r="S376" t="s">
        <v>30</v>
      </c>
      <c r="T376">
        <v>2901</v>
      </c>
      <c r="U376" t="s">
        <v>65</v>
      </c>
      <c r="V376" t="s">
        <v>79</v>
      </c>
      <c r="W376" t="s">
        <v>60</v>
      </c>
    </row>
    <row r="377" spans="1:23">
      <c r="A377">
        <v>6663</v>
      </c>
      <c r="B377" t="s">
        <v>184</v>
      </c>
      <c r="C377" s="1" t="s">
        <v>303</v>
      </c>
      <c r="D377" s="1">
        <v>45485</v>
      </c>
      <c r="E377">
        <v>7.99</v>
      </c>
      <c r="F377">
        <v>11</v>
      </c>
      <c r="G377" t="s">
        <v>51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74</v>
      </c>
      <c r="N377" t="s">
        <v>44</v>
      </c>
      <c r="O377" t="s">
        <v>37</v>
      </c>
      <c r="P377">
        <v>45</v>
      </c>
      <c r="Q377">
        <v>4.0999999999999996</v>
      </c>
      <c r="R377" t="b">
        <v>0</v>
      </c>
      <c r="S377" t="s">
        <v>30</v>
      </c>
      <c r="T377">
        <v>3520</v>
      </c>
      <c r="U377" t="s">
        <v>76</v>
      </c>
      <c r="V377" t="s">
        <v>79</v>
      </c>
      <c r="W377" t="s">
        <v>40</v>
      </c>
    </row>
    <row r="378" spans="1:23">
      <c r="A378">
        <v>9800</v>
      </c>
      <c r="B378" t="s">
        <v>458</v>
      </c>
      <c r="C378" s="1" t="s">
        <v>163</v>
      </c>
      <c r="D378" s="1">
        <v>45424</v>
      </c>
      <c r="E378">
        <v>15.99</v>
      </c>
      <c r="F378">
        <v>123</v>
      </c>
      <c r="G378" t="s">
        <v>63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49</v>
      </c>
      <c r="N378" t="s">
        <v>28</v>
      </c>
      <c r="O378" t="s">
        <v>29</v>
      </c>
      <c r="P378">
        <v>76</v>
      </c>
      <c r="Q378">
        <v>4.3</v>
      </c>
      <c r="R378" t="b">
        <v>1</v>
      </c>
      <c r="S378" t="s">
        <v>30</v>
      </c>
      <c r="T378">
        <v>3983</v>
      </c>
      <c r="U378" t="s">
        <v>31</v>
      </c>
      <c r="V378" t="s">
        <v>32</v>
      </c>
      <c r="W378" t="s">
        <v>33</v>
      </c>
    </row>
    <row r="379" spans="1:23">
      <c r="A379">
        <v>2363</v>
      </c>
      <c r="B379" t="s">
        <v>408</v>
      </c>
      <c r="C379" s="1" t="s">
        <v>459</v>
      </c>
      <c r="D379" s="1">
        <v>45303</v>
      </c>
      <c r="E379">
        <v>7.99</v>
      </c>
      <c r="F379">
        <v>411</v>
      </c>
      <c r="G379" t="s">
        <v>51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68</v>
      </c>
      <c r="N379" t="s">
        <v>28</v>
      </c>
      <c r="O379" t="s">
        <v>57</v>
      </c>
      <c r="P379">
        <v>94</v>
      </c>
      <c r="Q379">
        <v>4.7</v>
      </c>
      <c r="R379" t="b">
        <v>1</v>
      </c>
      <c r="S379" t="s">
        <v>30</v>
      </c>
      <c r="T379">
        <v>4632</v>
      </c>
      <c r="U379" t="s">
        <v>31</v>
      </c>
      <c r="V379" t="s">
        <v>39</v>
      </c>
      <c r="W379" t="s">
        <v>40</v>
      </c>
    </row>
    <row r="380" spans="1:23">
      <c r="A380">
        <v>4875</v>
      </c>
      <c r="B380" t="s">
        <v>272</v>
      </c>
      <c r="C380" s="1" t="s">
        <v>460</v>
      </c>
      <c r="D380" s="1" t="s">
        <v>109</v>
      </c>
      <c r="E380">
        <v>7.99</v>
      </c>
      <c r="F380">
        <v>469</v>
      </c>
      <c r="G380" t="s">
        <v>73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74</v>
      </c>
      <c r="N380" t="s">
        <v>44</v>
      </c>
      <c r="O380" t="s">
        <v>78</v>
      </c>
      <c r="P380">
        <v>57</v>
      </c>
      <c r="Q380">
        <v>4.5</v>
      </c>
      <c r="R380" t="b">
        <v>1</v>
      </c>
      <c r="S380" t="s">
        <v>30</v>
      </c>
      <c r="T380">
        <v>314</v>
      </c>
      <c r="U380" t="s">
        <v>31</v>
      </c>
      <c r="V380" t="s">
        <v>39</v>
      </c>
      <c r="W380" t="s">
        <v>33</v>
      </c>
    </row>
    <row r="381" spans="1:23">
      <c r="A381">
        <v>8961</v>
      </c>
      <c r="B381" t="s">
        <v>137</v>
      </c>
      <c r="C381" s="1">
        <v>45176</v>
      </c>
      <c r="D381" s="1">
        <v>45485</v>
      </c>
      <c r="E381">
        <v>11.99</v>
      </c>
      <c r="F381">
        <v>120</v>
      </c>
      <c r="G381" t="s">
        <v>63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27</v>
      </c>
      <c r="N381" t="s">
        <v>75</v>
      </c>
      <c r="O381" t="s">
        <v>37</v>
      </c>
      <c r="P381">
        <v>25</v>
      </c>
      <c r="Q381">
        <v>4.0999999999999996</v>
      </c>
      <c r="R381" t="b">
        <v>0</v>
      </c>
      <c r="S381" t="s">
        <v>30</v>
      </c>
      <c r="T381">
        <v>4012</v>
      </c>
      <c r="U381" t="s">
        <v>38</v>
      </c>
      <c r="V381" t="s">
        <v>39</v>
      </c>
      <c r="W381" t="s">
        <v>60</v>
      </c>
    </row>
    <row r="382" spans="1:23">
      <c r="A382">
        <v>1539</v>
      </c>
      <c r="B382" t="s">
        <v>77</v>
      </c>
      <c r="C382" s="1" t="s">
        <v>461</v>
      </c>
      <c r="D382" s="1" t="s">
        <v>168</v>
      </c>
      <c r="E382">
        <v>15.99</v>
      </c>
      <c r="F382">
        <v>348</v>
      </c>
      <c r="G382" t="s">
        <v>36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68</v>
      </c>
      <c r="N382" t="s">
        <v>44</v>
      </c>
      <c r="O382" t="s">
        <v>64</v>
      </c>
      <c r="P382">
        <v>82</v>
      </c>
      <c r="Q382">
        <v>4.3</v>
      </c>
      <c r="R382" t="b">
        <v>1</v>
      </c>
      <c r="S382" t="s">
        <v>30</v>
      </c>
      <c r="T382">
        <v>2356</v>
      </c>
      <c r="U382" t="s">
        <v>65</v>
      </c>
      <c r="V382" t="s">
        <v>69</v>
      </c>
      <c r="W382" t="s">
        <v>60</v>
      </c>
    </row>
    <row r="383" spans="1:23">
      <c r="A383">
        <v>4037</v>
      </c>
      <c r="B383" t="s">
        <v>405</v>
      </c>
      <c r="C383" s="1" t="s">
        <v>462</v>
      </c>
      <c r="D383" s="1" t="s">
        <v>42</v>
      </c>
      <c r="E383">
        <v>11.99</v>
      </c>
      <c r="F383">
        <v>103</v>
      </c>
      <c r="G383" t="s">
        <v>100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43</v>
      </c>
      <c r="N383" t="s">
        <v>28</v>
      </c>
      <c r="O383" t="s">
        <v>78</v>
      </c>
      <c r="P383">
        <v>98</v>
      </c>
      <c r="Q383">
        <v>4.7</v>
      </c>
      <c r="R383" t="b">
        <v>1</v>
      </c>
      <c r="S383" t="s">
        <v>30</v>
      </c>
      <c r="T383">
        <v>1824</v>
      </c>
      <c r="U383" t="s">
        <v>76</v>
      </c>
      <c r="V383" t="s">
        <v>59</v>
      </c>
      <c r="W383" t="s">
        <v>93</v>
      </c>
    </row>
    <row r="384" spans="1:23">
      <c r="A384">
        <v>4239</v>
      </c>
      <c r="B384" t="s">
        <v>272</v>
      </c>
      <c r="C384" s="1" t="s">
        <v>258</v>
      </c>
      <c r="D384" s="1" t="s">
        <v>109</v>
      </c>
      <c r="E384">
        <v>7.99</v>
      </c>
      <c r="F384">
        <v>470</v>
      </c>
      <c r="G384" t="s">
        <v>73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55</v>
      </c>
      <c r="N384" t="s">
        <v>44</v>
      </c>
      <c r="O384" t="s">
        <v>45</v>
      </c>
      <c r="P384">
        <v>45</v>
      </c>
      <c r="Q384">
        <v>4.5</v>
      </c>
      <c r="R384" t="b">
        <v>0</v>
      </c>
      <c r="S384" t="s">
        <v>30</v>
      </c>
      <c r="T384">
        <v>4236</v>
      </c>
      <c r="U384" t="s">
        <v>31</v>
      </c>
      <c r="V384" t="s">
        <v>59</v>
      </c>
      <c r="W384" t="s">
        <v>60</v>
      </c>
    </row>
    <row r="385" spans="1:23">
      <c r="A385">
        <v>4364</v>
      </c>
      <c r="B385" t="s">
        <v>355</v>
      </c>
      <c r="C385" s="1" t="s">
        <v>326</v>
      </c>
      <c r="D385" s="1">
        <v>45303</v>
      </c>
      <c r="E385">
        <v>7.99</v>
      </c>
      <c r="F385">
        <v>241</v>
      </c>
      <c r="G385" t="s">
        <v>100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55</v>
      </c>
      <c r="N385" t="s">
        <v>28</v>
      </c>
      <c r="O385" t="s">
        <v>57</v>
      </c>
      <c r="P385">
        <v>93</v>
      </c>
      <c r="Q385">
        <v>4</v>
      </c>
      <c r="R385" t="b">
        <v>0</v>
      </c>
      <c r="S385" t="s">
        <v>30</v>
      </c>
      <c r="T385">
        <v>2102</v>
      </c>
      <c r="U385" t="s">
        <v>38</v>
      </c>
      <c r="V385" t="s">
        <v>32</v>
      </c>
      <c r="W385" t="s">
        <v>60</v>
      </c>
    </row>
    <row r="386" spans="1:23">
      <c r="A386">
        <v>8946</v>
      </c>
      <c r="B386" t="s">
        <v>463</v>
      </c>
      <c r="C386" s="1" t="s">
        <v>95</v>
      </c>
      <c r="D386" s="1" t="s">
        <v>42</v>
      </c>
      <c r="E386">
        <v>15.99</v>
      </c>
      <c r="F386">
        <v>277</v>
      </c>
      <c r="G386" t="s">
        <v>100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27</v>
      </c>
      <c r="N386" t="s">
        <v>28</v>
      </c>
      <c r="O386" t="s">
        <v>78</v>
      </c>
      <c r="P386">
        <v>51</v>
      </c>
      <c r="Q386">
        <v>3.4</v>
      </c>
      <c r="R386" t="b">
        <v>1</v>
      </c>
      <c r="S386" t="s">
        <v>30</v>
      </c>
      <c r="T386">
        <v>1876</v>
      </c>
      <c r="U386" t="s">
        <v>31</v>
      </c>
      <c r="V386" t="s">
        <v>39</v>
      </c>
      <c r="W386" t="s">
        <v>33</v>
      </c>
    </row>
    <row r="387" spans="1:23">
      <c r="A387">
        <v>5911</v>
      </c>
      <c r="B387" t="s">
        <v>130</v>
      </c>
      <c r="C387" s="1">
        <v>45323</v>
      </c>
      <c r="D387" s="1">
        <v>45577</v>
      </c>
      <c r="E387">
        <v>7.99</v>
      </c>
      <c r="F387">
        <v>158</v>
      </c>
      <c r="G387" t="s">
        <v>100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92</v>
      </c>
      <c r="N387" t="s">
        <v>75</v>
      </c>
      <c r="O387" t="s">
        <v>78</v>
      </c>
      <c r="P387">
        <v>36</v>
      </c>
      <c r="Q387">
        <v>3.6</v>
      </c>
      <c r="R387" t="b">
        <v>0</v>
      </c>
      <c r="S387" t="s">
        <v>30</v>
      </c>
      <c r="T387">
        <v>242</v>
      </c>
      <c r="U387" t="s">
        <v>76</v>
      </c>
      <c r="V387" t="s">
        <v>79</v>
      </c>
      <c r="W387" t="s">
        <v>60</v>
      </c>
    </row>
    <row r="388" spans="1:23">
      <c r="A388">
        <v>8033</v>
      </c>
      <c r="B388" t="s">
        <v>379</v>
      </c>
      <c r="C388" s="1" t="s">
        <v>464</v>
      </c>
      <c r="D388" s="1" t="s">
        <v>105</v>
      </c>
      <c r="E388">
        <v>15.99</v>
      </c>
      <c r="F388">
        <v>23</v>
      </c>
      <c r="G388" t="s">
        <v>100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68</v>
      </c>
      <c r="N388" t="s">
        <v>44</v>
      </c>
      <c r="O388" t="s">
        <v>29</v>
      </c>
      <c r="P388">
        <v>23</v>
      </c>
      <c r="Q388">
        <v>3.4</v>
      </c>
      <c r="R388" t="b">
        <v>1</v>
      </c>
      <c r="S388" t="s">
        <v>30</v>
      </c>
      <c r="T388">
        <v>4531</v>
      </c>
      <c r="U388" t="s">
        <v>76</v>
      </c>
      <c r="V388" t="s">
        <v>39</v>
      </c>
      <c r="W388" t="s">
        <v>40</v>
      </c>
    </row>
    <row r="389" spans="1:23">
      <c r="A389">
        <v>6603</v>
      </c>
      <c r="B389" t="s">
        <v>280</v>
      </c>
      <c r="C389" s="1" t="s">
        <v>121</v>
      </c>
      <c r="D389" s="1">
        <v>45485</v>
      </c>
      <c r="E389">
        <v>11.99</v>
      </c>
      <c r="F389">
        <v>200</v>
      </c>
      <c r="G389" t="s">
        <v>100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68</v>
      </c>
      <c r="N389" t="s">
        <v>75</v>
      </c>
      <c r="O389" t="s">
        <v>78</v>
      </c>
      <c r="P389">
        <v>30</v>
      </c>
      <c r="Q389">
        <v>3.2</v>
      </c>
      <c r="R389" t="b">
        <v>1</v>
      </c>
      <c r="S389" t="s">
        <v>30</v>
      </c>
      <c r="T389">
        <v>959</v>
      </c>
      <c r="U389" t="s">
        <v>38</v>
      </c>
      <c r="V389" t="s">
        <v>39</v>
      </c>
      <c r="W389" t="s">
        <v>93</v>
      </c>
    </row>
    <row r="390" spans="1:23">
      <c r="A390">
        <v>9630</v>
      </c>
      <c r="B390" t="s">
        <v>101</v>
      </c>
      <c r="C390" s="1">
        <v>44932</v>
      </c>
      <c r="D390" s="1" t="s">
        <v>214</v>
      </c>
      <c r="E390">
        <v>7.99</v>
      </c>
      <c r="F390">
        <v>264</v>
      </c>
      <c r="G390" t="s">
        <v>36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74</v>
      </c>
      <c r="N390" t="s">
        <v>75</v>
      </c>
      <c r="O390" t="s">
        <v>78</v>
      </c>
      <c r="P390">
        <v>88</v>
      </c>
      <c r="Q390">
        <v>3.5</v>
      </c>
      <c r="R390" t="b">
        <v>1</v>
      </c>
      <c r="S390" t="s">
        <v>30</v>
      </c>
      <c r="T390">
        <v>2156</v>
      </c>
      <c r="U390" t="s">
        <v>65</v>
      </c>
      <c r="V390" t="s">
        <v>69</v>
      </c>
      <c r="W390" t="s">
        <v>33</v>
      </c>
    </row>
    <row r="391" spans="1:23">
      <c r="A391">
        <v>1691</v>
      </c>
      <c r="B391" t="s">
        <v>147</v>
      </c>
      <c r="C391" s="1">
        <v>45025</v>
      </c>
      <c r="D391" s="1">
        <v>45485</v>
      </c>
      <c r="E391">
        <v>11.99</v>
      </c>
      <c r="F391">
        <v>309</v>
      </c>
      <c r="G391" t="s">
        <v>48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43</v>
      </c>
      <c r="N391" t="s">
        <v>75</v>
      </c>
      <c r="O391" t="s">
        <v>57</v>
      </c>
      <c r="P391">
        <v>65</v>
      </c>
      <c r="Q391">
        <v>4</v>
      </c>
      <c r="R391" t="b">
        <v>1</v>
      </c>
      <c r="S391" t="s">
        <v>30</v>
      </c>
      <c r="T391">
        <v>1442</v>
      </c>
      <c r="U391" t="s">
        <v>58</v>
      </c>
      <c r="V391" t="s">
        <v>79</v>
      </c>
      <c r="W391" t="s">
        <v>60</v>
      </c>
    </row>
    <row r="392" spans="1:23">
      <c r="A392">
        <v>5590</v>
      </c>
      <c r="B392" t="s">
        <v>88</v>
      </c>
      <c r="C392" s="1" t="s">
        <v>465</v>
      </c>
      <c r="D392" s="1" t="s">
        <v>35</v>
      </c>
      <c r="E392">
        <v>7.99</v>
      </c>
      <c r="F392">
        <v>30</v>
      </c>
      <c r="G392" t="s">
        <v>51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49</v>
      </c>
      <c r="N392" t="s">
        <v>28</v>
      </c>
      <c r="O392" t="s">
        <v>29</v>
      </c>
      <c r="P392">
        <v>52</v>
      </c>
      <c r="Q392">
        <v>4.5</v>
      </c>
      <c r="R392" t="b">
        <v>0</v>
      </c>
      <c r="S392" t="s">
        <v>30</v>
      </c>
      <c r="T392">
        <v>4586</v>
      </c>
      <c r="U392" t="s">
        <v>31</v>
      </c>
      <c r="V392" t="s">
        <v>59</v>
      </c>
      <c r="W392" t="s">
        <v>93</v>
      </c>
    </row>
    <row r="393" spans="1:23">
      <c r="A393">
        <v>8645</v>
      </c>
      <c r="B393" t="s">
        <v>257</v>
      </c>
      <c r="C393" s="1" t="s">
        <v>466</v>
      </c>
      <c r="D393" s="1" t="s">
        <v>168</v>
      </c>
      <c r="E393">
        <v>11.99</v>
      </c>
      <c r="F393">
        <v>289</v>
      </c>
      <c r="G393" t="s">
        <v>48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27</v>
      </c>
      <c r="N393" t="s">
        <v>28</v>
      </c>
      <c r="O393" t="s">
        <v>45</v>
      </c>
      <c r="P393">
        <v>50</v>
      </c>
      <c r="Q393">
        <v>4.3</v>
      </c>
      <c r="R393" t="b">
        <v>1</v>
      </c>
      <c r="S393" t="s">
        <v>30</v>
      </c>
      <c r="T393">
        <v>4170</v>
      </c>
      <c r="U393" t="s">
        <v>58</v>
      </c>
      <c r="V393" t="s">
        <v>79</v>
      </c>
      <c r="W393" t="s">
        <v>33</v>
      </c>
    </row>
    <row r="394" spans="1:23">
      <c r="A394">
        <v>7663</v>
      </c>
      <c r="B394" t="s">
        <v>179</v>
      </c>
      <c r="C394" s="1">
        <v>45417</v>
      </c>
      <c r="D394" s="1" t="s">
        <v>105</v>
      </c>
      <c r="E394">
        <v>7.99</v>
      </c>
      <c r="F394">
        <v>432</v>
      </c>
      <c r="G394" t="s">
        <v>51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92</v>
      </c>
      <c r="N394" t="s">
        <v>56</v>
      </c>
      <c r="O394" t="s">
        <v>64</v>
      </c>
      <c r="P394">
        <v>22</v>
      </c>
      <c r="Q394">
        <v>3.5</v>
      </c>
      <c r="R394" t="b">
        <v>1</v>
      </c>
      <c r="S394" t="s">
        <v>30</v>
      </c>
      <c r="T394">
        <v>1294</v>
      </c>
      <c r="U394" t="s">
        <v>38</v>
      </c>
      <c r="V394" t="s">
        <v>69</v>
      </c>
      <c r="W394" t="s">
        <v>60</v>
      </c>
    </row>
    <row r="395" spans="1:23">
      <c r="A395">
        <v>2647</v>
      </c>
      <c r="B395" t="s">
        <v>224</v>
      </c>
      <c r="C395" s="1" t="s">
        <v>467</v>
      </c>
      <c r="D395" s="1" t="s">
        <v>72</v>
      </c>
      <c r="E395">
        <v>7.99</v>
      </c>
      <c r="F395">
        <v>393</v>
      </c>
      <c r="G395" t="s">
        <v>63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43</v>
      </c>
      <c r="N395" t="s">
        <v>28</v>
      </c>
      <c r="O395" t="s">
        <v>78</v>
      </c>
      <c r="P395">
        <v>99</v>
      </c>
      <c r="Q395">
        <v>3.4</v>
      </c>
      <c r="R395" t="b">
        <v>0</v>
      </c>
      <c r="S395" t="s">
        <v>30</v>
      </c>
      <c r="T395">
        <v>2460</v>
      </c>
      <c r="U395" t="s">
        <v>76</v>
      </c>
      <c r="V395" t="s">
        <v>32</v>
      </c>
      <c r="W395" t="s">
        <v>60</v>
      </c>
    </row>
    <row r="396" spans="1:23">
      <c r="A396">
        <v>6539</v>
      </c>
      <c r="B396" t="s">
        <v>201</v>
      </c>
      <c r="C396" s="1" t="s">
        <v>468</v>
      </c>
      <c r="D396" s="1">
        <v>45303</v>
      </c>
      <c r="E396">
        <v>11.99</v>
      </c>
      <c r="F396">
        <v>203</v>
      </c>
      <c r="G396" t="s">
        <v>63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68</v>
      </c>
      <c r="N396" t="s">
        <v>44</v>
      </c>
      <c r="O396" t="s">
        <v>37</v>
      </c>
      <c r="P396">
        <v>76</v>
      </c>
      <c r="Q396">
        <v>4.2</v>
      </c>
      <c r="R396" t="b">
        <v>1</v>
      </c>
      <c r="S396" t="s">
        <v>30</v>
      </c>
      <c r="T396">
        <v>3276</v>
      </c>
      <c r="U396" t="s">
        <v>58</v>
      </c>
      <c r="V396" t="s">
        <v>79</v>
      </c>
      <c r="W396" t="s">
        <v>33</v>
      </c>
    </row>
    <row r="397" spans="1:23">
      <c r="A397">
        <v>3472</v>
      </c>
      <c r="B397" t="s">
        <v>153</v>
      </c>
      <c r="C397" s="1" t="s">
        <v>469</v>
      </c>
      <c r="D397" s="1" t="s">
        <v>109</v>
      </c>
      <c r="E397">
        <v>7.99</v>
      </c>
      <c r="F397">
        <v>43</v>
      </c>
      <c r="G397" t="s">
        <v>73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49</v>
      </c>
      <c r="N397" t="s">
        <v>56</v>
      </c>
      <c r="O397" t="s">
        <v>29</v>
      </c>
      <c r="P397">
        <v>76</v>
      </c>
      <c r="Q397">
        <v>4.0999999999999996</v>
      </c>
      <c r="R397" t="b">
        <v>1</v>
      </c>
      <c r="S397" t="s">
        <v>30</v>
      </c>
      <c r="T397">
        <v>941</v>
      </c>
      <c r="U397" t="s">
        <v>31</v>
      </c>
      <c r="V397" t="s">
        <v>79</v>
      </c>
      <c r="W397" t="s">
        <v>60</v>
      </c>
    </row>
    <row r="398" spans="1:23">
      <c r="A398">
        <v>4314</v>
      </c>
      <c r="B398" t="s">
        <v>373</v>
      </c>
      <c r="C398" s="1">
        <v>45206</v>
      </c>
      <c r="D398" s="1" t="s">
        <v>35</v>
      </c>
      <c r="E398">
        <v>7.99</v>
      </c>
      <c r="F398">
        <v>311</v>
      </c>
      <c r="G398" t="s">
        <v>100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27</v>
      </c>
      <c r="N398" t="s">
        <v>28</v>
      </c>
      <c r="O398" t="s">
        <v>29</v>
      </c>
      <c r="P398">
        <v>55</v>
      </c>
      <c r="Q398">
        <v>4.7</v>
      </c>
      <c r="R398" t="b">
        <v>1</v>
      </c>
      <c r="S398" t="s">
        <v>30</v>
      </c>
      <c r="T398">
        <v>4062</v>
      </c>
      <c r="U398" t="s">
        <v>58</v>
      </c>
      <c r="V398" t="s">
        <v>32</v>
      </c>
      <c r="W398" t="s">
        <v>60</v>
      </c>
    </row>
    <row r="399" spans="1:23">
      <c r="A399">
        <v>6739</v>
      </c>
      <c r="B399" t="s">
        <v>357</v>
      </c>
      <c r="C399" s="1" t="s">
        <v>470</v>
      </c>
      <c r="D399" s="1">
        <v>45303</v>
      </c>
      <c r="E399">
        <v>11.99</v>
      </c>
      <c r="F399">
        <v>23</v>
      </c>
      <c r="G399" t="s">
        <v>51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27</v>
      </c>
      <c r="N399" t="s">
        <v>44</v>
      </c>
      <c r="O399" t="s">
        <v>29</v>
      </c>
      <c r="P399">
        <v>25</v>
      </c>
      <c r="Q399">
        <v>3.6</v>
      </c>
      <c r="R399" t="b">
        <v>1</v>
      </c>
      <c r="S399" t="s">
        <v>30</v>
      </c>
      <c r="T399">
        <v>4322</v>
      </c>
      <c r="U399" t="s">
        <v>65</v>
      </c>
      <c r="V399" t="s">
        <v>59</v>
      </c>
      <c r="W399" t="s">
        <v>33</v>
      </c>
    </row>
    <row r="400" spans="1:23">
      <c r="A400">
        <v>6368</v>
      </c>
      <c r="B400" t="s">
        <v>41</v>
      </c>
      <c r="C400" s="1" t="s">
        <v>471</v>
      </c>
      <c r="D400" s="1" t="s">
        <v>42</v>
      </c>
      <c r="E400">
        <v>11.99</v>
      </c>
      <c r="F400">
        <v>370</v>
      </c>
      <c r="G400" t="s">
        <v>73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43</v>
      </c>
      <c r="N400" t="s">
        <v>56</v>
      </c>
      <c r="O400" t="s">
        <v>29</v>
      </c>
      <c r="P400">
        <v>98</v>
      </c>
      <c r="Q400">
        <v>3.1</v>
      </c>
      <c r="R400" t="b">
        <v>1</v>
      </c>
      <c r="S400" t="s">
        <v>30</v>
      </c>
      <c r="T400">
        <v>1456</v>
      </c>
      <c r="U400" t="s">
        <v>76</v>
      </c>
      <c r="V400" t="s">
        <v>69</v>
      </c>
      <c r="W400" t="s">
        <v>93</v>
      </c>
    </row>
    <row r="401" spans="1:23">
      <c r="A401">
        <v>7309</v>
      </c>
      <c r="B401" t="s">
        <v>176</v>
      </c>
      <c r="C401" s="1" t="s">
        <v>472</v>
      </c>
      <c r="D401" s="1" t="s">
        <v>54</v>
      </c>
      <c r="E401">
        <v>15.99</v>
      </c>
      <c r="F401">
        <v>343</v>
      </c>
      <c r="G401" t="s">
        <v>51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43</v>
      </c>
      <c r="N401" t="s">
        <v>56</v>
      </c>
      <c r="O401" t="s">
        <v>37</v>
      </c>
      <c r="P401">
        <v>99</v>
      </c>
      <c r="Q401">
        <v>4.9000000000000004</v>
      </c>
      <c r="R401" t="b">
        <v>0</v>
      </c>
      <c r="S401" t="s">
        <v>30</v>
      </c>
      <c r="T401">
        <v>1281</v>
      </c>
      <c r="U401" t="s">
        <v>58</v>
      </c>
      <c r="V401" t="s">
        <v>69</v>
      </c>
      <c r="W401" t="s">
        <v>60</v>
      </c>
    </row>
    <row r="402" spans="1:23">
      <c r="A402">
        <v>3976</v>
      </c>
      <c r="B402" t="s">
        <v>297</v>
      </c>
      <c r="C402" s="1">
        <v>45118</v>
      </c>
      <c r="D402" s="1">
        <v>45363</v>
      </c>
      <c r="E402">
        <v>7.99</v>
      </c>
      <c r="F402">
        <v>391</v>
      </c>
      <c r="G402" t="s">
        <v>48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43</v>
      </c>
      <c r="N402" t="s">
        <v>44</v>
      </c>
      <c r="O402" t="s">
        <v>78</v>
      </c>
      <c r="P402">
        <v>65</v>
      </c>
      <c r="Q402">
        <v>3.8</v>
      </c>
      <c r="R402" t="b">
        <v>0</v>
      </c>
      <c r="S402" t="s">
        <v>30</v>
      </c>
      <c r="T402">
        <v>1926</v>
      </c>
      <c r="U402" t="s">
        <v>65</v>
      </c>
      <c r="V402" t="s">
        <v>69</v>
      </c>
      <c r="W402" t="s">
        <v>93</v>
      </c>
    </row>
    <row r="403" spans="1:23">
      <c r="A403">
        <v>7230</v>
      </c>
      <c r="B403" t="s">
        <v>473</v>
      </c>
      <c r="C403" s="1" t="s">
        <v>474</v>
      </c>
      <c r="D403" s="1" t="s">
        <v>25</v>
      </c>
      <c r="E403">
        <v>11.99</v>
      </c>
      <c r="F403">
        <v>405</v>
      </c>
      <c r="G403" t="s">
        <v>36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43</v>
      </c>
      <c r="N403" t="s">
        <v>44</v>
      </c>
      <c r="O403" t="s">
        <v>37</v>
      </c>
      <c r="P403">
        <v>64</v>
      </c>
      <c r="Q403">
        <v>4.0999999999999996</v>
      </c>
      <c r="R403" t="b">
        <v>0</v>
      </c>
      <c r="S403" t="s">
        <v>30</v>
      </c>
      <c r="T403">
        <v>1368</v>
      </c>
      <c r="U403" t="s">
        <v>58</v>
      </c>
      <c r="V403" t="s">
        <v>32</v>
      </c>
      <c r="W403" t="s">
        <v>33</v>
      </c>
    </row>
    <row r="404" spans="1:23">
      <c r="A404">
        <v>8888</v>
      </c>
      <c r="B404" t="s">
        <v>344</v>
      </c>
      <c r="C404" s="1" t="s">
        <v>475</v>
      </c>
      <c r="D404" s="1" t="s">
        <v>25</v>
      </c>
      <c r="E404">
        <v>15.99</v>
      </c>
      <c r="F404">
        <v>14</v>
      </c>
      <c r="G404" t="s">
        <v>63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55</v>
      </c>
      <c r="N404" t="s">
        <v>44</v>
      </c>
      <c r="O404" t="s">
        <v>78</v>
      </c>
      <c r="P404">
        <v>31</v>
      </c>
      <c r="Q404">
        <v>3.5</v>
      </c>
      <c r="R404" t="b">
        <v>0</v>
      </c>
      <c r="S404" t="s">
        <v>30</v>
      </c>
      <c r="T404">
        <v>571</v>
      </c>
      <c r="U404" t="s">
        <v>31</v>
      </c>
      <c r="V404" t="s">
        <v>32</v>
      </c>
      <c r="W404" t="s">
        <v>40</v>
      </c>
    </row>
    <row r="405" spans="1:23">
      <c r="A405">
        <v>1194</v>
      </c>
      <c r="B405" t="s">
        <v>357</v>
      </c>
      <c r="C405" s="1" t="s">
        <v>203</v>
      </c>
      <c r="D405" s="1">
        <v>45334</v>
      </c>
      <c r="E405">
        <v>7.99</v>
      </c>
      <c r="F405">
        <v>11</v>
      </c>
      <c r="G405" t="s">
        <v>63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92</v>
      </c>
      <c r="N405" t="s">
        <v>28</v>
      </c>
      <c r="O405" t="s">
        <v>57</v>
      </c>
      <c r="P405">
        <v>56</v>
      </c>
      <c r="Q405">
        <v>4.5999999999999996</v>
      </c>
      <c r="R405" t="b">
        <v>1</v>
      </c>
      <c r="S405" t="s">
        <v>30</v>
      </c>
      <c r="T405">
        <v>3807</v>
      </c>
      <c r="U405" t="s">
        <v>65</v>
      </c>
      <c r="V405" t="s">
        <v>79</v>
      </c>
      <c r="W405" t="s">
        <v>60</v>
      </c>
    </row>
    <row r="406" spans="1:23">
      <c r="A406">
        <v>6983</v>
      </c>
      <c r="B406" t="s">
        <v>88</v>
      </c>
      <c r="C406" s="1" t="s">
        <v>476</v>
      </c>
      <c r="D406" s="1">
        <v>45485</v>
      </c>
      <c r="E406">
        <v>11.99</v>
      </c>
      <c r="F406">
        <v>335</v>
      </c>
      <c r="G406" t="s">
        <v>48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49</v>
      </c>
      <c r="N406" t="s">
        <v>28</v>
      </c>
      <c r="O406" t="s">
        <v>78</v>
      </c>
      <c r="P406">
        <v>51</v>
      </c>
      <c r="Q406">
        <v>4</v>
      </c>
      <c r="R406" t="b">
        <v>1</v>
      </c>
      <c r="S406" t="s">
        <v>30</v>
      </c>
      <c r="T406">
        <v>3424</v>
      </c>
      <c r="U406" t="s">
        <v>31</v>
      </c>
      <c r="V406" t="s">
        <v>69</v>
      </c>
      <c r="W406" t="s">
        <v>40</v>
      </c>
    </row>
    <row r="407" spans="1:23">
      <c r="A407">
        <v>1413</v>
      </c>
      <c r="B407" t="s">
        <v>98</v>
      </c>
      <c r="C407" s="1" t="s">
        <v>477</v>
      </c>
      <c r="D407" s="1" t="s">
        <v>90</v>
      </c>
      <c r="E407">
        <v>11.99</v>
      </c>
      <c r="F407">
        <v>408</v>
      </c>
      <c r="G407" t="s">
        <v>48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27</v>
      </c>
      <c r="N407" t="s">
        <v>28</v>
      </c>
      <c r="O407" t="s">
        <v>57</v>
      </c>
      <c r="P407">
        <v>0</v>
      </c>
      <c r="Q407">
        <v>3</v>
      </c>
      <c r="R407" t="b">
        <v>0</v>
      </c>
      <c r="S407" t="s">
        <v>30</v>
      </c>
      <c r="T407">
        <v>1428</v>
      </c>
      <c r="U407" t="s">
        <v>31</v>
      </c>
      <c r="V407" t="s">
        <v>59</v>
      </c>
      <c r="W407" t="s">
        <v>93</v>
      </c>
    </row>
    <row r="408" spans="1:23">
      <c r="A408">
        <v>9509</v>
      </c>
      <c r="B408" t="s">
        <v>232</v>
      </c>
      <c r="C408" s="1" t="s">
        <v>407</v>
      </c>
      <c r="D408" s="1" t="s">
        <v>214</v>
      </c>
      <c r="E408">
        <v>11.99</v>
      </c>
      <c r="F408">
        <v>302</v>
      </c>
      <c r="G408" t="s">
        <v>26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55</v>
      </c>
      <c r="N408" t="s">
        <v>44</v>
      </c>
      <c r="O408" t="s">
        <v>78</v>
      </c>
      <c r="P408">
        <v>15</v>
      </c>
      <c r="Q408">
        <v>3.9</v>
      </c>
      <c r="R408" t="b">
        <v>1</v>
      </c>
      <c r="S408" t="s">
        <v>30</v>
      </c>
      <c r="T408">
        <v>2387</v>
      </c>
      <c r="U408" t="s">
        <v>58</v>
      </c>
      <c r="V408" t="s">
        <v>69</v>
      </c>
      <c r="W408" t="s">
        <v>60</v>
      </c>
    </row>
    <row r="409" spans="1:23">
      <c r="A409">
        <v>6330</v>
      </c>
      <c r="B409" t="s">
        <v>478</v>
      </c>
      <c r="C409" s="1" t="s">
        <v>479</v>
      </c>
      <c r="D409" s="1">
        <v>45394</v>
      </c>
      <c r="E409">
        <v>7.99</v>
      </c>
      <c r="F409">
        <v>329</v>
      </c>
      <c r="G409" t="s">
        <v>48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27</v>
      </c>
      <c r="N409" t="s">
        <v>75</v>
      </c>
      <c r="O409" t="s">
        <v>64</v>
      </c>
      <c r="P409">
        <v>78</v>
      </c>
      <c r="Q409">
        <v>4.2</v>
      </c>
      <c r="R409" t="b">
        <v>1</v>
      </c>
      <c r="S409" t="s">
        <v>30</v>
      </c>
      <c r="T409">
        <v>218</v>
      </c>
      <c r="U409" t="s">
        <v>76</v>
      </c>
      <c r="V409" t="s">
        <v>59</v>
      </c>
      <c r="W409" t="s">
        <v>40</v>
      </c>
    </row>
    <row r="410" spans="1:23">
      <c r="A410">
        <v>2504</v>
      </c>
      <c r="B410" t="s">
        <v>480</v>
      </c>
      <c r="C410" s="1" t="s">
        <v>481</v>
      </c>
      <c r="D410" s="1" t="s">
        <v>35</v>
      </c>
      <c r="E410">
        <v>11.99</v>
      </c>
      <c r="F410">
        <v>328</v>
      </c>
      <c r="G410" t="s">
        <v>73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49</v>
      </c>
      <c r="N410" t="s">
        <v>28</v>
      </c>
      <c r="O410" t="s">
        <v>37</v>
      </c>
      <c r="P410">
        <v>75</v>
      </c>
      <c r="Q410">
        <v>4.5999999999999996</v>
      </c>
      <c r="R410" t="b">
        <v>1</v>
      </c>
      <c r="S410" t="s">
        <v>30</v>
      </c>
      <c r="T410">
        <v>68</v>
      </c>
      <c r="U410" t="s">
        <v>31</v>
      </c>
      <c r="V410" t="s">
        <v>69</v>
      </c>
      <c r="W410" t="s">
        <v>93</v>
      </c>
    </row>
    <row r="411" spans="1:23">
      <c r="A411">
        <v>6593</v>
      </c>
      <c r="B411" t="s">
        <v>357</v>
      </c>
      <c r="C411" s="1" t="s">
        <v>327</v>
      </c>
      <c r="D411" s="1">
        <v>45485</v>
      </c>
      <c r="E411">
        <v>11.99</v>
      </c>
      <c r="F411">
        <v>353</v>
      </c>
      <c r="G411" t="s">
        <v>36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49</v>
      </c>
      <c r="N411" t="s">
        <v>44</v>
      </c>
      <c r="O411" t="s">
        <v>64</v>
      </c>
      <c r="P411">
        <v>67</v>
      </c>
      <c r="Q411">
        <v>5</v>
      </c>
      <c r="R411" t="b">
        <v>1</v>
      </c>
      <c r="S411" t="s">
        <v>30</v>
      </c>
      <c r="T411">
        <v>2749</v>
      </c>
      <c r="U411" t="s">
        <v>38</v>
      </c>
      <c r="V411" t="s">
        <v>69</v>
      </c>
      <c r="W411" t="s">
        <v>33</v>
      </c>
    </row>
    <row r="412" spans="1:23">
      <c r="A412">
        <v>9537</v>
      </c>
      <c r="B412" t="s">
        <v>357</v>
      </c>
      <c r="C412" s="1" t="s">
        <v>305</v>
      </c>
      <c r="D412" s="1" t="s">
        <v>84</v>
      </c>
      <c r="E412">
        <v>11.99</v>
      </c>
      <c r="F412">
        <v>386</v>
      </c>
      <c r="G412" t="s">
        <v>73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49</v>
      </c>
      <c r="N412" t="s">
        <v>75</v>
      </c>
      <c r="O412" t="s">
        <v>29</v>
      </c>
      <c r="P412">
        <v>48</v>
      </c>
      <c r="Q412">
        <v>3.8</v>
      </c>
      <c r="R412" t="b">
        <v>0</v>
      </c>
      <c r="S412" t="s">
        <v>30</v>
      </c>
      <c r="T412">
        <v>4942</v>
      </c>
      <c r="U412" t="s">
        <v>58</v>
      </c>
      <c r="V412" t="s">
        <v>32</v>
      </c>
      <c r="W412" t="s">
        <v>93</v>
      </c>
    </row>
    <row r="413" spans="1:23">
      <c r="A413">
        <v>9628</v>
      </c>
      <c r="B413" t="s">
        <v>211</v>
      </c>
      <c r="C413" s="1" t="s">
        <v>482</v>
      </c>
      <c r="D413" s="1">
        <v>45608</v>
      </c>
      <c r="E413">
        <v>7.99</v>
      </c>
      <c r="F413">
        <v>401</v>
      </c>
      <c r="G413" t="s">
        <v>73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27</v>
      </c>
      <c r="N413" t="s">
        <v>56</v>
      </c>
      <c r="O413" t="s">
        <v>45</v>
      </c>
      <c r="P413">
        <v>98</v>
      </c>
      <c r="Q413">
        <v>3.1</v>
      </c>
      <c r="R413" t="b">
        <v>1</v>
      </c>
      <c r="S413" t="s">
        <v>30</v>
      </c>
      <c r="T413">
        <v>1813</v>
      </c>
      <c r="U413" t="s">
        <v>65</v>
      </c>
      <c r="V413" t="s">
        <v>32</v>
      </c>
      <c r="W413" t="s">
        <v>60</v>
      </c>
    </row>
    <row r="414" spans="1:23">
      <c r="A414">
        <v>4024</v>
      </c>
      <c r="B414" t="s">
        <v>244</v>
      </c>
      <c r="C414" s="1" t="s">
        <v>483</v>
      </c>
      <c r="D414" s="1">
        <v>45485</v>
      </c>
      <c r="E414">
        <v>7.99</v>
      </c>
      <c r="F414">
        <v>286</v>
      </c>
      <c r="G414" t="s">
        <v>36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49</v>
      </c>
      <c r="N414" t="s">
        <v>28</v>
      </c>
      <c r="O414" t="s">
        <v>37</v>
      </c>
      <c r="P414">
        <v>11</v>
      </c>
      <c r="Q414">
        <v>3.5</v>
      </c>
      <c r="R414" t="b">
        <v>0</v>
      </c>
      <c r="S414" t="s">
        <v>30</v>
      </c>
      <c r="T414">
        <v>318</v>
      </c>
      <c r="U414" t="s">
        <v>76</v>
      </c>
      <c r="V414" t="s">
        <v>79</v>
      </c>
      <c r="W414" t="s">
        <v>60</v>
      </c>
    </row>
    <row r="415" spans="1:23">
      <c r="A415">
        <v>5321</v>
      </c>
      <c r="B415" t="s">
        <v>304</v>
      </c>
      <c r="C415" s="1" t="s">
        <v>484</v>
      </c>
      <c r="D415" s="1">
        <v>45577</v>
      </c>
      <c r="E415">
        <v>7.99</v>
      </c>
      <c r="F415">
        <v>20</v>
      </c>
      <c r="G415" t="s">
        <v>100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43</v>
      </c>
      <c r="N415" t="s">
        <v>75</v>
      </c>
      <c r="O415" t="s">
        <v>64</v>
      </c>
      <c r="P415">
        <v>97</v>
      </c>
      <c r="Q415">
        <v>3.8</v>
      </c>
      <c r="R415" t="b">
        <v>0</v>
      </c>
      <c r="S415" t="s">
        <v>30</v>
      </c>
      <c r="T415">
        <v>4216</v>
      </c>
      <c r="U415" t="s">
        <v>38</v>
      </c>
      <c r="V415" t="s">
        <v>79</v>
      </c>
      <c r="W415" t="s">
        <v>93</v>
      </c>
    </row>
    <row r="416" spans="1:23">
      <c r="A416">
        <v>3926</v>
      </c>
      <c r="B416" t="s">
        <v>485</v>
      </c>
      <c r="C416" s="1" t="s">
        <v>84</v>
      </c>
      <c r="D416" s="1" t="s">
        <v>87</v>
      </c>
      <c r="E416">
        <v>7.99</v>
      </c>
      <c r="F416">
        <v>167</v>
      </c>
      <c r="G416" t="s">
        <v>100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92</v>
      </c>
      <c r="N416" t="s">
        <v>75</v>
      </c>
      <c r="O416" t="s">
        <v>45</v>
      </c>
      <c r="P416">
        <v>86</v>
      </c>
      <c r="Q416">
        <v>4.3</v>
      </c>
      <c r="R416" t="b">
        <v>0</v>
      </c>
      <c r="S416" t="s">
        <v>30</v>
      </c>
      <c r="T416">
        <v>3003</v>
      </c>
      <c r="U416" t="s">
        <v>58</v>
      </c>
      <c r="V416" t="s">
        <v>32</v>
      </c>
      <c r="W416" t="s">
        <v>40</v>
      </c>
    </row>
    <row r="417" spans="1:23">
      <c r="A417">
        <v>8738</v>
      </c>
      <c r="B417" t="s">
        <v>140</v>
      </c>
      <c r="C417" s="1" t="s">
        <v>300</v>
      </c>
      <c r="D417" s="1" t="s">
        <v>168</v>
      </c>
      <c r="E417">
        <v>7.99</v>
      </c>
      <c r="F417">
        <v>427</v>
      </c>
      <c r="G417" t="s">
        <v>100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49</v>
      </c>
      <c r="N417" t="s">
        <v>44</v>
      </c>
      <c r="O417" t="s">
        <v>45</v>
      </c>
      <c r="P417">
        <v>41</v>
      </c>
      <c r="Q417">
        <v>4.0999999999999996</v>
      </c>
      <c r="R417" t="b">
        <v>0</v>
      </c>
      <c r="S417" t="s">
        <v>30</v>
      </c>
      <c r="T417">
        <v>342</v>
      </c>
      <c r="U417" t="s">
        <v>58</v>
      </c>
      <c r="V417" t="s">
        <v>69</v>
      </c>
      <c r="W417" t="s">
        <v>93</v>
      </c>
    </row>
    <row r="418" spans="1:23">
      <c r="A418">
        <v>2701</v>
      </c>
      <c r="B418" t="s">
        <v>355</v>
      </c>
      <c r="C418" s="1">
        <v>45417</v>
      </c>
      <c r="D418" s="1">
        <v>45303</v>
      </c>
      <c r="E418">
        <v>11.99</v>
      </c>
      <c r="F418">
        <v>13</v>
      </c>
      <c r="G418" t="s">
        <v>36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68</v>
      </c>
      <c r="N418" t="s">
        <v>75</v>
      </c>
      <c r="O418" t="s">
        <v>57</v>
      </c>
      <c r="P418">
        <v>17</v>
      </c>
      <c r="Q418">
        <v>3.1</v>
      </c>
      <c r="R418" t="b">
        <v>1</v>
      </c>
      <c r="S418" t="s">
        <v>30</v>
      </c>
      <c r="T418">
        <v>2124</v>
      </c>
      <c r="U418" t="s">
        <v>38</v>
      </c>
      <c r="V418" t="s">
        <v>79</v>
      </c>
      <c r="W418" t="s">
        <v>60</v>
      </c>
    </row>
    <row r="419" spans="1:23">
      <c r="A419">
        <v>5339</v>
      </c>
      <c r="B419" t="s">
        <v>486</v>
      </c>
      <c r="C419" s="1" t="s">
        <v>487</v>
      </c>
      <c r="D419" s="1" t="s">
        <v>42</v>
      </c>
      <c r="E419">
        <v>15.99</v>
      </c>
      <c r="F419">
        <v>53</v>
      </c>
      <c r="G419" t="s">
        <v>26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92</v>
      </c>
      <c r="N419" t="s">
        <v>75</v>
      </c>
      <c r="O419" t="s">
        <v>37</v>
      </c>
      <c r="P419">
        <v>65</v>
      </c>
      <c r="Q419">
        <v>4.9000000000000004</v>
      </c>
      <c r="R419" t="b">
        <v>0</v>
      </c>
      <c r="S419" t="s">
        <v>30</v>
      </c>
      <c r="T419">
        <v>1016</v>
      </c>
      <c r="U419" t="s">
        <v>38</v>
      </c>
      <c r="V419" t="s">
        <v>69</v>
      </c>
      <c r="W419" t="s">
        <v>93</v>
      </c>
    </row>
    <row r="420" spans="1:23">
      <c r="A420">
        <v>1612</v>
      </c>
      <c r="B420" t="s">
        <v>488</v>
      </c>
      <c r="C420" s="1" t="s">
        <v>354</v>
      </c>
      <c r="D420" s="1">
        <v>45394</v>
      </c>
      <c r="E420">
        <v>7.99</v>
      </c>
      <c r="F420">
        <v>197</v>
      </c>
      <c r="G420" t="s">
        <v>26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55</v>
      </c>
      <c r="N420" t="s">
        <v>44</v>
      </c>
      <c r="O420" t="s">
        <v>37</v>
      </c>
      <c r="P420">
        <v>64</v>
      </c>
      <c r="Q420">
        <v>4.3</v>
      </c>
      <c r="R420" t="b">
        <v>1</v>
      </c>
      <c r="S420" t="s">
        <v>30</v>
      </c>
      <c r="T420">
        <v>1925</v>
      </c>
      <c r="U420" t="s">
        <v>76</v>
      </c>
      <c r="V420" t="s">
        <v>32</v>
      </c>
      <c r="W420" t="s">
        <v>60</v>
      </c>
    </row>
    <row r="421" spans="1:23">
      <c r="A421">
        <v>5407</v>
      </c>
      <c r="B421" t="s">
        <v>101</v>
      </c>
      <c r="C421" s="1" t="s">
        <v>187</v>
      </c>
      <c r="D421" s="1">
        <v>45394</v>
      </c>
      <c r="E421">
        <v>7.99</v>
      </c>
      <c r="F421">
        <v>429</v>
      </c>
      <c r="G421" t="s">
        <v>63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27</v>
      </c>
      <c r="N421" t="s">
        <v>56</v>
      </c>
      <c r="O421" t="s">
        <v>57</v>
      </c>
      <c r="P421">
        <v>19</v>
      </c>
      <c r="Q421">
        <v>4.3</v>
      </c>
      <c r="R421" t="b">
        <v>1</v>
      </c>
      <c r="S421" t="s">
        <v>30</v>
      </c>
      <c r="T421">
        <v>3773</v>
      </c>
      <c r="U421" t="s">
        <v>65</v>
      </c>
      <c r="V421" t="s">
        <v>39</v>
      </c>
      <c r="W421" t="s">
        <v>33</v>
      </c>
    </row>
    <row r="422" spans="1:23">
      <c r="A422">
        <v>8225</v>
      </c>
      <c r="B422" t="s">
        <v>380</v>
      </c>
      <c r="C422" s="1">
        <v>45509</v>
      </c>
      <c r="D422" s="1" t="s">
        <v>156</v>
      </c>
      <c r="E422">
        <v>15.99</v>
      </c>
      <c r="F422">
        <v>282</v>
      </c>
      <c r="G422" t="s">
        <v>63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74</v>
      </c>
      <c r="N422" t="s">
        <v>28</v>
      </c>
      <c r="O422" t="s">
        <v>57</v>
      </c>
      <c r="P422">
        <v>17</v>
      </c>
      <c r="Q422">
        <v>3.4</v>
      </c>
      <c r="R422" t="b">
        <v>1</v>
      </c>
      <c r="S422" t="s">
        <v>30</v>
      </c>
      <c r="T422">
        <v>1231</v>
      </c>
      <c r="U422" t="s">
        <v>65</v>
      </c>
      <c r="V422" t="s">
        <v>79</v>
      </c>
      <c r="W422" t="s">
        <v>93</v>
      </c>
    </row>
    <row r="423" spans="1:23">
      <c r="A423">
        <v>4714</v>
      </c>
      <c r="B423" t="s">
        <v>489</v>
      </c>
      <c r="C423" s="1" t="s">
        <v>490</v>
      </c>
      <c r="D423" s="1" t="s">
        <v>84</v>
      </c>
      <c r="E423">
        <v>11.99</v>
      </c>
      <c r="F423">
        <v>248</v>
      </c>
      <c r="G423" t="s">
        <v>48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68</v>
      </c>
      <c r="N423" t="s">
        <v>44</v>
      </c>
      <c r="O423" t="s">
        <v>37</v>
      </c>
      <c r="P423">
        <v>53</v>
      </c>
      <c r="Q423">
        <v>3.3</v>
      </c>
      <c r="R423" t="b">
        <v>1</v>
      </c>
      <c r="S423" t="s">
        <v>30</v>
      </c>
      <c r="T423">
        <v>62</v>
      </c>
      <c r="U423" t="s">
        <v>38</v>
      </c>
      <c r="V423" t="s">
        <v>39</v>
      </c>
      <c r="W423" t="s">
        <v>40</v>
      </c>
    </row>
    <row r="424" spans="1:23">
      <c r="A424">
        <v>3826</v>
      </c>
      <c r="B424" t="s">
        <v>357</v>
      </c>
      <c r="C424" s="1">
        <v>45332</v>
      </c>
      <c r="D424" s="1" t="s">
        <v>129</v>
      </c>
      <c r="E424">
        <v>11.99</v>
      </c>
      <c r="F424">
        <v>406</v>
      </c>
      <c r="G424" t="s">
        <v>51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27</v>
      </c>
      <c r="N424" t="s">
        <v>75</v>
      </c>
      <c r="O424" t="s">
        <v>45</v>
      </c>
      <c r="P424">
        <v>82</v>
      </c>
      <c r="Q424">
        <v>4.7</v>
      </c>
      <c r="R424" t="b">
        <v>0</v>
      </c>
      <c r="S424" t="s">
        <v>30</v>
      </c>
      <c r="T424">
        <v>1580</v>
      </c>
      <c r="U424" t="s">
        <v>76</v>
      </c>
      <c r="V424" t="s">
        <v>79</v>
      </c>
      <c r="W424" t="s">
        <v>33</v>
      </c>
    </row>
    <row r="425" spans="1:23">
      <c r="A425">
        <v>3781</v>
      </c>
      <c r="B425" t="s">
        <v>491</v>
      </c>
      <c r="C425" s="1" t="s">
        <v>72</v>
      </c>
      <c r="D425" s="1" t="s">
        <v>168</v>
      </c>
      <c r="E425">
        <v>15.99</v>
      </c>
      <c r="F425">
        <v>249</v>
      </c>
      <c r="G425" t="s">
        <v>100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49</v>
      </c>
      <c r="N425" t="s">
        <v>28</v>
      </c>
      <c r="O425" t="s">
        <v>37</v>
      </c>
      <c r="P425">
        <v>95</v>
      </c>
      <c r="Q425">
        <v>4.8</v>
      </c>
      <c r="R425" t="b">
        <v>0</v>
      </c>
      <c r="S425" t="s">
        <v>30</v>
      </c>
      <c r="T425">
        <v>74</v>
      </c>
      <c r="U425" t="s">
        <v>65</v>
      </c>
      <c r="V425" t="s">
        <v>59</v>
      </c>
      <c r="W425" t="s">
        <v>60</v>
      </c>
    </row>
    <row r="426" spans="1:23">
      <c r="A426">
        <v>5635</v>
      </c>
      <c r="B426" t="s">
        <v>492</v>
      </c>
      <c r="C426" s="1" t="s">
        <v>292</v>
      </c>
      <c r="D426" s="1" t="s">
        <v>156</v>
      </c>
      <c r="E426">
        <v>7.99</v>
      </c>
      <c r="F426">
        <v>12</v>
      </c>
      <c r="G426" t="s">
        <v>63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68</v>
      </c>
      <c r="N426" t="s">
        <v>44</v>
      </c>
      <c r="O426" t="s">
        <v>64</v>
      </c>
      <c r="P426">
        <v>92</v>
      </c>
      <c r="Q426">
        <v>4.7</v>
      </c>
      <c r="R426" t="b">
        <v>0</v>
      </c>
      <c r="S426" t="s">
        <v>30</v>
      </c>
      <c r="T426">
        <v>3452</v>
      </c>
      <c r="U426" t="s">
        <v>76</v>
      </c>
      <c r="V426" t="s">
        <v>39</v>
      </c>
      <c r="W426" t="s">
        <v>33</v>
      </c>
    </row>
    <row r="427" spans="1:23">
      <c r="A427">
        <v>2291</v>
      </c>
      <c r="B427" t="s">
        <v>197</v>
      </c>
      <c r="C427" s="1">
        <v>45264</v>
      </c>
      <c r="D427" s="1">
        <v>45303</v>
      </c>
      <c r="E427">
        <v>7.99</v>
      </c>
      <c r="F427">
        <v>57</v>
      </c>
      <c r="G427" t="s">
        <v>26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68</v>
      </c>
      <c r="N427" t="s">
        <v>56</v>
      </c>
      <c r="O427" t="s">
        <v>57</v>
      </c>
      <c r="P427">
        <v>67</v>
      </c>
      <c r="Q427">
        <v>4.3</v>
      </c>
      <c r="R427" t="b">
        <v>0</v>
      </c>
      <c r="S427" t="s">
        <v>30</v>
      </c>
      <c r="T427">
        <v>4792</v>
      </c>
      <c r="U427" t="s">
        <v>38</v>
      </c>
      <c r="V427" t="s">
        <v>59</v>
      </c>
      <c r="W427" t="s">
        <v>93</v>
      </c>
    </row>
    <row r="428" spans="1:23">
      <c r="A428">
        <v>3119</v>
      </c>
      <c r="B428" t="s">
        <v>450</v>
      </c>
      <c r="C428" s="1" t="s">
        <v>493</v>
      </c>
      <c r="D428" s="1" t="s">
        <v>25</v>
      </c>
      <c r="E428">
        <v>7.99</v>
      </c>
      <c r="F428">
        <v>247</v>
      </c>
      <c r="G428" t="s">
        <v>100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68</v>
      </c>
      <c r="N428" t="s">
        <v>44</v>
      </c>
      <c r="O428" t="s">
        <v>45</v>
      </c>
      <c r="P428">
        <v>3</v>
      </c>
      <c r="Q428">
        <v>4.8</v>
      </c>
      <c r="R428" t="b">
        <v>0</v>
      </c>
      <c r="S428" t="s">
        <v>30</v>
      </c>
      <c r="T428">
        <v>4378</v>
      </c>
      <c r="U428" t="s">
        <v>58</v>
      </c>
      <c r="V428" t="s">
        <v>69</v>
      </c>
      <c r="W428" t="s">
        <v>40</v>
      </c>
    </row>
    <row r="429" spans="1:23">
      <c r="A429">
        <v>5280</v>
      </c>
      <c r="B429" t="s">
        <v>494</v>
      </c>
      <c r="C429" s="1" t="s">
        <v>151</v>
      </c>
      <c r="D429" s="1" t="s">
        <v>168</v>
      </c>
      <c r="E429">
        <v>7.99</v>
      </c>
      <c r="F429">
        <v>25</v>
      </c>
      <c r="G429" t="s">
        <v>63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68</v>
      </c>
      <c r="N429" t="s">
        <v>56</v>
      </c>
      <c r="O429" t="s">
        <v>64</v>
      </c>
      <c r="P429">
        <v>40</v>
      </c>
      <c r="Q429">
        <v>3.5</v>
      </c>
      <c r="R429" t="b">
        <v>0</v>
      </c>
      <c r="S429" t="s">
        <v>30</v>
      </c>
      <c r="T429">
        <v>1713</v>
      </c>
      <c r="U429" t="s">
        <v>31</v>
      </c>
      <c r="V429" t="s">
        <v>79</v>
      </c>
      <c r="W429" t="s">
        <v>33</v>
      </c>
    </row>
    <row r="430" spans="1:23">
      <c r="A430">
        <v>2546</v>
      </c>
      <c r="B430" t="s">
        <v>495</v>
      </c>
      <c r="C430" s="1" t="s">
        <v>496</v>
      </c>
      <c r="D430" s="1">
        <v>45363</v>
      </c>
      <c r="E430">
        <v>15.99</v>
      </c>
      <c r="F430">
        <v>425</v>
      </c>
      <c r="G430" t="s">
        <v>73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68</v>
      </c>
      <c r="N430" t="s">
        <v>44</v>
      </c>
      <c r="O430" t="s">
        <v>64</v>
      </c>
      <c r="P430">
        <v>49</v>
      </c>
      <c r="Q430">
        <v>4</v>
      </c>
      <c r="R430" t="b">
        <v>0</v>
      </c>
      <c r="S430" t="s">
        <v>30</v>
      </c>
      <c r="T430">
        <v>1201</v>
      </c>
      <c r="U430" t="s">
        <v>31</v>
      </c>
      <c r="V430" t="s">
        <v>39</v>
      </c>
      <c r="W430" t="s">
        <v>40</v>
      </c>
    </row>
    <row r="431" spans="1:23">
      <c r="A431">
        <v>5975</v>
      </c>
      <c r="B431" t="s">
        <v>143</v>
      </c>
      <c r="C431" s="1" t="s">
        <v>321</v>
      </c>
      <c r="D431" s="1" t="s">
        <v>72</v>
      </c>
      <c r="E431">
        <v>7.99</v>
      </c>
      <c r="F431">
        <v>315</v>
      </c>
      <c r="G431" t="s">
        <v>51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74</v>
      </c>
      <c r="N431" t="s">
        <v>56</v>
      </c>
      <c r="O431" t="s">
        <v>37</v>
      </c>
      <c r="P431">
        <v>52</v>
      </c>
      <c r="Q431">
        <v>4.4000000000000004</v>
      </c>
      <c r="R431" t="b">
        <v>1</v>
      </c>
      <c r="S431" t="s">
        <v>30</v>
      </c>
      <c r="T431">
        <v>416</v>
      </c>
      <c r="U431" t="s">
        <v>58</v>
      </c>
      <c r="V431" t="s">
        <v>79</v>
      </c>
      <c r="W431" t="s">
        <v>93</v>
      </c>
    </row>
    <row r="432" spans="1:23">
      <c r="A432">
        <v>9113</v>
      </c>
      <c r="B432" t="s">
        <v>236</v>
      </c>
      <c r="C432" s="1" t="s">
        <v>497</v>
      </c>
      <c r="D432" s="1" t="s">
        <v>90</v>
      </c>
      <c r="E432">
        <v>7.99</v>
      </c>
      <c r="F432">
        <v>466</v>
      </c>
      <c r="G432" t="s">
        <v>73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49</v>
      </c>
      <c r="N432" t="s">
        <v>44</v>
      </c>
      <c r="O432" t="s">
        <v>57</v>
      </c>
      <c r="P432">
        <v>94</v>
      </c>
      <c r="Q432">
        <v>4.9000000000000004</v>
      </c>
      <c r="R432" t="b">
        <v>0</v>
      </c>
      <c r="S432" t="s">
        <v>30</v>
      </c>
      <c r="T432">
        <v>17</v>
      </c>
      <c r="U432" t="s">
        <v>38</v>
      </c>
      <c r="V432" t="s">
        <v>79</v>
      </c>
      <c r="W432" t="s">
        <v>40</v>
      </c>
    </row>
    <row r="433" spans="1:23">
      <c r="A433">
        <v>6250</v>
      </c>
      <c r="B433" t="s">
        <v>498</v>
      </c>
      <c r="C433" s="1">
        <v>45511</v>
      </c>
      <c r="D433" s="1" t="s">
        <v>82</v>
      </c>
      <c r="E433">
        <v>15.99</v>
      </c>
      <c r="F433">
        <v>207</v>
      </c>
      <c r="G433" t="s">
        <v>48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43</v>
      </c>
      <c r="N433" t="s">
        <v>56</v>
      </c>
      <c r="O433" t="s">
        <v>29</v>
      </c>
      <c r="P433">
        <v>75</v>
      </c>
      <c r="Q433">
        <v>4.2</v>
      </c>
      <c r="R433" t="b">
        <v>1</v>
      </c>
      <c r="S433" t="s">
        <v>30</v>
      </c>
      <c r="T433">
        <v>4820</v>
      </c>
      <c r="U433" t="s">
        <v>65</v>
      </c>
      <c r="V433" t="s">
        <v>69</v>
      </c>
      <c r="W433" t="s">
        <v>93</v>
      </c>
    </row>
    <row r="434" spans="1:23">
      <c r="A434">
        <v>6190</v>
      </c>
      <c r="B434" t="s">
        <v>499</v>
      </c>
      <c r="C434" s="1" t="s">
        <v>390</v>
      </c>
      <c r="D434" s="1">
        <v>45516</v>
      </c>
      <c r="E434">
        <v>7.99</v>
      </c>
      <c r="F434">
        <v>248</v>
      </c>
      <c r="G434" t="s">
        <v>36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27</v>
      </c>
      <c r="N434" t="s">
        <v>44</v>
      </c>
      <c r="O434" t="s">
        <v>45</v>
      </c>
      <c r="P434">
        <v>94</v>
      </c>
      <c r="Q434">
        <v>4.2</v>
      </c>
      <c r="R434" t="b">
        <v>0</v>
      </c>
      <c r="S434" t="s">
        <v>30</v>
      </c>
      <c r="T434">
        <v>1758</v>
      </c>
      <c r="U434" t="s">
        <v>76</v>
      </c>
      <c r="V434" t="s">
        <v>79</v>
      </c>
      <c r="W434" t="s">
        <v>33</v>
      </c>
    </row>
    <row r="435" spans="1:23">
      <c r="A435">
        <v>5713</v>
      </c>
      <c r="B435" t="s">
        <v>500</v>
      </c>
      <c r="C435" s="1" t="s">
        <v>466</v>
      </c>
      <c r="D435" s="1" t="s">
        <v>156</v>
      </c>
      <c r="E435">
        <v>7.99</v>
      </c>
      <c r="F435">
        <v>278</v>
      </c>
      <c r="G435" t="s">
        <v>36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27</v>
      </c>
      <c r="N435" t="s">
        <v>75</v>
      </c>
      <c r="O435" t="s">
        <v>29</v>
      </c>
      <c r="P435">
        <v>0</v>
      </c>
      <c r="Q435">
        <v>4.3</v>
      </c>
      <c r="R435" t="b">
        <v>1</v>
      </c>
      <c r="S435" t="s">
        <v>30</v>
      </c>
      <c r="T435">
        <v>2568</v>
      </c>
      <c r="U435" t="s">
        <v>38</v>
      </c>
      <c r="V435" t="s">
        <v>69</v>
      </c>
      <c r="W435" t="s">
        <v>60</v>
      </c>
    </row>
    <row r="436" spans="1:23">
      <c r="A436">
        <v>1932</v>
      </c>
      <c r="B436" t="s">
        <v>169</v>
      </c>
      <c r="C436" s="1" t="s">
        <v>501</v>
      </c>
      <c r="D436" s="1" t="s">
        <v>72</v>
      </c>
      <c r="E436">
        <v>7.99</v>
      </c>
      <c r="F436">
        <v>315</v>
      </c>
      <c r="G436" t="s">
        <v>51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92</v>
      </c>
      <c r="N436" t="s">
        <v>44</v>
      </c>
      <c r="O436" t="s">
        <v>78</v>
      </c>
      <c r="P436">
        <v>86</v>
      </c>
      <c r="Q436">
        <v>3.7</v>
      </c>
      <c r="R436" t="b">
        <v>1</v>
      </c>
      <c r="S436" t="s">
        <v>30</v>
      </c>
      <c r="T436">
        <v>4235</v>
      </c>
      <c r="U436" t="s">
        <v>31</v>
      </c>
      <c r="V436" t="s">
        <v>69</v>
      </c>
      <c r="W436" t="s">
        <v>33</v>
      </c>
    </row>
    <row r="437" spans="1:23">
      <c r="A437">
        <v>6527</v>
      </c>
      <c r="B437" t="s">
        <v>502</v>
      </c>
      <c r="C437" s="1" t="s">
        <v>503</v>
      </c>
      <c r="D437" s="1" t="s">
        <v>109</v>
      </c>
      <c r="E437">
        <v>7.99</v>
      </c>
      <c r="F437">
        <v>190</v>
      </c>
      <c r="G437" t="s">
        <v>100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68</v>
      </c>
      <c r="N437" t="s">
        <v>28</v>
      </c>
      <c r="O437" t="s">
        <v>37</v>
      </c>
      <c r="P437">
        <v>52</v>
      </c>
      <c r="Q437">
        <v>4.3</v>
      </c>
      <c r="R437" t="b">
        <v>0</v>
      </c>
      <c r="S437" t="s">
        <v>30</v>
      </c>
      <c r="T437">
        <v>3775</v>
      </c>
      <c r="U437" t="s">
        <v>38</v>
      </c>
      <c r="V437" t="s">
        <v>79</v>
      </c>
      <c r="W437" t="s">
        <v>33</v>
      </c>
    </row>
    <row r="438" spans="1:23">
      <c r="A438">
        <v>9363</v>
      </c>
      <c r="B438" t="s">
        <v>140</v>
      </c>
      <c r="C438" s="1">
        <v>45422</v>
      </c>
      <c r="D438" s="1" t="s">
        <v>109</v>
      </c>
      <c r="E438">
        <v>11.99</v>
      </c>
      <c r="F438">
        <v>190</v>
      </c>
      <c r="G438" t="s">
        <v>63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74</v>
      </c>
      <c r="N438" t="s">
        <v>28</v>
      </c>
      <c r="O438" t="s">
        <v>64</v>
      </c>
      <c r="P438">
        <v>38</v>
      </c>
      <c r="Q438">
        <v>4.4000000000000004</v>
      </c>
      <c r="R438" t="b">
        <v>1</v>
      </c>
      <c r="S438" t="s">
        <v>30</v>
      </c>
      <c r="T438">
        <v>92</v>
      </c>
      <c r="U438" t="s">
        <v>31</v>
      </c>
      <c r="V438" t="s">
        <v>69</v>
      </c>
      <c r="W438" t="s">
        <v>93</v>
      </c>
    </row>
    <row r="439" spans="1:23">
      <c r="A439">
        <v>5019</v>
      </c>
      <c r="B439" t="s">
        <v>147</v>
      </c>
      <c r="C439" s="1">
        <v>45332</v>
      </c>
      <c r="D439" s="1">
        <v>45638</v>
      </c>
      <c r="E439">
        <v>15.99</v>
      </c>
      <c r="F439">
        <v>408</v>
      </c>
      <c r="G439" t="s">
        <v>51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74</v>
      </c>
      <c r="N439" t="s">
        <v>56</v>
      </c>
      <c r="O439" t="s">
        <v>78</v>
      </c>
      <c r="P439">
        <v>65</v>
      </c>
      <c r="Q439">
        <v>3.6</v>
      </c>
      <c r="R439" t="b">
        <v>1</v>
      </c>
      <c r="S439" t="s">
        <v>30</v>
      </c>
      <c r="T439">
        <v>72</v>
      </c>
      <c r="U439" t="s">
        <v>65</v>
      </c>
      <c r="V439" t="s">
        <v>39</v>
      </c>
      <c r="W439" t="s">
        <v>40</v>
      </c>
    </row>
    <row r="440" spans="1:23">
      <c r="A440">
        <v>9258</v>
      </c>
      <c r="B440" t="s">
        <v>504</v>
      </c>
      <c r="C440" s="1" t="s">
        <v>358</v>
      </c>
      <c r="D440" s="1">
        <v>45455</v>
      </c>
      <c r="E440">
        <v>15.99</v>
      </c>
      <c r="F440">
        <v>227</v>
      </c>
      <c r="G440" t="s">
        <v>51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74</v>
      </c>
      <c r="N440" t="s">
        <v>28</v>
      </c>
      <c r="O440" t="s">
        <v>57</v>
      </c>
      <c r="P440">
        <v>37</v>
      </c>
      <c r="Q440">
        <v>4.4000000000000004</v>
      </c>
      <c r="R440" t="b">
        <v>0</v>
      </c>
      <c r="S440" t="s">
        <v>30</v>
      </c>
      <c r="T440">
        <v>2488</v>
      </c>
      <c r="U440" t="s">
        <v>31</v>
      </c>
      <c r="V440" t="s">
        <v>59</v>
      </c>
      <c r="W440" t="s">
        <v>40</v>
      </c>
    </row>
    <row r="441" spans="1:23">
      <c r="A441">
        <v>7512</v>
      </c>
      <c r="B441" t="s">
        <v>505</v>
      </c>
      <c r="C441" s="1" t="s">
        <v>506</v>
      </c>
      <c r="D441" s="1" t="s">
        <v>156</v>
      </c>
      <c r="E441">
        <v>11.99</v>
      </c>
      <c r="F441">
        <v>479</v>
      </c>
      <c r="G441" t="s">
        <v>73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55</v>
      </c>
      <c r="N441" t="s">
        <v>44</v>
      </c>
      <c r="O441" t="s">
        <v>29</v>
      </c>
      <c r="P441">
        <v>14</v>
      </c>
      <c r="Q441">
        <v>4.9000000000000004</v>
      </c>
      <c r="R441" t="b">
        <v>1</v>
      </c>
      <c r="S441" t="s">
        <v>30</v>
      </c>
      <c r="T441">
        <v>2666</v>
      </c>
      <c r="U441" t="s">
        <v>65</v>
      </c>
      <c r="V441" t="s">
        <v>79</v>
      </c>
      <c r="W441" t="s">
        <v>93</v>
      </c>
    </row>
    <row r="442" spans="1:23">
      <c r="A442">
        <v>8195</v>
      </c>
      <c r="B442" t="s">
        <v>507</v>
      </c>
      <c r="C442" s="1" t="s">
        <v>412</v>
      </c>
      <c r="D442" s="1" t="s">
        <v>84</v>
      </c>
      <c r="E442">
        <v>11.99</v>
      </c>
      <c r="F442">
        <v>415</v>
      </c>
      <c r="G442" t="s">
        <v>36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74</v>
      </c>
      <c r="N442" t="s">
        <v>44</v>
      </c>
      <c r="O442" t="s">
        <v>45</v>
      </c>
      <c r="P442">
        <v>84</v>
      </c>
      <c r="Q442">
        <v>4.4000000000000004</v>
      </c>
      <c r="R442" t="b">
        <v>1</v>
      </c>
      <c r="S442" t="s">
        <v>30</v>
      </c>
      <c r="T442">
        <v>4221</v>
      </c>
      <c r="U442" t="s">
        <v>76</v>
      </c>
      <c r="V442" t="s">
        <v>79</v>
      </c>
      <c r="W442" t="s">
        <v>60</v>
      </c>
    </row>
    <row r="443" spans="1:23">
      <c r="A443">
        <v>8242</v>
      </c>
      <c r="B443" t="s">
        <v>257</v>
      </c>
      <c r="C443" s="1" t="s">
        <v>229</v>
      </c>
      <c r="D443" s="1">
        <v>45394</v>
      </c>
      <c r="E443">
        <v>11.99</v>
      </c>
      <c r="F443">
        <v>204</v>
      </c>
      <c r="G443" t="s">
        <v>100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43</v>
      </c>
      <c r="N443" t="s">
        <v>28</v>
      </c>
      <c r="O443" t="s">
        <v>29</v>
      </c>
      <c r="P443">
        <v>94</v>
      </c>
      <c r="Q443">
        <v>3.7</v>
      </c>
      <c r="R443" t="b">
        <v>1</v>
      </c>
      <c r="S443" t="s">
        <v>30</v>
      </c>
      <c r="T443">
        <v>4569</v>
      </c>
      <c r="U443" t="s">
        <v>31</v>
      </c>
      <c r="V443" t="s">
        <v>79</v>
      </c>
      <c r="W443" t="s">
        <v>33</v>
      </c>
    </row>
    <row r="444" spans="1:23">
      <c r="A444">
        <v>2220</v>
      </c>
      <c r="B444" t="s">
        <v>448</v>
      </c>
      <c r="C444" s="1" t="s">
        <v>221</v>
      </c>
      <c r="D444" s="1" t="s">
        <v>105</v>
      </c>
      <c r="E444">
        <v>15.99</v>
      </c>
      <c r="F444">
        <v>205</v>
      </c>
      <c r="G444" t="s">
        <v>73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74</v>
      </c>
      <c r="N444" t="s">
        <v>28</v>
      </c>
      <c r="O444" t="s">
        <v>45</v>
      </c>
      <c r="P444">
        <v>24</v>
      </c>
      <c r="Q444">
        <v>3.9</v>
      </c>
      <c r="R444" t="b">
        <v>1</v>
      </c>
      <c r="S444" t="s">
        <v>30</v>
      </c>
      <c r="T444">
        <v>2695</v>
      </c>
      <c r="U444" t="s">
        <v>65</v>
      </c>
      <c r="V444" t="s">
        <v>79</v>
      </c>
      <c r="W444" t="s">
        <v>40</v>
      </c>
    </row>
    <row r="445" spans="1:23">
      <c r="A445">
        <v>9308</v>
      </c>
      <c r="B445" t="s">
        <v>88</v>
      </c>
      <c r="C445" s="1" t="s">
        <v>287</v>
      </c>
      <c r="D445" s="1" t="s">
        <v>87</v>
      </c>
      <c r="E445">
        <v>11.99</v>
      </c>
      <c r="F445">
        <v>64</v>
      </c>
      <c r="G445" t="s">
        <v>51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27</v>
      </c>
      <c r="N445" t="s">
        <v>28</v>
      </c>
      <c r="O445" t="s">
        <v>45</v>
      </c>
      <c r="P445">
        <v>88</v>
      </c>
      <c r="Q445">
        <v>3.7</v>
      </c>
      <c r="R445" t="b">
        <v>1</v>
      </c>
      <c r="S445" t="s">
        <v>30</v>
      </c>
      <c r="T445">
        <v>48</v>
      </c>
      <c r="U445" t="s">
        <v>76</v>
      </c>
      <c r="V445" t="s">
        <v>59</v>
      </c>
      <c r="W445" t="s">
        <v>93</v>
      </c>
    </row>
    <row r="446" spans="1:23">
      <c r="A446">
        <v>3437</v>
      </c>
      <c r="B446" t="s">
        <v>215</v>
      </c>
      <c r="C446" s="1" t="s">
        <v>427</v>
      </c>
      <c r="D446" s="1">
        <v>45424</v>
      </c>
      <c r="E446">
        <v>7.99</v>
      </c>
      <c r="F446">
        <v>281</v>
      </c>
      <c r="G446" t="s">
        <v>48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68</v>
      </c>
      <c r="N446" t="s">
        <v>44</v>
      </c>
      <c r="O446" t="s">
        <v>37</v>
      </c>
      <c r="P446">
        <v>12</v>
      </c>
      <c r="Q446">
        <v>4</v>
      </c>
      <c r="R446" t="b">
        <v>0</v>
      </c>
      <c r="S446" t="s">
        <v>30</v>
      </c>
      <c r="T446">
        <v>1526</v>
      </c>
      <c r="U446" t="s">
        <v>65</v>
      </c>
      <c r="V446" t="s">
        <v>32</v>
      </c>
      <c r="W446" t="s">
        <v>33</v>
      </c>
    </row>
    <row r="447" spans="1:23">
      <c r="A447">
        <v>8305</v>
      </c>
      <c r="B447" t="s">
        <v>140</v>
      </c>
      <c r="C447" s="1" t="s">
        <v>457</v>
      </c>
      <c r="D447" s="1">
        <v>45455</v>
      </c>
      <c r="E447">
        <v>11.99</v>
      </c>
      <c r="F447">
        <v>78</v>
      </c>
      <c r="G447" t="s">
        <v>73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92</v>
      </c>
      <c r="N447" t="s">
        <v>44</v>
      </c>
      <c r="O447" t="s">
        <v>37</v>
      </c>
      <c r="P447">
        <v>14</v>
      </c>
      <c r="Q447">
        <v>4.5</v>
      </c>
      <c r="R447" t="b">
        <v>0</v>
      </c>
      <c r="S447" t="s">
        <v>30</v>
      </c>
      <c r="T447">
        <v>4934</v>
      </c>
      <c r="U447" t="s">
        <v>31</v>
      </c>
      <c r="V447" t="s">
        <v>32</v>
      </c>
      <c r="W447" t="s">
        <v>33</v>
      </c>
    </row>
    <row r="448" spans="1:23">
      <c r="A448">
        <v>6773</v>
      </c>
      <c r="B448" t="s">
        <v>473</v>
      </c>
      <c r="C448" s="1">
        <v>45445</v>
      </c>
      <c r="D448" s="1" t="s">
        <v>168</v>
      </c>
      <c r="E448">
        <v>7.99</v>
      </c>
      <c r="F448">
        <v>343</v>
      </c>
      <c r="G448" t="s">
        <v>36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27</v>
      </c>
      <c r="N448" t="s">
        <v>28</v>
      </c>
      <c r="O448" t="s">
        <v>78</v>
      </c>
      <c r="P448">
        <v>75</v>
      </c>
      <c r="Q448">
        <v>4.9000000000000004</v>
      </c>
      <c r="R448" t="b">
        <v>1</v>
      </c>
      <c r="S448" t="s">
        <v>30</v>
      </c>
      <c r="T448">
        <v>628</v>
      </c>
      <c r="U448" t="s">
        <v>38</v>
      </c>
      <c r="V448" t="s">
        <v>69</v>
      </c>
      <c r="W448" t="s">
        <v>33</v>
      </c>
    </row>
    <row r="449" spans="1:23">
      <c r="A449">
        <v>3010</v>
      </c>
      <c r="B449" t="s">
        <v>280</v>
      </c>
      <c r="C449" s="1">
        <v>45362</v>
      </c>
      <c r="D449" s="1" t="s">
        <v>156</v>
      </c>
      <c r="E449">
        <v>11.99</v>
      </c>
      <c r="F449">
        <v>318</v>
      </c>
      <c r="G449" t="s">
        <v>48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68</v>
      </c>
      <c r="N449" t="s">
        <v>28</v>
      </c>
      <c r="O449" t="s">
        <v>45</v>
      </c>
      <c r="P449">
        <v>38</v>
      </c>
      <c r="Q449">
        <v>4.5999999999999996</v>
      </c>
      <c r="R449" t="b">
        <v>1</v>
      </c>
      <c r="S449" t="s">
        <v>30</v>
      </c>
      <c r="T449">
        <v>167</v>
      </c>
      <c r="U449" t="s">
        <v>76</v>
      </c>
      <c r="V449" t="s">
        <v>39</v>
      </c>
      <c r="W449" t="s">
        <v>93</v>
      </c>
    </row>
    <row r="450" spans="1:23">
      <c r="A450">
        <v>3622</v>
      </c>
      <c r="B450" t="s">
        <v>284</v>
      </c>
      <c r="C450" s="1" t="s">
        <v>348</v>
      </c>
      <c r="D450" s="1">
        <v>45547</v>
      </c>
      <c r="E450">
        <v>7.99</v>
      </c>
      <c r="F450">
        <v>444</v>
      </c>
      <c r="G450" t="s">
        <v>36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92</v>
      </c>
      <c r="N450" t="s">
        <v>75</v>
      </c>
      <c r="O450" t="s">
        <v>45</v>
      </c>
      <c r="P450">
        <v>36</v>
      </c>
      <c r="Q450">
        <v>4.7</v>
      </c>
      <c r="R450" t="b">
        <v>0</v>
      </c>
      <c r="S450" t="s">
        <v>30</v>
      </c>
      <c r="T450">
        <v>1309</v>
      </c>
      <c r="U450" t="s">
        <v>58</v>
      </c>
      <c r="V450" t="s">
        <v>39</v>
      </c>
      <c r="W450" t="s">
        <v>60</v>
      </c>
    </row>
    <row r="451" spans="1:23">
      <c r="A451">
        <v>6006</v>
      </c>
      <c r="B451" t="s">
        <v>106</v>
      </c>
      <c r="C451" s="1">
        <v>45482</v>
      </c>
      <c r="D451" s="1" t="s">
        <v>54</v>
      </c>
      <c r="E451">
        <v>11.99</v>
      </c>
      <c r="F451">
        <v>171</v>
      </c>
      <c r="G451" t="s">
        <v>63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92</v>
      </c>
      <c r="N451" t="s">
        <v>75</v>
      </c>
      <c r="O451" t="s">
        <v>37</v>
      </c>
      <c r="P451">
        <v>1</v>
      </c>
      <c r="Q451">
        <v>3.3</v>
      </c>
      <c r="R451" t="b">
        <v>1</v>
      </c>
      <c r="S451" t="s">
        <v>30</v>
      </c>
      <c r="T451">
        <v>710</v>
      </c>
      <c r="U451" t="s">
        <v>31</v>
      </c>
      <c r="V451" t="s">
        <v>69</v>
      </c>
      <c r="W451" t="s">
        <v>33</v>
      </c>
    </row>
    <row r="452" spans="1:23">
      <c r="A452">
        <v>1338</v>
      </c>
      <c r="B452" t="s">
        <v>148</v>
      </c>
      <c r="C452" s="1" t="s">
        <v>154</v>
      </c>
      <c r="D452" s="1">
        <v>45334</v>
      </c>
      <c r="E452">
        <v>15.99</v>
      </c>
      <c r="F452">
        <v>309</v>
      </c>
      <c r="G452" t="s">
        <v>100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68</v>
      </c>
      <c r="N452" t="s">
        <v>75</v>
      </c>
      <c r="O452" t="s">
        <v>64</v>
      </c>
      <c r="P452">
        <v>71</v>
      </c>
      <c r="Q452">
        <v>3.1</v>
      </c>
      <c r="R452" t="b">
        <v>1</v>
      </c>
      <c r="S452" t="s">
        <v>30</v>
      </c>
      <c r="T452">
        <v>106</v>
      </c>
      <c r="U452" t="s">
        <v>58</v>
      </c>
      <c r="V452" t="s">
        <v>79</v>
      </c>
      <c r="W452" t="s">
        <v>60</v>
      </c>
    </row>
    <row r="453" spans="1:23">
      <c r="A453">
        <v>6722</v>
      </c>
      <c r="B453" t="s">
        <v>138</v>
      </c>
      <c r="C453" s="1">
        <v>45143</v>
      </c>
      <c r="D453" s="1" t="s">
        <v>99</v>
      </c>
      <c r="E453">
        <v>15.99</v>
      </c>
      <c r="F453">
        <v>447</v>
      </c>
      <c r="G453" t="s">
        <v>73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55</v>
      </c>
      <c r="N453" t="s">
        <v>44</v>
      </c>
      <c r="O453" t="s">
        <v>37</v>
      </c>
      <c r="P453">
        <v>35</v>
      </c>
      <c r="Q453">
        <v>4.8</v>
      </c>
      <c r="R453" t="b">
        <v>1</v>
      </c>
      <c r="S453" t="s">
        <v>30</v>
      </c>
      <c r="T453">
        <v>2652</v>
      </c>
      <c r="U453" t="s">
        <v>58</v>
      </c>
      <c r="V453" t="s">
        <v>39</v>
      </c>
      <c r="W453" t="s">
        <v>40</v>
      </c>
    </row>
    <row r="454" spans="1:23">
      <c r="A454">
        <v>5871</v>
      </c>
      <c r="B454" t="s">
        <v>508</v>
      </c>
      <c r="C454" s="1" t="s">
        <v>509</v>
      </c>
      <c r="D454" s="1">
        <v>45394</v>
      </c>
      <c r="E454">
        <v>7.99</v>
      </c>
      <c r="F454">
        <v>120</v>
      </c>
      <c r="G454" t="s">
        <v>100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43</v>
      </c>
      <c r="N454" t="s">
        <v>28</v>
      </c>
      <c r="O454" t="s">
        <v>45</v>
      </c>
      <c r="P454">
        <v>52</v>
      </c>
      <c r="Q454">
        <v>4.3</v>
      </c>
      <c r="R454" t="b">
        <v>0</v>
      </c>
      <c r="S454" t="s">
        <v>30</v>
      </c>
      <c r="T454">
        <v>4879</v>
      </c>
      <c r="U454" t="s">
        <v>65</v>
      </c>
      <c r="V454" t="s">
        <v>79</v>
      </c>
      <c r="W454" t="s">
        <v>93</v>
      </c>
    </row>
    <row r="455" spans="1:23">
      <c r="A455">
        <v>9290</v>
      </c>
      <c r="B455" t="s">
        <v>510</v>
      </c>
      <c r="C455" s="1">
        <v>45180</v>
      </c>
      <c r="D455" s="1">
        <v>45516</v>
      </c>
      <c r="E455">
        <v>15.99</v>
      </c>
      <c r="F455">
        <v>168</v>
      </c>
      <c r="G455" t="s">
        <v>26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27</v>
      </c>
      <c r="N455" t="s">
        <v>44</v>
      </c>
      <c r="O455" t="s">
        <v>57</v>
      </c>
      <c r="P455">
        <v>44</v>
      </c>
      <c r="Q455">
        <v>4.0999999999999996</v>
      </c>
      <c r="R455" t="b">
        <v>0</v>
      </c>
      <c r="S455" t="s">
        <v>30</v>
      </c>
      <c r="T455">
        <v>1426</v>
      </c>
      <c r="U455" t="s">
        <v>58</v>
      </c>
      <c r="V455" t="s">
        <v>32</v>
      </c>
      <c r="W455" t="s">
        <v>93</v>
      </c>
    </row>
    <row r="456" spans="1:23">
      <c r="A456">
        <v>8567</v>
      </c>
      <c r="B456" t="s">
        <v>88</v>
      </c>
      <c r="C456" s="1" t="s">
        <v>95</v>
      </c>
      <c r="D456" s="1" t="s">
        <v>25</v>
      </c>
      <c r="E456">
        <v>7.99</v>
      </c>
      <c r="F456">
        <v>203</v>
      </c>
      <c r="G456" t="s">
        <v>48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68</v>
      </c>
      <c r="N456" t="s">
        <v>75</v>
      </c>
      <c r="O456" t="s">
        <v>78</v>
      </c>
      <c r="P456">
        <v>10</v>
      </c>
      <c r="Q456">
        <v>4</v>
      </c>
      <c r="R456" t="b">
        <v>0</v>
      </c>
      <c r="S456" t="s">
        <v>30</v>
      </c>
      <c r="T456">
        <v>1504</v>
      </c>
      <c r="U456" t="s">
        <v>65</v>
      </c>
      <c r="V456" t="s">
        <v>59</v>
      </c>
      <c r="W456" t="s">
        <v>93</v>
      </c>
    </row>
    <row r="457" spans="1:23">
      <c r="A457">
        <v>5253</v>
      </c>
      <c r="B457" t="s">
        <v>502</v>
      </c>
      <c r="C457" s="1">
        <v>45119</v>
      </c>
      <c r="D457" s="1" t="s">
        <v>156</v>
      </c>
      <c r="E457">
        <v>11.99</v>
      </c>
      <c r="F457">
        <v>436</v>
      </c>
      <c r="G457" t="s">
        <v>73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68</v>
      </c>
      <c r="N457" t="s">
        <v>75</v>
      </c>
      <c r="O457" t="s">
        <v>29</v>
      </c>
      <c r="P457">
        <v>78</v>
      </c>
      <c r="Q457">
        <v>4.5</v>
      </c>
      <c r="R457" t="b">
        <v>1</v>
      </c>
      <c r="S457" t="s">
        <v>30</v>
      </c>
      <c r="T457">
        <v>1518</v>
      </c>
      <c r="U457" t="s">
        <v>38</v>
      </c>
      <c r="V457" t="s">
        <v>32</v>
      </c>
      <c r="W457" t="s">
        <v>60</v>
      </c>
    </row>
    <row r="458" spans="1:23">
      <c r="A458">
        <v>8172</v>
      </c>
      <c r="B458" t="s">
        <v>511</v>
      </c>
      <c r="C458" s="1" t="s">
        <v>512</v>
      </c>
      <c r="D458" s="1" t="s">
        <v>72</v>
      </c>
      <c r="E458">
        <v>11.99</v>
      </c>
      <c r="F458">
        <v>195</v>
      </c>
      <c r="G458" t="s">
        <v>100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43</v>
      </c>
      <c r="N458" t="s">
        <v>56</v>
      </c>
      <c r="O458" t="s">
        <v>78</v>
      </c>
      <c r="P458">
        <v>78</v>
      </c>
      <c r="Q458">
        <v>4.9000000000000004</v>
      </c>
      <c r="R458" t="b">
        <v>0</v>
      </c>
      <c r="S458" t="s">
        <v>30</v>
      </c>
      <c r="T458">
        <v>708</v>
      </c>
      <c r="U458" t="s">
        <v>76</v>
      </c>
      <c r="V458" t="s">
        <v>69</v>
      </c>
      <c r="W458" t="s">
        <v>40</v>
      </c>
    </row>
    <row r="459" spans="1:23">
      <c r="A459">
        <v>2154</v>
      </c>
      <c r="B459" t="s">
        <v>96</v>
      </c>
      <c r="C459" s="1">
        <v>45242</v>
      </c>
      <c r="D459" s="1">
        <v>45424</v>
      </c>
      <c r="E459">
        <v>7.99</v>
      </c>
      <c r="F459">
        <v>454</v>
      </c>
      <c r="G459" t="s">
        <v>36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49</v>
      </c>
      <c r="N459" t="s">
        <v>56</v>
      </c>
      <c r="O459" t="s">
        <v>45</v>
      </c>
      <c r="P459">
        <v>36</v>
      </c>
      <c r="Q459">
        <v>3.4</v>
      </c>
      <c r="R459" t="b">
        <v>0</v>
      </c>
      <c r="S459" t="s">
        <v>30</v>
      </c>
      <c r="T459">
        <v>4651</v>
      </c>
      <c r="U459" t="s">
        <v>76</v>
      </c>
      <c r="V459" t="s">
        <v>32</v>
      </c>
      <c r="W459" t="s">
        <v>40</v>
      </c>
    </row>
    <row r="460" spans="1:23">
      <c r="A460">
        <v>5013</v>
      </c>
      <c r="B460" t="s">
        <v>513</v>
      </c>
      <c r="C460" s="1" t="s">
        <v>514</v>
      </c>
      <c r="D460" s="1" t="s">
        <v>156</v>
      </c>
      <c r="E460">
        <v>15.99</v>
      </c>
      <c r="F460">
        <v>187</v>
      </c>
      <c r="G460" t="s">
        <v>36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49</v>
      </c>
      <c r="N460" t="s">
        <v>28</v>
      </c>
      <c r="O460" t="s">
        <v>64</v>
      </c>
      <c r="P460">
        <v>8</v>
      </c>
      <c r="Q460">
        <v>4.7</v>
      </c>
      <c r="R460" t="b">
        <v>0</v>
      </c>
      <c r="S460" t="s">
        <v>30</v>
      </c>
      <c r="T460">
        <v>4397</v>
      </c>
      <c r="U460" t="s">
        <v>31</v>
      </c>
      <c r="V460" t="s">
        <v>79</v>
      </c>
      <c r="W460" t="s">
        <v>33</v>
      </c>
    </row>
    <row r="461" spans="1:23">
      <c r="A461">
        <v>4211</v>
      </c>
      <c r="B461" t="s">
        <v>515</v>
      </c>
      <c r="C461" s="1">
        <v>45483</v>
      </c>
      <c r="D461" s="1">
        <v>45303</v>
      </c>
      <c r="E461">
        <v>7.99</v>
      </c>
      <c r="F461">
        <v>277</v>
      </c>
      <c r="G461" t="s">
        <v>100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92</v>
      </c>
      <c r="N461" t="s">
        <v>28</v>
      </c>
      <c r="O461" t="s">
        <v>57</v>
      </c>
      <c r="P461">
        <v>92</v>
      </c>
      <c r="Q461">
        <v>4.7</v>
      </c>
      <c r="R461" t="b">
        <v>0</v>
      </c>
      <c r="S461" t="s">
        <v>30</v>
      </c>
      <c r="T461">
        <v>1360</v>
      </c>
      <c r="U461" t="s">
        <v>65</v>
      </c>
      <c r="V461" t="s">
        <v>59</v>
      </c>
      <c r="W461" t="s">
        <v>93</v>
      </c>
    </row>
    <row r="462" spans="1:23">
      <c r="A462">
        <v>4408</v>
      </c>
      <c r="B462" t="s">
        <v>238</v>
      </c>
      <c r="C462" s="1" t="s">
        <v>516</v>
      </c>
      <c r="D462" s="1" t="s">
        <v>90</v>
      </c>
      <c r="E462">
        <v>7.99</v>
      </c>
      <c r="F462">
        <v>257</v>
      </c>
      <c r="G462" t="s">
        <v>100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49</v>
      </c>
      <c r="N462" t="s">
        <v>56</v>
      </c>
      <c r="O462" t="s">
        <v>45</v>
      </c>
      <c r="P462">
        <v>88</v>
      </c>
      <c r="Q462">
        <v>3.9</v>
      </c>
      <c r="R462" t="b">
        <v>1</v>
      </c>
      <c r="S462" t="s">
        <v>30</v>
      </c>
      <c r="T462">
        <v>4155</v>
      </c>
      <c r="U462" t="s">
        <v>38</v>
      </c>
      <c r="V462" t="s">
        <v>59</v>
      </c>
      <c r="W462" t="s">
        <v>60</v>
      </c>
    </row>
    <row r="463" spans="1:23">
      <c r="A463">
        <v>8473</v>
      </c>
      <c r="B463" t="s">
        <v>517</v>
      </c>
      <c r="C463" s="1" t="s">
        <v>308</v>
      </c>
      <c r="D463" s="1">
        <v>45638</v>
      </c>
      <c r="E463">
        <v>11.99</v>
      </c>
      <c r="F463">
        <v>12</v>
      </c>
      <c r="G463" t="s">
        <v>51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92</v>
      </c>
      <c r="N463" t="s">
        <v>44</v>
      </c>
      <c r="O463" t="s">
        <v>45</v>
      </c>
      <c r="P463">
        <v>24</v>
      </c>
      <c r="Q463">
        <v>4.0999999999999996</v>
      </c>
      <c r="R463" t="b">
        <v>0</v>
      </c>
      <c r="S463" t="s">
        <v>30</v>
      </c>
      <c r="T463">
        <v>1289</v>
      </c>
      <c r="U463" t="s">
        <v>31</v>
      </c>
      <c r="V463" t="s">
        <v>59</v>
      </c>
      <c r="W463" t="s">
        <v>60</v>
      </c>
    </row>
    <row r="464" spans="1:23">
      <c r="A464">
        <v>7510</v>
      </c>
      <c r="B464" t="s">
        <v>518</v>
      </c>
      <c r="C464" s="1" t="s">
        <v>519</v>
      </c>
      <c r="D464" s="1" t="s">
        <v>168</v>
      </c>
      <c r="E464">
        <v>7.99</v>
      </c>
      <c r="F464">
        <v>362</v>
      </c>
      <c r="G464" t="s">
        <v>100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92</v>
      </c>
      <c r="N464" t="s">
        <v>28</v>
      </c>
      <c r="O464" t="s">
        <v>37</v>
      </c>
      <c r="P464">
        <v>38</v>
      </c>
      <c r="Q464">
        <v>4.8</v>
      </c>
      <c r="R464" t="b">
        <v>0</v>
      </c>
      <c r="S464" t="s">
        <v>30</v>
      </c>
      <c r="T464">
        <v>2922</v>
      </c>
      <c r="U464" t="s">
        <v>65</v>
      </c>
      <c r="V464" t="s">
        <v>32</v>
      </c>
      <c r="W464" t="s">
        <v>93</v>
      </c>
    </row>
    <row r="465" spans="1:23">
      <c r="A465">
        <v>5376</v>
      </c>
      <c r="B465" t="s">
        <v>224</v>
      </c>
      <c r="C465" s="1">
        <v>45111</v>
      </c>
      <c r="D465" s="1" t="s">
        <v>214</v>
      </c>
      <c r="E465">
        <v>7.99</v>
      </c>
      <c r="F465">
        <v>89</v>
      </c>
      <c r="G465" t="s">
        <v>100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74</v>
      </c>
      <c r="N465" t="s">
        <v>28</v>
      </c>
      <c r="O465" t="s">
        <v>78</v>
      </c>
      <c r="P465">
        <v>7</v>
      </c>
      <c r="Q465">
        <v>3.7</v>
      </c>
      <c r="R465" t="b">
        <v>0</v>
      </c>
      <c r="S465" t="s">
        <v>30</v>
      </c>
      <c r="T465">
        <v>28</v>
      </c>
      <c r="U465" t="s">
        <v>65</v>
      </c>
      <c r="V465" t="s">
        <v>32</v>
      </c>
      <c r="W465" t="s">
        <v>60</v>
      </c>
    </row>
    <row r="466" spans="1:23">
      <c r="A466">
        <v>8005</v>
      </c>
      <c r="B466" t="s">
        <v>254</v>
      </c>
      <c r="C466" s="1">
        <v>45141</v>
      </c>
      <c r="D466" s="1" t="s">
        <v>42</v>
      </c>
      <c r="E466">
        <v>7.99</v>
      </c>
      <c r="F466">
        <v>123</v>
      </c>
      <c r="G466" t="s">
        <v>51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49</v>
      </c>
      <c r="N466" t="s">
        <v>28</v>
      </c>
      <c r="O466" t="s">
        <v>57</v>
      </c>
      <c r="P466">
        <v>85</v>
      </c>
      <c r="Q466">
        <v>4</v>
      </c>
      <c r="R466" t="b">
        <v>0</v>
      </c>
      <c r="S466" t="s">
        <v>30</v>
      </c>
      <c r="T466">
        <v>3083</v>
      </c>
      <c r="U466" t="s">
        <v>58</v>
      </c>
      <c r="V466" t="s">
        <v>69</v>
      </c>
      <c r="W466" t="s">
        <v>33</v>
      </c>
    </row>
    <row r="467" spans="1:23">
      <c r="A467">
        <v>7439</v>
      </c>
      <c r="B467" t="s">
        <v>199</v>
      </c>
      <c r="C467" s="1" t="s">
        <v>520</v>
      </c>
      <c r="D467" s="1">
        <v>45424</v>
      </c>
      <c r="E467">
        <v>15.99</v>
      </c>
      <c r="F467">
        <v>427</v>
      </c>
      <c r="G467" t="s">
        <v>73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27</v>
      </c>
      <c r="N467" t="s">
        <v>28</v>
      </c>
      <c r="O467" t="s">
        <v>64</v>
      </c>
      <c r="P467">
        <v>18</v>
      </c>
      <c r="Q467">
        <v>3.8</v>
      </c>
      <c r="R467" t="b">
        <v>1</v>
      </c>
      <c r="S467" t="s">
        <v>30</v>
      </c>
      <c r="T467">
        <v>547</v>
      </c>
      <c r="U467" t="s">
        <v>76</v>
      </c>
      <c r="V467" t="s">
        <v>79</v>
      </c>
      <c r="W467" t="s">
        <v>33</v>
      </c>
    </row>
    <row r="468" spans="1:23">
      <c r="A468">
        <v>3699</v>
      </c>
      <c r="B468" t="s">
        <v>411</v>
      </c>
      <c r="C468" s="1" t="s">
        <v>437</v>
      </c>
      <c r="D468" s="1" t="s">
        <v>156</v>
      </c>
      <c r="E468">
        <v>15.99</v>
      </c>
      <c r="F468">
        <v>439</v>
      </c>
      <c r="G468" t="s">
        <v>100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92</v>
      </c>
      <c r="N468" t="s">
        <v>75</v>
      </c>
      <c r="O468" t="s">
        <v>29</v>
      </c>
      <c r="P468">
        <v>58</v>
      </c>
      <c r="Q468">
        <v>4.9000000000000004</v>
      </c>
      <c r="R468" t="b">
        <v>0</v>
      </c>
      <c r="S468" t="s">
        <v>30</v>
      </c>
      <c r="T468">
        <v>239</v>
      </c>
      <c r="U468" t="s">
        <v>76</v>
      </c>
      <c r="V468" t="s">
        <v>32</v>
      </c>
      <c r="W468" t="s">
        <v>93</v>
      </c>
    </row>
    <row r="469" spans="1:23">
      <c r="A469">
        <v>3162</v>
      </c>
      <c r="B469" t="s">
        <v>157</v>
      </c>
      <c r="C469" s="1" t="s">
        <v>229</v>
      </c>
      <c r="D469" s="1" t="s">
        <v>25</v>
      </c>
      <c r="E469">
        <v>15.99</v>
      </c>
      <c r="F469">
        <v>396</v>
      </c>
      <c r="G469" t="s">
        <v>63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27</v>
      </c>
      <c r="N469" t="s">
        <v>56</v>
      </c>
      <c r="O469" t="s">
        <v>78</v>
      </c>
      <c r="P469">
        <v>11</v>
      </c>
      <c r="Q469">
        <v>3.4</v>
      </c>
      <c r="R469" t="b">
        <v>0</v>
      </c>
      <c r="S469" t="s">
        <v>30</v>
      </c>
      <c r="T469">
        <v>3516</v>
      </c>
      <c r="U469" t="s">
        <v>31</v>
      </c>
      <c r="V469" t="s">
        <v>32</v>
      </c>
      <c r="W469" t="s">
        <v>40</v>
      </c>
    </row>
    <row r="470" spans="1:23">
      <c r="A470">
        <v>8798</v>
      </c>
      <c r="B470" t="s">
        <v>521</v>
      </c>
      <c r="C470" s="1" t="s">
        <v>522</v>
      </c>
      <c r="D470" s="1" t="s">
        <v>35</v>
      </c>
      <c r="E470">
        <v>15.99</v>
      </c>
      <c r="F470">
        <v>453</v>
      </c>
      <c r="G470" t="s">
        <v>63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43</v>
      </c>
      <c r="N470" t="s">
        <v>28</v>
      </c>
      <c r="O470" t="s">
        <v>64</v>
      </c>
      <c r="P470">
        <v>72</v>
      </c>
      <c r="Q470">
        <v>4.0999999999999996</v>
      </c>
      <c r="R470" t="b">
        <v>1</v>
      </c>
      <c r="S470" t="s">
        <v>30</v>
      </c>
      <c r="T470">
        <v>4031</v>
      </c>
      <c r="U470" t="s">
        <v>76</v>
      </c>
      <c r="V470" t="s">
        <v>39</v>
      </c>
      <c r="W470" t="s">
        <v>40</v>
      </c>
    </row>
    <row r="471" spans="1:23">
      <c r="A471">
        <v>6400</v>
      </c>
      <c r="B471" t="s">
        <v>177</v>
      </c>
      <c r="C471" s="1" t="s">
        <v>346</v>
      </c>
      <c r="D471" s="1" t="s">
        <v>42</v>
      </c>
      <c r="E471">
        <v>11.99</v>
      </c>
      <c r="F471">
        <v>356</v>
      </c>
      <c r="G471" t="s">
        <v>63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27</v>
      </c>
      <c r="N471" t="s">
        <v>56</v>
      </c>
      <c r="O471" t="s">
        <v>45</v>
      </c>
      <c r="P471">
        <v>56</v>
      </c>
      <c r="Q471">
        <v>3.4</v>
      </c>
      <c r="R471" t="b">
        <v>1</v>
      </c>
      <c r="S471" t="s">
        <v>30</v>
      </c>
      <c r="T471">
        <v>3408</v>
      </c>
      <c r="U471" t="s">
        <v>76</v>
      </c>
      <c r="V471" t="s">
        <v>32</v>
      </c>
      <c r="W471" t="s">
        <v>40</v>
      </c>
    </row>
    <row r="472" spans="1:23">
      <c r="A472">
        <v>9404</v>
      </c>
      <c r="B472" t="s">
        <v>157</v>
      </c>
      <c r="C472" s="1">
        <v>45208</v>
      </c>
      <c r="D472" s="1">
        <v>45363</v>
      </c>
      <c r="E472">
        <v>15.99</v>
      </c>
      <c r="F472">
        <v>192</v>
      </c>
      <c r="G472" t="s">
        <v>48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74</v>
      </c>
      <c r="N472" t="s">
        <v>28</v>
      </c>
      <c r="O472" t="s">
        <v>57</v>
      </c>
      <c r="P472">
        <v>87</v>
      </c>
      <c r="Q472">
        <v>3.1</v>
      </c>
      <c r="R472" t="b">
        <v>0</v>
      </c>
      <c r="S472" t="s">
        <v>30</v>
      </c>
      <c r="T472">
        <v>3849</v>
      </c>
      <c r="U472" t="s">
        <v>58</v>
      </c>
      <c r="V472" t="s">
        <v>69</v>
      </c>
      <c r="W472" t="s">
        <v>93</v>
      </c>
    </row>
    <row r="473" spans="1:23">
      <c r="A473">
        <v>8151</v>
      </c>
      <c r="B473" t="s">
        <v>106</v>
      </c>
      <c r="C473" s="1" t="s">
        <v>523</v>
      </c>
      <c r="D473" s="1" t="s">
        <v>156</v>
      </c>
      <c r="E473">
        <v>11.99</v>
      </c>
      <c r="F473">
        <v>483</v>
      </c>
      <c r="G473" t="s">
        <v>100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43</v>
      </c>
      <c r="N473" t="s">
        <v>75</v>
      </c>
      <c r="O473" t="s">
        <v>45</v>
      </c>
      <c r="P473">
        <v>29</v>
      </c>
      <c r="Q473">
        <v>3.8</v>
      </c>
      <c r="R473" t="b">
        <v>0</v>
      </c>
      <c r="S473" t="s">
        <v>30</v>
      </c>
      <c r="T473">
        <v>1813</v>
      </c>
      <c r="U473" t="s">
        <v>38</v>
      </c>
      <c r="V473" t="s">
        <v>32</v>
      </c>
      <c r="W473" t="s">
        <v>40</v>
      </c>
    </row>
    <row r="474" spans="1:23">
      <c r="A474">
        <v>7742</v>
      </c>
      <c r="B474" t="s">
        <v>153</v>
      </c>
      <c r="C474" s="1" t="s">
        <v>420</v>
      </c>
      <c r="D474" s="1" t="s">
        <v>82</v>
      </c>
      <c r="E474">
        <v>11.99</v>
      </c>
      <c r="F474">
        <v>17</v>
      </c>
      <c r="G474" t="s">
        <v>73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27</v>
      </c>
      <c r="N474" t="s">
        <v>28</v>
      </c>
      <c r="O474" t="s">
        <v>37</v>
      </c>
      <c r="P474">
        <v>15</v>
      </c>
      <c r="Q474">
        <v>3.6</v>
      </c>
      <c r="R474" t="b">
        <v>1</v>
      </c>
      <c r="S474" t="s">
        <v>30</v>
      </c>
      <c r="T474">
        <v>2084</v>
      </c>
      <c r="U474" t="s">
        <v>76</v>
      </c>
      <c r="V474" t="s">
        <v>59</v>
      </c>
      <c r="W474" t="s">
        <v>60</v>
      </c>
    </row>
    <row r="475" spans="1:23">
      <c r="A475">
        <v>4553</v>
      </c>
      <c r="B475" t="s">
        <v>387</v>
      </c>
      <c r="C475" s="1" t="s">
        <v>524</v>
      </c>
      <c r="D475" s="1" t="s">
        <v>99</v>
      </c>
      <c r="E475">
        <v>7.99</v>
      </c>
      <c r="F475">
        <v>272</v>
      </c>
      <c r="G475" t="s">
        <v>51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55</v>
      </c>
      <c r="N475" t="s">
        <v>44</v>
      </c>
      <c r="O475" t="s">
        <v>45</v>
      </c>
      <c r="P475">
        <v>40</v>
      </c>
      <c r="Q475">
        <v>4.3</v>
      </c>
      <c r="R475" t="b">
        <v>1</v>
      </c>
      <c r="S475" t="s">
        <v>30</v>
      </c>
      <c r="T475">
        <v>749</v>
      </c>
      <c r="U475" t="s">
        <v>58</v>
      </c>
      <c r="V475" t="s">
        <v>39</v>
      </c>
      <c r="W475" t="s">
        <v>60</v>
      </c>
    </row>
    <row r="476" spans="1:23">
      <c r="A476">
        <v>6919</v>
      </c>
      <c r="B476" t="s">
        <v>525</v>
      </c>
      <c r="C476" s="1" t="s">
        <v>308</v>
      </c>
      <c r="D476" s="1" t="s">
        <v>156</v>
      </c>
      <c r="E476">
        <v>7.99</v>
      </c>
      <c r="F476">
        <v>195</v>
      </c>
      <c r="G476" t="s">
        <v>26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43</v>
      </c>
      <c r="N476" t="s">
        <v>28</v>
      </c>
      <c r="O476" t="s">
        <v>37</v>
      </c>
      <c r="P476">
        <v>68</v>
      </c>
      <c r="Q476">
        <v>4.4000000000000004</v>
      </c>
      <c r="R476" t="b">
        <v>0</v>
      </c>
      <c r="S476" t="s">
        <v>30</v>
      </c>
      <c r="T476">
        <v>3157</v>
      </c>
      <c r="U476" t="s">
        <v>58</v>
      </c>
      <c r="V476" t="s">
        <v>59</v>
      </c>
      <c r="W476" t="s">
        <v>60</v>
      </c>
    </row>
    <row r="477" spans="1:23">
      <c r="A477">
        <v>7168</v>
      </c>
      <c r="B477" t="s">
        <v>367</v>
      </c>
      <c r="C477" s="1">
        <v>45566</v>
      </c>
      <c r="D477" s="1" t="s">
        <v>134</v>
      </c>
      <c r="E477">
        <v>11.99</v>
      </c>
      <c r="F477">
        <v>416</v>
      </c>
      <c r="G477" t="s">
        <v>48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92</v>
      </c>
      <c r="N477" t="s">
        <v>28</v>
      </c>
      <c r="O477" t="s">
        <v>78</v>
      </c>
      <c r="P477">
        <v>41</v>
      </c>
      <c r="Q477">
        <v>3.3</v>
      </c>
      <c r="R477" t="b">
        <v>0</v>
      </c>
      <c r="S477" t="s">
        <v>30</v>
      </c>
      <c r="T477">
        <v>173</v>
      </c>
      <c r="U477" t="s">
        <v>31</v>
      </c>
      <c r="V477" t="s">
        <v>59</v>
      </c>
      <c r="W477" t="s">
        <v>40</v>
      </c>
    </row>
    <row r="478" spans="1:23">
      <c r="A478">
        <v>6474</v>
      </c>
      <c r="B478" t="s">
        <v>272</v>
      </c>
      <c r="C478" s="1" t="s">
        <v>526</v>
      </c>
      <c r="D478" s="1" t="s">
        <v>54</v>
      </c>
      <c r="E478">
        <v>15.99</v>
      </c>
      <c r="F478">
        <v>459</v>
      </c>
      <c r="G478" t="s">
        <v>51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49</v>
      </c>
      <c r="N478" t="s">
        <v>28</v>
      </c>
      <c r="O478" t="s">
        <v>37</v>
      </c>
      <c r="P478">
        <v>92</v>
      </c>
      <c r="Q478">
        <v>3.7</v>
      </c>
      <c r="R478" t="b">
        <v>0</v>
      </c>
      <c r="S478" t="s">
        <v>30</v>
      </c>
      <c r="T478">
        <v>2925</v>
      </c>
      <c r="U478" t="s">
        <v>38</v>
      </c>
      <c r="V478" t="s">
        <v>79</v>
      </c>
      <c r="W478" t="s">
        <v>33</v>
      </c>
    </row>
    <row r="479" spans="1:23">
      <c r="A479">
        <v>4242</v>
      </c>
      <c r="B479" t="s">
        <v>41</v>
      </c>
      <c r="C479" s="1">
        <v>45088</v>
      </c>
      <c r="D479" s="1" t="s">
        <v>35</v>
      </c>
      <c r="E479">
        <v>7.99</v>
      </c>
      <c r="F479">
        <v>168</v>
      </c>
      <c r="G479" t="s">
        <v>63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43</v>
      </c>
      <c r="N479" t="s">
        <v>56</v>
      </c>
      <c r="O479" t="s">
        <v>29</v>
      </c>
      <c r="P479">
        <v>82</v>
      </c>
      <c r="Q479">
        <v>4.3</v>
      </c>
      <c r="R479" t="b">
        <v>0</v>
      </c>
      <c r="S479" t="s">
        <v>30</v>
      </c>
      <c r="T479">
        <v>3182</v>
      </c>
      <c r="U479" t="s">
        <v>76</v>
      </c>
      <c r="V479" t="s">
        <v>39</v>
      </c>
      <c r="W479" t="s">
        <v>33</v>
      </c>
    </row>
    <row r="480" spans="1:23">
      <c r="A480">
        <v>3395</v>
      </c>
      <c r="B480" t="s">
        <v>157</v>
      </c>
      <c r="C480" s="1" t="s">
        <v>315</v>
      </c>
      <c r="D480" s="1" t="s">
        <v>168</v>
      </c>
      <c r="E480">
        <v>7.99</v>
      </c>
      <c r="F480">
        <v>307</v>
      </c>
      <c r="G480" t="s">
        <v>100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55</v>
      </c>
      <c r="N480" t="s">
        <v>75</v>
      </c>
      <c r="O480" t="s">
        <v>45</v>
      </c>
      <c r="P480">
        <v>11</v>
      </c>
      <c r="Q480">
        <v>4.5</v>
      </c>
      <c r="R480" t="b">
        <v>1</v>
      </c>
      <c r="S480" t="s">
        <v>30</v>
      </c>
      <c r="T480">
        <v>2432</v>
      </c>
      <c r="U480" t="s">
        <v>58</v>
      </c>
      <c r="V480" t="s">
        <v>59</v>
      </c>
      <c r="W480" t="s">
        <v>40</v>
      </c>
    </row>
    <row r="481" spans="1:23">
      <c r="A481">
        <v>8694</v>
      </c>
      <c r="B481" t="s">
        <v>527</v>
      </c>
      <c r="C481" s="1" t="s">
        <v>528</v>
      </c>
      <c r="D481" s="1">
        <v>45363</v>
      </c>
      <c r="E481">
        <v>15.99</v>
      </c>
      <c r="F481">
        <v>270</v>
      </c>
      <c r="G481" t="s">
        <v>73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68</v>
      </c>
      <c r="N481" t="s">
        <v>28</v>
      </c>
      <c r="O481" t="s">
        <v>78</v>
      </c>
      <c r="P481">
        <v>51</v>
      </c>
      <c r="Q481">
        <v>4.5</v>
      </c>
      <c r="R481" t="b">
        <v>1</v>
      </c>
      <c r="S481" t="s">
        <v>30</v>
      </c>
      <c r="T481">
        <v>414</v>
      </c>
      <c r="U481" t="s">
        <v>58</v>
      </c>
      <c r="V481" t="s">
        <v>59</v>
      </c>
      <c r="W481" t="s">
        <v>60</v>
      </c>
    </row>
    <row r="482" spans="1:23">
      <c r="A482">
        <v>7150</v>
      </c>
      <c r="B482" t="s">
        <v>138</v>
      </c>
      <c r="C482" s="1" t="s">
        <v>180</v>
      </c>
      <c r="D482" s="1">
        <v>45485</v>
      </c>
      <c r="E482">
        <v>7.99</v>
      </c>
      <c r="F482">
        <v>358</v>
      </c>
      <c r="G482" t="s">
        <v>26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55</v>
      </c>
      <c r="N482" t="s">
        <v>44</v>
      </c>
      <c r="O482" t="s">
        <v>64</v>
      </c>
      <c r="P482">
        <v>35</v>
      </c>
      <c r="Q482">
        <v>3.9</v>
      </c>
      <c r="R482" t="b">
        <v>1</v>
      </c>
      <c r="S482" t="s">
        <v>30</v>
      </c>
      <c r="T482">
        <v>888</v>
      </c>
      <c r="U482" t="s">
        <v>65</v>
      </c>
      <c r="V482" t="s">
        <v>69</v>
      </c>
      <c r="W482" t="s">
        <v>33</v>
      </c>
    </row>
    <row r="483" spans="1:23">
      <c r="A483">
        <v>4111</v>
      </c>
      <c r="B483" t="s">
        <v>359</v>
      </c>
      <c r="C483" s="1" t="s">
        <v>529</v>
      </c>
      <c r="D483" s="1" t="s">
        <v>99</v>
      </c>
      <c r="E483">
        <v>11.99</v>
      </c>
      <c r="F483">
        <v>301</v>
      </c>
      <c r="G483" t="s">
        <v>48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74</v>
      </c>
      <c r="N483" t="s">
        <v>56</v>
      </c>
      <c r="O483" t="s">
        <v>45</v>
      </c>
      <c r="P483">
        <v>83</v>
      </c>
      <c r="Q483">
        <v>4.9000000000000004</v>
      </c>
      <c r="R483" t="b">
        <v>0</v>
      </c>
      <c r="S483" t="s">
        <v>30</v>
      </c>
      <c r="T483">
        <v>1058</v>
      </c>
      <c r="U483" t="s">
        <v>58</v>
      </c>
      <c r="V483" t="s">
        <v>79</v>
      </c>
      <c r="W483" t="s">
        <v>60</v>
      </c>
    </row>
    <row r="484" spans="1:23">
      <c r="A484">
        <v>3532</v>
      </c>
      <c r="B484" t="s">
        <v>357</v>
      </c>
      <c r="C484" s="1" t="s">
        <v>530</v>
      </c>
      <c r="D484" s="1" t="s">
        <v>35</v>
      </c>
      <c r="E484">
        <v>7.99</v>
      </c>
      <c r="F484">
        <v>277</v>
      </c>
      <c r="G484" t="s">
        <v>26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27</v>
      </c>
      <c r="N484" t="s">
        <v>44</v>
      </c>
      <c r="O484" t="s">
        <v>64</v>
      </c>
      <c r="P484">
        <v>79</v>
      </c>
      <c r="Q484">
        <v>3.9</v>
      </c>
      <c r="R484" t="b">
        <v>1</v>
      </c>
      <c r="S484" t="s">
        <v>30</v>
      </c>
      <c r="T484">
        <v>2067</v>
      </c>
      <c r="U484" t="s">
        <v>58</v>
      </c>
      <c r="V484" t="s">
        <v>69</v>
      </c>
      <c r="W484" t="s">
        <v>40</v>
      </c>
    </row>
    <row r="485" spans="1:23">
      <c r="A485">
        <v>5375</v>
      </c>
      <c r="B485" t="s">
        <v>531</v>
      </c>
      <c r="C485" s="1" t="s">
        <v>163</v>
      </c>
      <c r="D485" s="1" t="s">
        <v>90</v>
      </c>
      <c r="E485">
        <v>15.99</v>
      </c>
      <c r="F485">
        <v>423</v>
      </c>
      <c r="G485" t="s">
        <v>48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49</v>
      </c>
      <c r="N485" t="s">
        <v>44</v>
      </c>
      <c r="O485" t="s">
        <v>64</v>
      </c>
      <c r="P485">
        <v>44</v>
      </c>
      <c r="Q485">
        <v>4.5999999999999996</v>
      </c>
      <c r="R485" t="b">
        <v>0</v>
      </c>
      <c r="S485" t="s">
        <v>30</v>
      </c>
      <c r="T485">
        <v>3763</v>
      </c>
      <c r="U485" t="s">
        <v>65</v>
      </c>
      <c r="V485" t="s">
        <v>69</v>
      </c>
      <c r="W485" t="s">
        <v>60</v>
      </c>
    </row>
    <row r="486" spans="1:23">
      <c r="A486">
        <v>8881</v>
      </c>
      <c r="B486" t="s">
        <v>275</v>
      </c>
      <c r="C486" s="1" t="s">
        <v>454</v>
      </c>
      <c r="D486" s="1" t="s">
        <v>156</v>
      </c>
      <c r="E486">
        <v>11.99</v>
      </c>
      <c r="F486">
        <v>197</v>
      </c>
      <c r="G486" t="s">
        <v>36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92</v>
      </c>
      <c r="N486" t="s">
        <v>75</v>
      </c>
      <c r="O486" t="s">
        <v>64</v>
      </c>
      <c r="P486">
        <v>3</v>
      </c>
      <c r="Q486">
        <v>4.5</v>
      </c>
      <c r="R486" t="b">
        <v>0</v>
      </c>
      <c r="S486" t="s">
        <v>30</v>
      </c>
      <c r="T486">
        <v>957</v>
      </c>
      <c r="U486" t="s">
        <v>38</v>
      </c>
      <c r="V486" t="s">
        <v>69</v>
      </c>
      <c r="W486" t="s">
        <v>60</v>
      </c>
    </row>
    <row r="487" spans="1:23">
      <c r="A487">
        <v>1235</v>
      </c>
      <c r="B487" t="s">
        <v>101</v>
      </c>
      <c r="C487" s="1" t="s">
        <v>526</v>
      </c>
      <c r="D487" s="1" t="s">
        <v>99</v>
      </c>
      <c r="E487">
        <v>15.99</v>
      </c>
      <c r="F487">
        <v>100</v>
      </c>
      <c r="G487" t="s">
        <v>51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55</v>
      </c>
      <c r="N487" t="s">
        <v>44</v>
      </c>
      <c r="O487" t="s">
        <v>45</v>
      </c>
      <c r="P487">
        <v>68</v>
      </c>
      <c r="Q487">
        <v>3.7</v>
      </c>
      <c r="R487" t="b">
        <v>0</v>
      </c>
      <c r="S487" t="s">
        <v>30</v>
      </c>
      <c r="T487">
        <v>3003</v>
      </c>
      <c r="U487" t="s">
        <v>76</v>
      </c>
      <c r="V487" t="s">
        <v>79</v>
      </c>
      <c r="W487" t="s">
        <v>33</v>
      </c>
    </row>
    <row r="488" spans="1:23">
      <c r="A488">
        <v>2533</v>
      </c>
      <c r="B488" t="s">
        <v>311</v>
      </c>
      <c r="C488" s="1">
        <v>44996</v>
      </c>
      <c r="D488" s="1" t="s">
        <v>109</v>
      </c>
      <c r="E488">
        <v>15.99</v>
      </c>
      <c r="F488">
        <v>338</v>
      </c>
      <c r="G488" t="s">
        <v>26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68</v>
      </c>
      <c r="N488" t="s">
        <v>56</v>
      </c>
      <c r="O488" t="s">
        <v>78</v>
      </c>
      <c r="P488">
        <v>75</v>
      </c>
      <c r="Q488">
        <v>4.5999999999999996</v>
      </c>
      <c r="R488" t="b">
        <v>1</v>
      </c>
      <c r="S488" t="s">
        <v>30</v>
      </c>
      <c r="T488">
        <v>354</v>
      </c>
      <c r="U488" t="s">
        <v>58</v>
      </c>
      <c r="V488" t="s">
        <v>59</v>
      </c>
      <c r="W488" t="s">
        <v>93</v>
      </c>
    </row>
    <row r="489" spans="1:23">
      <c r="A489">
        <v>2734</v>
      </c>
      <c r="B489" t="s">
        <v>288</v>
      </c>
      <c r="C489" s="1">
        <v>45449</v>
      </c>
      <c r="D489" s="1">
        <v>45303</v>
      </c>
      <c r="E489">
        <v>11.99</v>
      </c>
      <c r="F489">
        <v>130</v>
      </c>
      <c r="G489" t="s">
        <v>51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92</v>
      </c>
      <c r="N489" t="s">
        <v>56</v>
      </c>
      <c r="O489" t="s">
        <v>78</v>
      </c>
      <c r="P489">
        <v>53</v>
      </c>
      <c r="Q489">
        <v>4.5</v>
      </c>
      <c r="R489" t="b">
        <v>1</v>
      </c>
      <c r="S489" t="s">
        <v>30</v>
      </c>
      <c r="T489">
        <v>4922</v>
      </c>
      <c r="U489" t="s">
        <v>76</v>
      </c>
      <c r="V489" t="s">
        <v>32</v>
      </c>
      <c r="W489" t="s">
        <v>93</v>
      </c>
    </row>
    <row r="490" spans="1:23">
      <c r="A490">
        <v>4129</v>
      </c>
      <c r="B490" t="s">
        <v>240</v>
      </c>
      <c r="C490" s="1" t="s">
        <v>198</v>
      </c>
      <c r="D490" s="1" t="s">
        <v>87</v>
      </c>
      <c r="E490">
        <v>11.99</v>
      </c>
      <c r="F490">
        <v>383</v>
      </c>
      <c r="G490" t="s">
        <v>63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92</v>
      </c>
      <c r="N490" t="s">
        <v>28</v>
      </c>
      <c r="O490" t="s">
        <v>45</v>
      </c>
      <c r="P490">
        <v>68</v>
      </c>
      <c r="Q490">
        <v>3.9</v>
      </c>
      <c r="R490" t="b">
        <v>1</v>
      </c>
      <c r="S490" t="s">
        <v>30</v>
      </c>
      <c r="T490">
        <v>2083</v>
      </c>
      <c r="U490" t="s">
        <v>65</v>
      </c>
      <c r="V490" t="s">
        <v>59</v>
      </c>
      <c r="W490" t="s">
        <v>40</v>
      </c>
    </row>
    <row r="491" spans="1:23">
      <c r="A491">
        <v>3762</v>
      </c>
      <c r="B491" t="s">
        <v>318</v>
      </c>
      <c r="C491" s="1" t="s">
        <v>433</v>
      </c>
      <c r="D491" s="1" t="s">
        <v>90</v>
      </c>
      <c r="E491">
        <v>11.99</v>
      </c>
      <c r="F491">
        <v>411</v>
      </c>
      <c r="G491" t="s">
        <v>26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68</v>
      </c>
      <c r="N491" t="s">
        <v>28</v>
      </c>
      <c r="O491" t="s">
        <v>78</v>
      </c>
      <c r="P491">
        <v>66</v>
      </c>
      <c r="Q491">
        <v>3.9</v>
      </c>
      <c r="R491" t="b">
        <v>1</v>
      </c>
      <c r="S491" t="s">
        <v>30</v>
      </c>
      <c r="T491">
        <v>2098</v>
      </c>
      <c r="U491" t="s">
        <v>38</v>
      </c>
      <c r="V491" t="s">
        <v>69</v>
      </c>
      <c r="W491" t="s">
        <v>33</v>
      </c>
    </row>
    <row r="492" spans="1:23">
      <c r="A492">
        <v>4341</v>
      </c>
      <c r="B492" t="s">
        <v>532</v>
      </c>
      <c r="C492" s="1">
        <v>44932</v>
      </c>
      <c r="D492" s="1">
        <v>45485</v>
      </c>
      <c r="E492">
        <v>11.99</v>
      </c>
      <c r="F492">
        <v>347</v>
      </c>
      <c r="G492" t="s">
        <v>63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68</v>
      </c>
      <c r="N492" t="s">
        <v>28</v>
      </c>
      <c r="O492" t="s">
        <v>57</v>
      </c>
      <c r="P492">
        <v>31</v>
      </c>
      <c r="Q492">
        <v>3.1</v>
      </c>
      <c r="R492" t="b">
        <v>0</v>
      </c>
      <c r="S492" t="s">
        <v>30</v>
      </c>
      <c r="T492">
        <v>2022</v>
      </c>
      <c r="U492" t="s">
        <v>31</v>
      </c>
      <c r="V492" t="s">
        <v>32</v>
      </c>
      <c r="W492" t="s">
        <v>40</v>
      </c>
    </row>
    <row r="493" spans="1:23">
      <c r="A493">
        <v>6638</v>
      </c>
      <c r="B493" t="s">
        <v>533</v>
      </c>
      <c r="C493" s="1">
        <v>44967</v>
      </c>
      <c r="D493" s="1">
        <v>45608</v>
      </c>
      <c r="E493">
        <v>11.99</v>
      </c>
      <c r="F493">
        <v>302</v>
      </c>
      <c r="G493" t="s">
        <v>73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43</v>
      </c>
      <c r="N493" t="s">
        <v>44</v>
      </c>
      <c r="O493" t="s">
        <v>45</v>
      </c>
      <c r="P493">
        <v>14</v>
      </c>
      <c r="Q493">
        <v>4.7</v>
      </c>
      <c r="R493" t="b">
        <v>0</v>
      </c>
      <c r="S493" t="s">
        <v>30</v>
      </c>
      <c r="T493">
        <v>3791</v>
      </c>
      <c r="U493" t="s">
        <v>31</v>
      </c>
      <c r="V493" t="s">
        <v>79</v>
      </c>
      <c r="W493" t="s">
        <v>93</v>
      </c>
    </row>
    <row r="494" spans="1:23">
      <c r="A494">
        <v>5861</v>
      </c>
      <c r="B494" t="s">
        <v>325</v>
      </c>
      <c r="C494" s="1">
        <v>45143</v>
      </c>
      <c r="D494" s="1">
        <v>45363</v>
      </c>
      <c r="E494">
        <v>15.99</v>
      </c>
      <c r="F494">
        <v>361</v>
      </c>
      <c r="G494" t="s">
        <v>100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74</v>
      </c>
      <c r="N494" t="s">
        <v>44</v>
      </c>
      <c r="O494" t="s">
        <v>57</v>
      </c>
      <c r="P494">
        <v>80</v>
      </c>
      <c r="Q494">
        <v>4.3</v>
      </c>
      <c r="R494" t="b">
        <v>0</v>
      </c>
      <c r="S494" t="s">
        <v>30</v>
      </c>
      <c r="T494">
        <v>728</v>
      </c>
      <c r="U494" t="s">
        <v>65</v>
      </c>
      <c r="V494" t="s">
        <v>32</v>
      </c>
      <c r="W494" t="s">
        <v>33</v>
      </c>
    </row>
    <row r="495" spans="1:23">
      <c r="A495">
        <v>8815</v>
      </c>
      <c r="B495" t="s">
        <v>345</v>
      </c>
      <c r="C495" s="1" t="s">
        <v>534</v>
      </c>
      <c r="D495" s="1">
        <v>45303</v>
      </c>
      <c r="E495">
        <v>7.99</v>
      </c>
      <c r="F495">
        <v>148</v>
      </c>
      <c r="G495" t="s">
        <v>51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92</v>
      </c>
      <c r="N495" t="s">
        <v>75</v>
      </c>
      <c r="O495" t="s">
        <v>57</v>
      </c>
      <c r="P495">
        <v>8</v>
      </c>
      <c r="Q495">
        <v>3.6</v>
      </c>
      <c r="R495" t="b">
        <v>0</v>
      </c>
      <c r="S495" t="s">
        <v>30</v>
      </c>
      <c r="T495">
        <v>3448</v>
      </c>
      <c r="U495" t="s">
        <v>58</v>
      </c>
      <c r="V495" t="s">
        <v>69</v>
      </c>
      <c r="W495" t="s">
        <v>40</v>
      </c>
    </row>
    <row r="496" spans="1:23">
      <c r="A496">
        <v>8793</v>
      </c>
      <c r="B496" t="s">
        <v>148</v>
      </c>
      <c r="C496" s="1" t="s">
        <v>95</v>
      </c>
      <c r="D496" s="1" t="s">
        <v>134</v>
      </c>
      <c r="E496">
        <v>7.99</v>
      </c>
      <c r="F496">
        <v>162</v>
      </c>
      <c r="G496" t="s">
        <v>48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68</v>
      </c>
      <c r="N496" t="s">
        <v>44</v>
      </c>
      <c r="O496" t="s">
        <v>45</v>
      </c>
      <c r="P496">
        <v>16</v>
      </c>
      <c r="Q496">
        <v>4.3</v>
      </c>
      <c r="R496" t="b">
        <v>0</v>
      </c>
      <c r="S496" t="s">
        <v>30</v>
      </c>
      <c r="T496">
        <v>3930</v>
      </c>
      <c r="U496" t="s">
        <v>65</v>
      </c>
      <c r="V496" t="s">
        <v>59</v>
      </c>
      <c r="W496" t="s">
        <v>93</v>
      </c>
    </row>
    <row r="497" spans="1:23">
      <c r="A497">
        <v>3469</v>
      </c>
      <c r="B497" t="s">
        <v>122</v>
      </c>
      <c r="C497" s="1">
        <v>45085</v>
      </c>
      <c r="D497" s="1" t="s">
        <v>103</v>
      </c>
      <c r="E497">
        <v>7.99</v>
      </c>
      <c r="F497">
        <v>379</v>
      </c>
      <c r="G497" t="s">
        <v>36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68</v>
      </c>
      <c r="N497" t="s">
        <v>75</v>
      </c>
      <c r="O497" t="s">
        <v>45</v>
      </c>
      <c r="P497">
        <v>67</v>
      </c>
      <c r="Q497">
        <v>3.6</v>
      </c>
      <c r="R497" t="b">
        <v>1</v>
      </c>
      <c r="S497" t="s">
        <v>30</v>
      </c>
      <c r="T497">
        <v>3702</v>
      </c>
      <c r="U497" t="s">
        <v>31</v>
      </c>
      <c r="V497" t="s">
        <v>59</v>
      </c>
      <c r="W497" t="s">
        <v>93</v>
      </c>
    </row>
    <row r="498" spans="1:23">
      <c r="A498">
        <v>3654</v>
      </c>
      <c r="B498" t="s">
        <v>153</v>
      </c>
      <c r="C498" s="1" t="s">
        <v>535</v>
      </c>
      <c r="D498" s="1" t="s">
        <v>42</v>
      </c>
      <c r="E498">
        <v>15.99</v>
      </c>
      <c r="F498">
        <v>373</v>
      </c>
      <c r="G498" t="s">
        <v>73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43</v>
      </c>
      <c r="N498" t="s">
        <v>28</v>
      </c>
      <c r="O498" t="s">
        <v>64</v>
      </c>
      <c r="P498">
        <v>57</v>
      </c>
      <c r="Q498">
        <v>3.8</v>
      </c>
      <c r="R498" t="b">
        <v>1</v>
      </c>
      <c r="S498" t="s">
        <v>30</v>
      </c>
      <c r="T498">
        <v>2400</v>
      </c>
      <c r="U498" t="s">
        <v>38</v>
      </c>
      <c r="V498" t="s">
        <v>69</v>
      </c>
      <c r="W498" t="s">
        <v>40</v>
      </c>
    </row>
    <row r="499" spans="1:23">
      <c r="A499">
        <v>9555</v>
      </c>
      <c r="B499" t="s">
        <v>345</v>
      </c>
      <c r="C499" s="1">
        <v>45330</v>
      </c>
      <c r="D499" s="1" t="s">
        <v>82</v>
      </c>
      <c r="E499">
        <v>11.99</v>
      </c>
      <c r="F499">
        <v>354</v>
      </c>
      <c r="G499" t="s">
        <v>51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49</v>
      </c>
      <c r="N499" t="s">
        <v>75</v>
      </c>
      <c r="O499" t="s">
        <v>29</v>
      </c>
      <c r="P499">
        <v>83</v>
      </c>
      <c r="Q499">
        <v>4.3</v>
      </c>
      <c r="R499" t="b">
        <v>1</v>
      </c>
      <c r="S499" t="s">
        <v>30</v>
      </c>
      <c r="T499">
        <v>548</v>
      </c>
      <c r="U499" t="s">
        <v>76</v>
      </c>
      <c r="V499" t="s">
        <v>79</v>
      </c>
      <c r="W499" t="s">
        <v>40</v>
      </c>
    </row>
    <row r="500" spans="1:23">
      <c r="A500">
        <v>4028</v>
      </c>
      <c r="B500" t="s">
        <v>228</v>
      </c>
      <c r="C500" s="1">
        <v>45387</v>
      </c>
      <c r="D500" s="1">
        <v>45547</v>
      </c>
      <c r="E500">
        <v>7.99</v>
      </c>
      <c r="F500">
        <v>76</v>
      </c>
      <c r="G500" t="s">
        <v>63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68</v>
      </c>
      <c r="N500" t="s">
        <v>56</v>
      </c>
      <c r="O500" t="s">
        <v>78</v>
      </c>
      <c r="P500">
        <v>87</v>
      </c>
      <c r="Q500">
        <v>4.9000000000000004</v>
      </c>
      <c r="R500" t="b">
        <v>0</v>
      </c>
      <c r="S500" t="s">
        <v>30</v>
      </c>
      <c r="T500">
        <v>4702</v>
      </c>
      <c r="U500" t="s">
        <v>65</v>
      </c>
      <c r="V500" t="s">
        <v>39</v>
      </c>
      <c r="W500" t="s">
        <v>60</v>
      </c>
    </row>
    <row r="501" spans="1:23">
      <c r="A501">
        <v>9499</v>
      </c>
      <c r="B501" t="s">
        <v>190</v>
      </c>
      <c r="C501" s="1" t="s">
        <v>412</v>
      </c>
      <c r="D501" s="1" t="s">
        <v>42</v>
      </c>
      <c r="E501">
        <v>11.99</v>
      </c>
      <c r="F501">
        <v>316</v>
      </c>
      <c r="G501" t="s">
        <v>26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27</v>
      </c>
      <c r="N501" t="s">
        <v>28</v>
      </c>
      <c r="O501" t="s">
        <v>37</v>
      </c>
      <c r="P501">
        <v>28</v>
      </c>
      <c r="Q501">
        <v>3.4</v>
      </c>
      <c r="R501" t="b">
        <v>0</v>
      </c>
      <c r="S501" t="s">
        <v>30</v>
      </c>
      <c r="T501">
        <v>2821</v>
      </c>
      <c r="U501" t="s">
        <v>38</v>
      </c>
      <c r="V501" t="s">
        <v>69</v>
      </c>
      <c r="W501" t="s">
        <v>60</v>
      </c>
    </row>
    <row r="502" spans="1:23">
      <c r="A502">
        <v>8628</v>
      </c>
      <c r="B502" t="s">
        <v>164</v>
      </c>
      <c r="C502" s="1" t="s">
        <v>161</v>
      </c>
      <c r="D502" s="1" t="s">
        <v>168</v>
      </c>
      <c r="E502">
        <v>11.99</v>
      </c>
      <c r="F502">
        <v>331</v>
      </c>
      <c r="G502" t="s">
        <v>63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49</v>
      </c>
      <c r="N502" t="s">
        <v>28</v>
      </c>
      <c r="O502" t="s">
        <v>57</v>
      </c>
      <c r="P502">
        <v>35</v>
      </c>
      <c r="Q502">
        <v>4.5999999999999996</v>
      </c>
      <c r="R502" t="b">
        <v>1</v>
      </c>
      <c r="S502" t="s">
        <v>30</v>
      </c>
      <c r="T502">
        <v>484</v>
      </c>
      <c r="U502" t="s">
        <v>65</v>
      </c>
      <c r="V502" t="s">
        <v>79</v>
      </c>
      <c r="W502" t="s">
        <v>33</v>
      </c>
    </row>
    <row r="503" spans="1:23">
      <c r="A503">
        <v>9942</v>
      </c>
      <c r="B503" t="s">
        <v>157</v>
      </c>
      <c r="C503" s="1">
        <v>45024</v>
      </c>
      <c r="D503" s="1" t="s">
        <v>84</v>
      </c>
      <c r="E503">
        <v>15.99</v>
      </c>
      <c r="F503">
        <v>418</v>
      </c>
      <c r="G503" t="s">
        <v>51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43</v>
      </c>
      <c r="N503" t="s">
        <v>75</v>
      </c>
      <c r="O503" t="s">
        <v>64</v>
      </c>
      <c r="P503">
        <v>49</v>
      </c>
      <c r="Q503">
        <v>3.6</v>
      </c>
      <c r="R503" t="b">
        <v>1</v>
      </c>
      <c r="S503" t="s">
        <v>30</v>
      </c>
      <c r="T503">
        <v>2871</v>
      </c>
      <c r="U503" t="s">
        <v>58</v>
      </c>
      <c r="V503" t="s">
        <v>39</v>
      </c>
      <c r="W503" t="s">
        <v>33</v>
      </c>
    </row>
    <row r="504" spans="1:23">
      <c r="A504">
        <v>4044</v>
      </c>
      <c r="B504" t="s">
        <v>536</v>
      </c>
      <c r="C504" s="1">
        <v>45022</v>
      </c>
      <c r="D504" s="1" t="s">
        <v>109</v>
      </c>
      <c r="E504">
        <v>15.99</v>
      </c>
      <c r="F504">
        <v>309</v>
      </c>
      <c r="G504" t="s">
        <v>100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92</v>
      </c>
      <c r="N504" t="s">
        <v>75</v>
      </c>
      <c r="O504" t="s">
        <v>57</v>
      </c>
      <c r="P504">
        <v>66</v>
      </c>
      <c r="Q504">
        <v>4</v>
      </c>
      <c r="R504" t="b">
        <v>1</v>
      </c>
      <c r="S504" t="s">
        <v>30</v>
      </c>
      <c r="T504">
        <v>4783</v>
      </c>
      <c r="U504" t="s">
        <v>65</v>
      </c>
      <c r="V504" t="s">
        <v>69</v>
      </c>
      <c r="W504" t="s">
        <v>93</v>
      </c>
    </row>
    <row r="505" spans="1:23">
      <c r="A505">
        <v>8143</v>
      </c>
      <c r="B505" t="s">
        <v>106</v>
      </c>
      <c r="C505" s="1" t="s">
        <v>537</v>
      </c>
      <c r="D505" s="1">
        <v>45608</v>
      </c>
      <c r="E505">
        <v>7.99</v>
      </c>
      <c r="F505">
        <v>252</v>
      </c>
      <c r="G505" t="s">
        <v>36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74</v>
      </c>
      <c r="N505" t="s">
        <v>44</v>
      </c>
      <c r="O505" t="s">
        <v>37</v>
      </c>
      <c r="P505">
        <v>52</v>
      </c>
      <c r="Q505">
        <v>4.4000000000000004</v>
      </c>
      <c r="R505" t="b">
        <v>1</v>
      </c>
      <c r="S505" t="s">
        <v>30</v>
      </c>
      <c r="T505">
        <v>2725</v>
      </c>
      <c r="U505" t="s">
        <v>65</v>
      </c>
      <c r="V505" t="s">
        <v>39</v>
      </c>
      <c r="W505" t="s">
        <v>60</v>
      </c>
    </row>
    <row r="506" spans="1:23">
      <c r="A506">
        <v>3984</v>
      </c>
      <c r="B506" t="s">
        <v>257</v>
      </c>
      <c r="C506" s="1" t="s">
        <v>538</v>
      </c>
      <c r="D506" s="1">
        <v>45303</v>
      </c>
      <c r="E506">
        <v>15.99</v>
      </c>
      <c r="F506">
        <v>146</v>
      </c>
      <c r="G506" t="s">
        <v>73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74</v>
      </c>
      <c r="N506" t="s">
        <v>28</v>
      </c>
      <c r="O506" t="s">
        <v>37</v>
      </c>
      <c r="P506">
        <v>27</v>
      </c>
      <c r="Q506">
        <v>3.7</v>
      </c>
      <c r="R506" t="b">
        <v>1</v>
      </c>
      <c r="S506" t="s">
        <v>30</v>
      </c>
      <c r="T506">
        <v>4400</v>
      </c>
      <c r="U506" t="s">
        <v>76</v>
      </c>
      <c r="V506" t="s">
        <v>59</v>
      </c>
      <c r="W506" t="s">
        <v>33</v>
      </c>
    </row>
    <row r="507" spans="1:23">
      <c r="A507">
        <v>9294</v>
      </c>
      <c r="B507" t="s">
        <v>539</v>
      </c>
      <c r="C507" s="1" t="s">
        <v>279</v>
      </c>
      <c r="D507" s="1" t="s">
        <v>134</v>
      </c>
      <c r="E507">
        <v>11.99</v>
      </c>
      <c r="F507">
        <v>352</v>
      </c>
      <c r="G507" t="s">
        <v>63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43</v>
      </c>
      <c r="N507" t="s">
        <v>44</v>
      </c>
      <c r="O507" t="s">
        <v>45</v>
      </c>
      <c r="P507">
        <v>32</v>
      </c>
      <c r="Q507">
        <v>3.8</v>
      </c>
      <c r="R507" t="b">
        <v>0</v>
      </c>
      <c r="S507" t="s">
        <v>30</v>
      </c>
      <c r="T507">
        <v>2218</v>
      </c>
      <c r="U507" t="s">
        <v>31</v>
      </c>
      <c r="V507" t="s">
        <v>39</v>
      </c>
      <c r="W507" t="s">
        <v>40</v>
      </c>
    </row>
    <row r="508" spans="1:23">
      <c r="A508">
        <v>4769</v>
      </c>
      <c r="B508" t="s">
        <v>157</v>
      </c>
      <c r="C508" s="1">
        <v>45446</v>
      </c>
      <c r="D508" s="1" t="s">
        <v>72</v>
      </c>
      <c r="E508">
        <v>7.99</v>
      </c>
      <c r="F508">
        <v>43</v>
      </c>
      <c r="G508" t="s">
        <v>100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27</v>
      </c>
      <c r="N508" t="s">
        <v>28</v>
      </c>
      <c r="O508" t="s">
        <v>64</v>
      </c>
      <c r="P508">
        <v>70</v>
      </c>
      <c r="Q508">
        <v>4</v>
      </c>
      <c r="R508" t="b">
        <v>1</v>
      </c>
      <c r="S508" t="s">
        <v>30</v>
      </c>
      <c r="T508">
        <v>4552</v>
      </c>
      <c r="U508" t="s">
        <v>31</v>
      </c>
      <c r="V508" t="s">
        <v>59</v>
      </c>
      <c r="W508" t="s">
        <v>33</v>
      </c>
    </row>
    <row r="509" spans="1:23">
      <c r="A509">
        <v>8864</v>
      </c>
      <c r="B509" t="s">
        <v>157</v>
      </c>
      <c r="C509" s="1" t="s">
        <v>540</v>
      </c>
      <c r="D509" s="1" t="s">
        <v>168</v>
      </c>
      <c r="E509">
        <v>11.99</v>
      </c>
      <c r="F509">
        <v>440</v>
      </c>
      <c r="G509" t="s">
        <v>36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49</v>
      </c>
      <c r="N509" t="s">
        <v>75</v>
      </c>
      <c r="O509" t="s">
        <v>37</v>
      </c>
      <c r="P509">
        <v>2</v>
      </c>
      <c r="Q509">
        <v>3.4</v>
      </c>
      <c r="R509" t="b">
        <v>0</v>
      </c>
      <c r="S509" t="s">
        <v>30</v>
      </c>
      <c r="T509">
        <v>4125</v>
      </c>
      <c r="U509" t="s">
        <v>76</v>
      </c>
      <c r="V509" t="s">
        <v>32</v>
      </c>
      <c r="W509" t="s">
        <v>33</v>
      </c>
    </row>
    <row r="510" spans="1:23">
      <c r="A510">
        <v>1857</v>
      </c>
      <c r="B510" t="s">
        <v>541</v>
      </c>
      <c r="C510" s="1">
        <v>45388</v>
      </c>
      <c r="D510" s="1" t="s">
        <v>109</v>
      </c>
      <c r="E510">
        <v>15.99</v>
      </c>
      <c r="F510">
        <v>376</v>
      </c>
      <c r="G510" t="s">
        <v>100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55</v>
      </c>
      <c r="N510" t="s">
        <v>75</v>
      </c>
      <c r="O510" t="s">
        <v>57</v>
      </c>
      <c r="P510">
        <v>84</v>
      </c>
      <c r="Q510">
        <v>4.5999999999999996</v>
      </c>
      <c r="R510" t="b">
        <v>1</v>
      </c>
      <c r="S510" t="s">
        <v>30</v>
      </c>
      <c r="T510">
        <v>424</v>
      </c>
      <c r="U510" t="s">
        <v>65</v>
      </c>
      <c r="V510" t="s">
        <v>79</v>
      </c>
      <c r="W510" t="s">
        <v>33</v>
      </c>
    </row>
    <row r="511" spans="1:23">
      <c r="A511">
        <v>5566</v>
      </c>
      <c r="B511" t="s">
        <v>345</v>
      </c>
      <c r="C511" s="1" t="s">
        <v>213</v>
      </c>
      <c r="D511" s="1">
        <v>45485</v>
      </c>
      <c r="E511">
        <v>11.99</v>
      </c>
      <c r="F511">
        <v>137</v>
      </c>
      <c r="G511" t="s">
        <v>26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74</v>
      </c>
      <c r="N511" t="s">
        <v>28</v>
      </c>
      <c r="O511" t="s">
        <v>57</v>
      </c>
      <c r="P511">
        <v>25</v>
      </c>
      <c r="Q511">
        <v>3.9</v>
      </c>
      <c r="R511" t="b">
        <v>1</v>
      </c>
      <c r="S511" t="s">
        <v>30</v>
      </c>
      <c r="T511">
        <v>2418</v>
      </c>
      <c r="U511" t="s">
        <v>65</v>
      </c>
      <c r="V511" t="s">
        <v>32</v>
      </c>
      <c r="W511" t="s">
        <v>40</v>
      </c>
    </row>
    <row r="512" spans="1:23">
      <c r="A512">
        <v>1373</v>
      </c>
      <c r="B512" t="s">
        <v>147</v>
      </c>
      <c r="C512" s="1" t="s">
        <v>306</v>
      </c>
      <c r="D512" s="1">
        <v>45638</v>
      </c>
      <c r="E512">
        <v>7.99</v>
      </c>
      <c r="F512">
        <v>301</v>
      </c>
      <c r="G512" t="s">
        <v>26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27</v>
      </c>
      <c r="N512" t="s">
        <v>56</v>
      </c>
      <c r="O512" t="s">
        <v>78</v>
      </c>
      <c r="P512">
        <v>54</v>
      </c>
      <c r="Q512">
        <v>4.2</v>
      </c>
      <c r="R512" t="b">
        <v>1</v>
      </c>
      <c r="S512" t="s">
        <v>30</v>
      </c>
      <c r="T512">
        <v>756</v>
      </c>
      <c r="U512" t="s">
        <v>65</v>
      </c>
      <c r="V512" t="s">
        <v>79</v>
      </c>
      <c r="W512" t="s">
        <v>33</v>
      </c>
    </row>
    <row r="513" spans="1:23">
      <c r="A513">
        <v>6345</v>
      </c>
      <c r="B513" t="s">
        <v>542</v>
      </c>
      <c r="C513" s="1">
        <v>44927</v>
      </c>
      <c r="D513" s="1">
        <v>45547</v>
      </c>
      <c r="E513">
        <v>7.99</v>
      </c>
      <c r="F513">
        <v>410</v>
      </c>
      <c r="G513" t="s">
        <v>51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43</v>
      </c>
      <c r="N513" t="s">
        <v>28</v>
      </c>
      <c r="O513" t="s">
        <v>45</v>
      </c>
      <c r="P513">
        <v>22</v>
      </c>
      <c r="Q513">
        <v>3.2</v>
      </c>
      <c r="R513" t="b">
        <v>0</v>
      </c>
      <c r="S513" t="s">
        <v>30</v>
      </c>
      <c r="T513">
        <v>754</v>
      </c>
      <c r="U513" t="s">
        <v>58</v>
      </c>
      <c r="V513" t="s">
        <v>39</v>
      </c>
      <c r="W513" t="s">
        <v>40</v>
      </c>
    </row>
    <row r="514" spans="1:23">
      <c r="A514">
        <v>3234</v>
      </c>
      <c r="B514" t="s">
        <v>143</v>
      </c>
      <c r="C514" s="1">
        <v>45292</v>
      </c>
      <c r="D514" s="1">
        <v>45485</v>
      </c>
      <c r="E514">
        <v>11.99</v>
      </c>
      <c r="F514">
        <v>298</v>
      </c>
      <c r="G514" t="s">
        <v>63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68</v>
      </c>
      <c r="N514" t="s">
        <v>28</v>
      </c>
      <c r="O514" t="s">
        <v>57</v>
      </c>
      <c r="P514">
        <v>52</v>
      </c>
      <c r="Q514">
        <v>4.4000000000000004</v>
      </c>
      <c r="R514" t="b">
        <v>1</v>
      </c>
      <c r="S514" t="s">
        <v>30</v>
      </c>
      <c r="T514">
        <v>3476</v>
      </c>
      <c r="U514" t="s">
        <v>58</v>
      </c>
      <c r="V514" t="s">
        <v>59</v>
      </c>
      <c r="W514" t="s">
        <v>60</v>
      </c>
    </row>
    <row r="515" spans="1:23">
      <c r="A515">
        <v>6998</v>
      </c>
      <c r="B515" t="s">
        <v>126</v>
      </c>
      <c r="C515" s="1" t="s">
        <v>543</v>
      </c>
      <c r="D515" s="1">
        <v>45334</v>
      </c>
      <c r="E515">
        <v>7.99</v>
      </c>
      <c r="F515">
        <v>54</v>
      </c>
      <c r="G515" t="s">
        <v>48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55</v>
      </c>
      <c r="N515" t="s">
        <v>56</v>
      </c>
      <c r="O515" t="s">
        <v>64</v>
      </c>
      <c r="P515">
        <v>43</v>
      </c>
      <c r="Q515">
        <v>3.8</v>
      </c>
      <c r="R515" t="b">
        <v>0</v>
      </c>
      <c r="S515" t="s">
        <v>30</v>
      </c>
      <c r="T515">
        <v>290</v>
      </c>
      <c r="U515" t="s">
        <v>76</v>
      </c>
      <c r="V515" t="s">
        <v>69</v>
      </c>
      <c r="W515" t="s">
        <v>33</v>
      </c>
    </row>
    <row r="516" spans="1:23">
      <c r="A516">
        <v>5809</v>
      </c>
      <c r="B516" t="s">
        <v>238</v>
      </c>
      <c r="C516" s="1" t="s">
        <v>497</v>
      </c>
      <c r="D516" s="1" t="s">
        <v>54</v>
      </c>
      <c r="E516">
        <v>7.99</v>
      </c>
      <c r="F516">
        <v>486</v>
      </c>
      <c r="G516" t="s">
        <v>63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49</v>
      </c>
      <c r="N516" t="s">
        <v>44</v>
      </c>
      <c r="O516" t="s">
        <v>78</v>
      </c>
      <c r="P516">
        <v>10</v>
      </c>
      <c r="Q516">
        <v>3.2</v>
      </c>
      <c r="R516" t="b">
        <v>0</v>
      </c>
      <c r="S516" t="s">
        <v>30</v>
      </c>
      <c r="T516">
        <v>987</v>
      </c>
      <c r="U516" t="s">
        <v>38</v>
      </c>
      <c r="V516" t="s">
        <v>79</v>
      </c>
      <c r="W516" t="s">
        <v>40</v>
      </c>
    </row>
    <row r="517" spans="1:23">
      <c r="A517">
        <v>6522</v>
      </c>
      <c r="B517" t="s">
        <v>544</v>
      </c>
      <c r="C517" s="1">
        <v>45208</v>
      </c>
      <c r="D517" s="1" t="s">
        <v>99</v>
      </c>
      <c r="E517">
        <v>11.99</v>
      </c>
      <c r="F517">
        <v>38</v>
      </c>
      <c r="G517" t="s">
        <v>73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43</v>
      </c>
      <c r="N517" t="s">
        <v>75</v>
      </c>
      <c r="O517" t="s">
        <v>37</v>
      </c>
      <c r="P517">
        <v>75</v>
      </c>
      <c r="Q517">
        <v>4.7</v>
      </c>
      <c r="R517" t="b">
        <v>1</v>
      </c>
      <c r="S517" t="s">
        <v>30</v>
      </c>
      <c r="T517">
        <v>4972</v>
      </c>
      <c r="U517" t="s">
        <v>58</v>
      </c>
      <c r="V517" t="s">
        <v>59</v>
      </c>
      <c r="W517" t="s">
        <v>33</v>
      </c>
    </row>
    <row r="518" spans="1:23">
      <c r="A518">
        <v>3892</v>
      </c>
      <c r="B518" t="s">
        <v>280</v>
      </c>
      <c r="C518" s="1" t="s">
        <v>416</v>
      </c>
      <c r="D518" s="1">
        <v>45363</v>
      </c>
      <c r="E518">
        <v>7.99</v>
      </c>
      <c r="F518">
        <v>442</v>
      </c>
      <c r="G518" t="s">
        <v>26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43</v>
      </c>
      <c r="N518" t="s">
        <v>28</v>
      </c>
      <c r="O518" t="s">
        <v>37</v>
      </c>
      <c r="P518">
        <v>96</v>
      </c>
      <c r="Q518">
        <v>3.7</v>
      </c>
      <c r="R518" t="b">
        <v>0</v>
      </c>
      <c r="S518" t="s">
        <v>30</v>
      </c>
      <c r="T518">
        <v>1628</v>
      </c>
      <c r="U518" t="s">
        <v>38</v>
      </c>
      <c r="V518" t="s">
        <v>32</v>
      </c>
      <c r="W518" t="s">
        <v>40</v>
      </c>
    </row>
    <row r="519" spans="1:23">
      <c r="A519">
        <v>4427</v>
      </c>
      <c r="B519" t="s">
        <v>545</v>
      </c>
      <c r="C519" s="1" t="s">
        <v>71</v>
      </c>
      <c r="D519" s="1" t="s">
        <v>105</v>
      </c>
      <c r="E519">
        <v>7.99</v>
      </c>
      <c r="F519">
        <v>474</v>
      </c>
      <c r="G519" t="s">
        <v>63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68</v>
      </c>
      <c r="N519" t="s">
        <v>75</v>
      </c>
      <c r="O519" t="s">
        <v>45</v>
      </c>
      <c r="P519">
        <v>30</v>
      </c>
      <c r="Q519">
        <v>4.8</v>
      </c>
      <c r="R519" t="b">
        <v>0</v>
      </c>
      <c r="S519" t="s">
        <v>30</v>
      </c>
      <c r="T519">
        <v>1285</v>
      </c>
      <c r="U519" t="s">
        <v>31</v>
      </c>
      <c r="V519" t="s">
        <v>69</v>
      </c>
      <c r="W519" t="s">
        <v>40</v>
      </c>
    </row>
    <row r="520" spans="1:23">
      <c r="A520">
        <v>8145</v>
      </c>
      <c r="B520" t="s">
        <v>546</v>
      </c>
      <c r="C520" s="1">
        <v>45201</v>
      </c>
      <c r="D520" s="1" t="s">
        <v>134</v>
      </c>
      <c r="E520">
        <v>15.99</v>
      </c>
      <c r="F520">
        <v>96</v>
      </c>
      <c r="G520" t="s">
        <v>73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49</v>
      </c>
      <c r="N520" t="s">
        <v>28</v>
      </c>
      <c r="O520" t="s">
        <v>64</v>
      </c>
      <c r="P520">
        <v>60</v>
      </c>
      <c r="Q520">
        <v>4.3</v>
      </c>
      <c r="R520" t="b">
        <v>0</v>
      </c>
      <c r="S520" t="s">
        <v>30</v>
      </c>
      <c r="T520">
        <v>1960</v>
      </c>
      <c r="U520" t="s">
        <v>38</v>
      </c>
      <c r="V520" t="s">
        <v>39</v>
      </c>
      <c r="W520" t="s">
        <v>93</v>
      </c>
    </row>
    <row r="521" spans="1:23">
      <c r="A521">
        <v>1150</v>
      </c>
      <c r="B521" t="s">
        <v>224</v>
      </c>
      <c r="C521" s="1" t="s">
        <v>398</v>
      </c>
      <c r="D521" s="1" t="s">
        <v>168</v>
      </c>
      <c r="E521">
        <v>11.99</v>
      </c>
      <c r="F521">
        <v>160</v>
      </c>
      <c r="G521" t="s">
        <v>63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55</v>
      </c>
      <c r="N521" t="s">
        <v>28</v>
      </c>
      <c r="O521" t="s">
        <v>29</v>
      </c>
      <c r="P521">
        <v>37</v>
      </c>
      <c r="Q521">
        <v>3.7</v>
      </c>
      <c r="R521" t="b">
        <v>1</v>
      </c>
      <c r="S521" t="s">
        <v>30</v>
      </c>
      <c r="T521">
        <v>771</v>
      </c>
      <c r="U521" t="s">
        <v>76</v>
      </c>
      <c r="V521" t="s">
        <v>39</v>
      </c>
      <c r="W521" t="s">
        <v>93</v>
      </c>
    </row>
    <row r="522" spans="1:23">
      <c r="A522">
        <v>7366</v>
      </c>
      <c r="B522" t="s">
        <v>547</v>
      </c>
      <c r="C522" s="1" t="s">
        <v>523</v>
      </c>
      <c r="D522" s="1" t="s">
        <v>35</v>
      </c>
      <c r="E522">
        <v>7.99</v>
      </c>
      <c r="F522">
        <v>451</v>
      </c>
      <c r="G522" t="s">
        <v>73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74</v>
      </c>
      <c r="N522" t="s">
        <v>44</v>
      </c>
      <c r="O522" t="s">
        <v>37</v>
      </c>
      <c r="P522">
        <v>75</v>
      </c>
      <c r="Q522">
        <v>3.3</v>
      </c>
      <c r="R522" t="b">
        <v>1</v>
      </c>
      <c r="S522" t="s">
        <v>30</v>
      </c>
      <c r="T522">
        <v>1785</v>
      </c>
      <c r="U522" t="s">
        <v>76</v>
      </c>
      <c r="V522" t="s">
        <v>69</v>
      </c>
      <c r="W522" t="s">
        <v>40</v>
      </c>
    </row>
    <row r="523" spans="1:23">
      <c r="A523">
        <v>3004</v>
      </c>
      <c r="B523" t="s">
        <v>304</v>
      </c>
      <c r="C523" s="1" t="s">
        <v>548</v>
      </c>
      <c r="D523" s="1" t="s">
        <v>103</v>
      </c>
      <c r="E523">
        <v>11.99</v>
      </c>
      <c r="F523">
        <v>184</v>
      </c>
      <c r="G523" t="s">
        <v>51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43</v>
      </c>
      <c r="N523" t="s">
        <v>75</v>
      </c>
      <c r="O523" t="s">
        <v>45</v>
      </c>
      <c r="P523">
        <v>28</v>
      </c>
      <c r="Q523">
        <v>3.5</v>
      </c>
      <c r="R523" t="b">
        <v>1</v>
      </c>
      <c r="S523" t="s">
        <v>30</v>
      </c>
      <c r="T523">
        <v>2760</v>
      </c>
      <c r="U523" t="s">
        <v>58</v>
      </c>
      <c r="V523" t="s">
        <v>69</v>
      </c>
      <c r="W523" t="s">
        <v>33</v>
      </c>
    </row>
    <row r="524" spans="1:23">
      <c r="A524">
        <v>9934</v>
      </c>
      <c r="B524" t="s">
        <v>549</v>
      </c>
      <c r="C524" s="1" t="s">
        <v>433</v>
      </c>
      <c r="D524" s="1" t="s">
        <v>129</v>
      </c>
      <c r="E524">
        <v>15.99</v>
      </c>
      <c r="F524">
        <v>50</v>
      </c>
      <c r="G524" t="s">
        <v>36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68</v>
      </c>
      <c r="N524" t="s">
        <v>44</v>
      </c>
      <c r="O524" t="s">
        <v>45</v>
      </c>
      <c r="P524">
        <v>49</v>
      </c>
      <c r="Q524">
        <v>3.8</v>
      </c>
      <c r="R524" t="b">
        <v>0</v>
      </c>
      <c r="S524" t="s">
        <v>30</v>
      </c>
      <c r="T524">
        <v>388</v>
      </c>
      <c r="U524" t="s">
        <v>38</v>
      </c>
      <c r="V524" t="s">
        <v>39</v>
      </c>
      <c r="W524" t="s">
        <v>93</v>
      </c>
    </row>
    <row r="525" spans="1:23">
      <c r="A525">
        <v>1228</v>
      </c>
      <c r="B525" t="s">
        <v>263</v>
      </c>
      <c r="C525" s="1" t="s">
        <v>550</v>
      </c>
      <c r="D525" s="1" t="s">
        <v>42</v>
      </c>
      <c r="E525">
        <v>7.99</v>
      </c>
      <c r="F525">
        <v>299</v>
      </c>
      <c r="G525" t="s">
        <v>63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74</v>
      </c>
      <c r="N525" t="s">
        <v>44</v>
      </c>
      <c r="O525" t="s">
        <v>37</v>
      </c>
      <c r="P525">
        <v>100</v>
      </c>
      <c r="Q525">
        <v>4.8</v>
      </c>
      <c r="R525" t="b">
        <v>0</v>
      </c>
      <c r="S525" t="s">
        <v>30</v>
      </c>
      <c r="T525">
        <v>2385</v>
      </c>
      <c r="U525" t="s">
        <v>38</v>
      </c>
      <c r="V525" t="s">
        <v>69</v>
      </c>
      <c r="W525" t="s">
        <v>93</v>
      </c>
    </row>
    <row r="526" spans="1:23">
      <c r="A526">
        <v>5806</v>
      </c>
      <c r="B526" t="s">
        <v>551</v>
      </c>
      <c r="C526" s="1">
        <v>45299</v>
      </c>
      <c r="D526" s="1" t="s">
        <v>35</v>
      </c>
      <c r="E526">
        <v>7.99</v>
      </c>
      <c r="F526">
        <v>495</v>
      </c>
      <c r="G526" t="s">
        <v>36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68</v>
      </c>
      <c r="N526" t="s">
        <v>75</v>
      </c>
      <c r="O526" t="s">
        <v>78</v>
      </c>
      <c r="P526">
        <v>41</v>
      </c>
      <c r="Q526">
        <v>3.9</v>
      </c>
      <c r="R526" t="b">
        <v>1</v>
      </c>
      <c r="S526" t="s">
        <v>30</v>
      </c>
      <c r="T526">
        <v>3714</v>
      </c>
      <c r="U526" t="s">
        <v>76</v>
      </c>
      <c r="V526" t="s">
        <v>79</v>
      </c>
      <c r="W526" t="s">
        <v>93</v>
      </c>
    </row>
    <row r="527" spans="1:23">
      <c r="A527">
        <v>7538</v>
      </c>
      <c r="B527" t="s">
        <v>232</v>
      </c>
      <c r="C527" s="1">
        <v>45631</v>
      </c>
      <c r="D527" s="1" t="s">
        <v>214</v>
      </c>
      <c r="E527">
        <v>7.99</v>
      </c>
      <c r="F527">
        <v>132</v>
      </c>
      <c r="G527" t="s">
        <v>63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27</v>
      </c>
      <c r="N527" t="s">
        <v>28</v>
      </c>
      <c r="O527" t="s">
        <v>78</v>
      </c>
      <c r="P527">
        <v>31</v>
      </c>
      <c r="Q527">
        <v>5</v>
      </c>
      <c r="R527" t="b">
        <v>0</v>
      </c>
      <c r="S527" t="s">
        <v>30</v>
      </c>
      <c r="T527">
        <v>2015</v>
      </c>
      <c r="U527" t="s">
        <v>58</v>
      </c>
      <c r="V527" t="s">
        <v>69</v>
      </c>
      <c r="W527" t="s">
        <v>40</v>
      </c>
    </row>
    <row r="528" spans="1:23">
      <c r="A528">
        <v>1035</v>
      </c>
      <c r="B528" t="s">
        <v>201</v>
      </c>
      <c r="C528" s="1" t="s">
        <v>141</v>
      </c>
      <c r="D528" s="1" t="s">
        <v>82</v>
      </c>
      <c r="E528">
        <v>11.99</v>
      </c>
      <c r="F528">
        <v>395</v>
      </c>
      <c r="G528" t="s">
        <v>100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74</v>
      </c>
      <c r="N528" t="s">
        <v>44</v>
      </c>
      <c r="O528" t="s">
        <v>57</v>
      </c>
      <c r="P528">
        <v>44</v>
      </c>
      <c r="Q528">
        <v>3.9</v>
      </c>
      <c r="R528" t="b">
        <v>1</v>
      </c>
      <c r="S528" t="s">
        <v>30</v>
      </c>
      <c r="T528">
        <v>3201</v>
      </c>
      <c r="U528" t="s">
        <v>76</v>
      </c>
      <c r="V528" t="s">
        <v>69</v>
      </c>
      <c r="W528" t="s">
        <v>60</v>
      </c>
    </row>
    <row r="529" spans="1:23">
      <c r="A529">
        <v>8399</v>
      </c>
      <c r="B529" t="s">
        <v>382</v>
      </c>
      <c r="C529" s="1">
        <v>45049</v>
      </c>
      <c r="D529" s="1">
        <v>45363</v>
      </c>
      <c r="E529">
        <v>11.99</v>
      </c>
      <c r="F529">
        <v>34</v>
      </c>
      <c r="G529" t="s">
        <v>26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49</v>
      </c>
      <c r="N529" t="s">
        <v>75</v>
      </c>
      <c r="O529" t="s">
        <v>45</v>
      </c>
      <c r="P529">
        <v>10</v>
      </c>
      <c r="Q529">
        <v>3.9</v>
      </c>
      <c r="R529" t="b">
        <v>0</v>
      </c>
      <c r="S529" t="s">
        <v>30</v>
      </c>
      <c r="T529">
        <v>3426</v>
      </c>
      <c r="U529" t="s">
        <v>65</v>
      </c>
      <c r="V529" t="s">
        <v>32</v>
      </c>
      <c r="W529" t="s">
        <v>33</v>
      </c>
    </row>
    <row r="530" spans="1:23">
      <c r="A530">
        <v>1912</v>
      </c>
      <c r="B530" t="s">
        <v>281</v>
      </c>
      <c r="C530" s="1" t="s">
        <v>410</v>
      </c>
      <c r="D530" s="1" t="s">
        <v>42</v>
      </c>
      <c r="E530">
        <v>11.99</v>
      </c>
      <c r="F530">
        <v>348</v>
      </c>
      <c r="G530" t="s">
        <v>100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68</v>
      </c>
      <c r="N530" t="s">
        <v>75</v>
      </c>
      <c r="O530" t="s">
        <v>78</v>
      </c>
      <c r="P530">
        <v>60</v>
      </c>
      <c r="Q530">
        <v>4.0999999999999996</v>
      </c>
      <c r="R530" t="b">
        <v>0</v>
      </c>
      <c r="S530" t="s">
        <v>30</v>
      </c>
      <c r="T530">
        <v>3366</v>
      </c>
      <c r="U530" t="s">
        <v>38</v>
      </c>
      <c r="V530" t="s">
        <v>32</v>
      </c>
      <c r="W530" t="s">
        <v>33</v>
      </c>
    </row>
    <row r="531" spans="1:23">
      <c r="A531">
        <v>6604</v>
      </c>
      <c r="B531" t="s">
        <v>148</v>
      </c>
      <c r="C531" s="1" t="s">
        <v>552</v>
      </c>
      <c r="D531" s="1" t="s">
        <v>82</v>
      </c>
      <c r="E531">
        <v>15.99</v>
      </c>
      <c r="F531">
        <v>247</v>
      </c>
      <c r="G531" t="s">
        <v>100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49</v>
      </c>
      <c r="N531" t="s">
        <v>75</v>
      </c>
      <c r="O531" t="s">
        <v>57</v>
      </c>
      <c r="P531">
        <v>19</v>
      </c>
      <c r="Q531">
        <v>3.8</v>
      </c>
      <c r="R531" t="b">
        <v>0</v>
      </c>
      <c r="S531" t="s">
        <v>30</v>
      </c>
      <c r="T531">
        <v>125</v>
      </c>
      <c r="U531" t="s">
        <v>76</v>
      </c>
      <c r="V531" t="s">
        <v>69</v>
      </c>
      <c r="W531" t="s">
        <v>40</v>
      </c>
    </row>
    <row r="532" spans="1:23">
      <c r="A532">
        <v>8952</v>
      </c>
      <c r="B532" t="s">
        <v>183</v>
      </c>
      <c r="C532" s="1">
        <v>45140</v>
      </c>
      <c r="D532" s="1" t="s">
        <v>82</v>
      </c>
      <c r="E532">
        <v>11.99</v>
      </c>
      <c r="F532">
        <v>216</v>
      </c>
      <c r="G532" t="s">
        <v>100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92</v>
      </c>
      <c r="N532" t="s">
        <v>56</v>
      </c>
      <c r="O532" t="s">
        <v>64</v>
      </c>
      <c r="P532">
        <v>10</v>
      </c>
      <c r="Q532">
        <v>3.8</v>
      </c>
      <c r="R532" t="b">
        <v>1</v>
      </c>
      <c r="S532" t="s">
        <v>30</v>
      </c>
      <c r="T532">
        <v>4037</v>
      </c>
      <c r="U532" t="s">
        <v>76</v>
      </c>
      <c r="V532" t="s">
        <v>59</v>
      </c>
      <c r="W532" t="s">
        <v>33</v>
      </c>
    </row>
    <row r="533" spans="1:23">
      <c r="A533">
        <v>2549</v>
      </c>
      <c r="B533" t="s">
        <v>152</v>
      </c>
      <c r="C533" s="1" t="s">
        <v>348</v>
      </c>
      <c r="D533" s="1" t="s">
        <v>214</v>
      </c>
      <c r="E533">
        <v>11.99</v>
      </c>
      <c r="F533">
        <v>299</v>
      </c>
      <c r="G533" t="s">
        <v>73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68</v>
      </c>
      <c r="N533" t="s">
        <v>75</v>
      </c>
      <c r="O533" t="s">
        <v>64</v>
      </c>
      <c r="P533">
        <v>85</v>
      </c>
      <c r="Q533">
        <v>3.4</v>
      </c>
      <c r="R533" t="b">
        <v>1</v>
      </c>
      <c r="S533" t="s">
        <v>30</v>
      </c>
      <c r="T533">
        <v>4348</v>
      </c>
      <c r="U533" t="s">
        <v>38</v>
      </c>
      <c r="V533" t="s">
        <v>69</v>
      </c>
      <c r="W533" t="s">
        <v>93</v>
      </c>
    </row>
    <row r="534" spans="1:23">
      <c r="A534">
        <v>8954</v>
      </c>
      <c r="B534" t="s">
        <v>238</v>
      </c>
      <c r="C534" s="1" t="s">
        <v>534</v>
      </c>
      <c r="D534" s="1" t="s">
        <v>99</v>
      </c>
      <c r="E534">
        <v>15.99</v>
      </c>
      <c r="F534">
        <v>315</v>
      </c>
      <c r="G534" t="s">
        <v>73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27</v>
      </c>
      <c r="N534" t="s">
        <v>44</v>
      </c>
      <c r="O534" t="s">
        <v>57</v>
      </c>
      <c r="P534">
        <v>53</v>
      </c>
      <c r="Q534">
        <v>3.1</v>
      </c>
      <c r="R534" t="b">
        <v>0</v>
      </c>
      <c r="S534" t="s">
        <v>30</v>
      </c>
      <c r="T534">
        <v>546</v>
      </c>
      <c r="U534" t="s">
        <v>31</v>
      </c>
      <c r="V534" t="s">
        <v>32</v>
      </c>
      <c r="W534" t="s">
        <v>40</v>
      </c>
    </row>
    <row r="535" spans="1:23">
      <c r="A535">
        <v>1922</v>
      </c>
      <c r="B535" t="s">
        <v>104</v>
      </c>
      <c r="C535" s="1">
        <v>45303</v>
      </c>
      <c r="D535" s="1">
        <v>45363</v>
      </c>
      <c r="E535">
        <v>11.99</v>
      </c>
      <c r="F535">
        <v>35</v>
      </c>
      <c r="G535" t="s">
        <v>51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55</v>
      </c>
      <c r="N535" t="s">
        <v>44</v>
      </c>
      <c r="O535" t="s">
        <v>45</v>
      </c>
      <c r="P535">
        <v>3</v>
      </c>
      <c r="Q535">
        <v>3.3</v>
      </c>
      <c r="R535" t="b">
        <v>0</v>
      </c>
      <c r="S535" t="s">
        <v>30</v>
      </c>
      <c r="T535">
        <v>2785</v>
      </c>
      <c r="U535" t="s">
        <v>58</v>
      </c>
      <c r="V535" t="s">
        <v>32</v>
      </c>
      <c r="W535" t="s">
        <v>93</v>
      </c>
    </row>
    <row r="536" spans="1:23">
      <c r="A536">
        <v>9861</v>
      </c>
      <c r="B536" t="s">
        <v>140</v>
      </c>
      <c r="C536" s="1">
        <v>45119</v>
      </c>
      <c r="D536" s="1" t="s">
        <v>129</v>
      </c>
      <c r="E536">
        <v>15.99</v>
      </c>
      <c r="F536">
        <v>359</v>
      </c>
      <c r="G536" t="s">
        <v>73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68</v>
      </c>
      <c r="N536" t="s">
        <v>56</v>
      </c>
      <c r="O536" t="s">
        <v>64</v>
      </c>
      <c r="P536">
        <v>64</v>
      </c>
      <c r="Q536">
        <v>4.9000000000000004</v>
      </c>
      <c r="R536" t="b">
        <v>1</v>
      </c>
      <c r="S536" t="s">
        <v>30</v>
      </c>
      <c r="T536">
        <v>3308</v>
      </c>
      <c r="U536" t="s">
        <v>31</v>
      </c>
      <c r="V536" t="s">
        <v>39</v>
      </c>
      <c r="W536" t="s">
        <v>60</v>
      </c>
    </row>
    <row r="537" spans="1:23">
      <c r="A537">
        <v>4383</v>
      </c>
      <c r="B537" t="s">
        <v>553</v>
      </c>
      <c r="C537" s="1">
        <v>45513</v>
      </c>
      <c r="D537" s="1" t="s">
        <v>90</v>
      </c>
      <c r="E537">
        <v>15.99</v>
      </c>
      <c r="F537">
        <v>361</v>
      </c>
      <c r="G537" t="s">
        <v>26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68</v>
      </c>
      <c r="N537" t="s">
        <v>56</v>
      </c>
      <c r="O537" t="s">
        <v>78</v>
      </c>
      <c r="P537">
        <v>99</v>
      </c>
      <c r="Q537">
        <v>3.7</v>
      </c>
      <c r="R537" t="b">
        <v>0</v>
      </c>
      <c r="S537" t="s">
        <v>30</v>
      </c>
      <c r="T537">
        <v>527</v>
      </c>
      <c r="U537" t="s">
        <v>58</v>
      </c>
      <c r="V537" t="s">
        <v>59</v>
      </c>
      <c r="W537" t="s">
        <v>60</v>
      </c>
    </row>
    <row r="538" spans="1:23">
      <c r="A538">
        <v>4328</v>
      </c>
      <c r="B538" t="s">
        <v>120</v>
      </c>
      <c r="C538" s="1" t="s">
        <v>554</v>
      </c>
      <c r="D538" s="1" t="s">
        <v>156</v>
      </c>
      <c r="E538">
        <v>11.99</v>
      </c>
      <c r="F538">
        <v>273</v>
      </c>
      <c r="G538" t="s">
        <v>26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74</v>
      </c>
      <c r="N538" t="s">
        <v>28</v>
      </c>
      <c r="O538" t="s">
        <v>64</v>
      </c>
      <c r="P538">
        <v>42</v>
      </c>
      <c r="Q538">
        <v>4.9000000000000004</v>
      </c>
      <c r="R538" t="b">
        <v>0</v>
      </c>
      <c r="S538" t="s">
        <v>30</v>
      </c>
      <c r="T538">
        <v>837</v>
      </c>
      <c r="U538" t="s">
        <v>31</v>
      </c>
      <c r="V538" t="s">
        <v>39</v>
      </c>
      <c r="W538" t="s">
        <v>40</v>
      </c>
    </row>
    <row r="539" spans="1:23">
      <c r="A539">
        <v>4622</v>
      </c>
      <c r="B539" t="s">
        <v>191</v>
      </c>
      <c r="C539" s="1" t="s">
        <v>84</v>
      </c>
      <c r="D539" s="1" t="s">
        <v>35</v>
      </c>
      <c r="E539">
        <v>7.99</v>
      </c>
      <c r="F539">
        <v>47</v>
      </c>
      <c r="G539" t="s">
        <v>26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68</v>
      </c>
      <c r="N539" t="s">
        <v>56</v>
      </c>
      <c r="O539" t="s">
        <v>64</v>
      </c>
      <c r="P539">
        <v>46</v>
      </c>
      <c r="Q539">
        <v>4.7</v>
      </c>
      <c r="R539" t="b">
        <v>1</v>
      </c>
      <c r="S539" t="s">
        <v>30</v>
      </c>
      <c r="T539">
        <v>371</v>
      </c>
      <c r="U539" t="s">
        <v>38</v>
      </c>
      <c r="V539" t="s">
        <v>69</v>
      </c>
      <c r="W539" t="s">
        <v>93</v>
      </c>
    </row>
    <row r="540" spans="1:23">
      <c r="A540">
        <v>7828</v>
      </c>
      <c r="B540" t="s">
        <v>555</v>
      </c>
      <c r="C540" s="1">
        <v>45142</v>
      </c>
      <c r="D540" s="1">
        <v>45334</v>
      </c>
      <c r="E540">
        <v>7.99</v>
      </c>
      <c r="F540">
        <v>477</v>
      </c>
      <c r="G540" t="s">
        <v>63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92</v>
      </c>
      <c r="N540" t="s">
        <v>44</v>
      </c>
      <c r="O540" t="s">
        <v>64</v>
      </c>
      <c r="P540">
        <v>37</v>
      </c>
      <c r="Q540">
        <v>4.7</v>
      </c>
      <c r="R540" t="b">
        <v>0</v>
      </c>
      <c r="S540" t="s">
        <v>30</v>
      </c>
      <c r="T540">
        <v>877</v>
      </c>
      <c r="U540" t="s">
        <v>76</v>
      </c>
      <c r="V540" t="s">
        <v>39</v>
      </c>
      <c r="W540" t="s">
        <v>33</v>
      </c>
    </row>
    <row r="541" spans="1:23">
      <c r="A541">
        <v>1393</v>
      </c>
      <c r="B541" t="s">
        <v>254</v>
      </c>
      <c r="C541" s="1" t="s">
        <v>556</v>
      </c>
      <c r="D541" s="1">
        <v>45363</v>
      </c>
      <c r="E541">
        <v>7.99</v>
      </c>
      <c r="F541">
        <v>418</v>
      </c>
      <c r="G541" t="s">
        <v>26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55</v>
      </c>
      <c r="N541" t="s">
        <v>44</v>
      </c>
      <c r="O541" t="s">
        <v>29</v>
      </c>
      <c r="P541">
        <v>68</v>
      </c>
      <c r="Q541">
        <v>4.8</v>
      </c>
      <c r="R541" t="b">
        <v>1</v>
      </c>
      <c r="S541" t="s">
        <v>30</v>
      </c>
      <c r="T541">
        <v>4873</v>
      </c>
      <c r="U541" t="s">
        <v>76</v>
      </c>
      <c r="V541" t="s">
        <v>39</v>
      </c>
      <c r="W541" t="s">
        <v>40</v>
      </c>
    </row>
    <row r="542" spans="1:23">
      <c r="A542">
        <v>9239</v>
      </c>
      <c r="B542" t="s">
        <v>257</v>
      </c>
      <c r="C542" s="1" t="s">
        <v>87</v>
      </c>
      <c r="D542" s="1" t="s">
        <v>134</v>
      </c>
      <c r="E542">
        <v>15.99</v>
      </c>
      <c r="F542">
        <v>274</v>
      </c>
      <c r="G542" t="s">
        <v>36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49</v>
      </c>
      <c r="N542" t="s">
        <v>28</v>
      </c>
      <c r="O542" t="s">
        <v>29</v>
      </c>
      <c r="P542">
        <v>36</v>
      </c>
      <c r="Q542">
        <v>4.0999999999999996</v>
      </c>
      <c r="R542" t="b">
        <v>1</v>
      </c>
      <c r="S542" t="s">
        <v>30</v>
      </c>
      <c r="T542">
        <v>4194</v>
      </c>
      <c r="U542" t="s">
        <v>58</v>
      </c>
      <c r="V542" t="s">
        <v>69</v>
      </c>
      <c r="W542" t="s">
        <v>40</v>
      </c>
    </row>
    <row r="543" spans="1:23">
      <c r="A543">
        <v>1636</v>
      </c>
      <c r="B543" t="s">
        <v>147</v>
      </c>
      <c r="C543" s="1" t="s">
        <v>557</v>
      </c>
      <c r="D543" s="1">
        <v>45455</v>
      </c>
      <c r="E543">
        <v>11.99</v>
      </c>
      <c r="F543">
        <v>102</v>
      </c>
      <c r="G543" t="s">
        <v>100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68</v>
      </c>
      <c r="N543" t="s">
        <v>75</v>
      </c>
      <c r="O543" t="s">
        <v>64</v>
      </c>
      <c r="P543">
        <v>63</v>
      </c>
      <c r="Q543">
        <v>4.8</v>
      </c>
      <c r="R543" t="b">
        <v>0</v>
      </c>
      <c r="S543" t="s">
        <v>30</v>
      </c>
      <c r="T543">
        <v>3118</v>
      </c>
      <c r="U543" t="s">
        <v>38</v>
      </c>
      <c r="V543" t="s">
        <v>32</v>
      </c>
      <c r="W543" t="s">
        <v>33</v>
      </c>
    </row>
    <row r="544" spans="1:23">
      <c r="A544">
        <v>4401</v>
      </c>
      <c r="B544" t="s">
        <v>558</v>
      </c>
      <c r="C544" s="1" t="s">
        <v>559</v>
      </c>
      <c r="D544" s="1" t="s">
        <v>35</v>
      </c>
      <c r="E544">
        <v>15.99</v>
      </c>
      <c r="F544">
        <v>164</v>
      </c>
      <c r="G544" t="s">
        <v>51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74</v>
      </c>
      <c r="N544" t="s">
        <v>75</v>
      </c>
      <c r="O544" t="s">
        <v>37</v>
      </c>
      <c r="P544">
        <v>83</v>
      </c>
      <c r="Q544">
        <v>3</v>
      </c>
      <c r="R544" t="b">
        <v>1</v>
      </c>
      <c r="S544" t="s">
        <v>30</v>
      </c>
      <c r="T544">
        <v>2088</v>
      </c>
      <c r="U544" t="s">
        <v>76</v>
      </c>
      <c r="V544" t="s">
        <v>79</v>
      </c>
      <c r="W544" t="s">
        <v>40</v>
      </c>
    </row>
    <row r="545" spans="1:23">
      <c r="A545">
        <v>7135</v>
      </c>
      <c r="B545" t="s">
        <v>560</v>
      </c>
      <c r="C545" s="1">
        <v>45272</v>
      </c>
      <c r="D545" s="1" t="s">
        <v>72</v>
      </c>
      <c r="E545">
        <v>15.99</v>
      </c>
      <c r="F545">
        <v>478</v>
      </c>
      <c r="G545" t="s">
        <v>36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74</v>
      </c>
      <c r="N545" t="s">
        <v>56</v>
      </c>
      <c r="O545" t="s">
        <v>29</v>
      </c>
      <c r="P545">
        <v>27</v>
      </c>
      <c r="Q545">
        <v>4.9000000000000004</v>
      </c>
      <c r="R545" t="b">
        <v>0</v>
      </c>
      <c r="S545" t="s">
        <v>30</v>
      </c>
      <c r="T545">
        <v>3468</v>
      </c>
      <c r="U545" t="s">
        <v>58</v>
      </c>
      <c r="V545" t="s">
        <v>69</v>
      </c>
      <c r="W545" t="s">
        <v>60</v>
      </c>
    </row>
    <row r="546" spans="1:23">
      <c r="A546">
        <v>8923</v>
      </c>
      <c r="B546" t="s">
        <v>184</v>
      </c>
      <c r="C546" s="1">
        <v>45608</v>
      </c>
      <c r="D546" s="1">
        <v>45577</v>
      </c>
      <c r="E546">
        <v>11.99</v>
      </c>
      <c r="F546">
        <v>100</v>
      </c>
      <c r="G546" t="s">
        <v>100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92</v>
      </c>
      <c r="N546" t="s">
        <v>56</v>
      </c>
      <c r="O546" t="s">
        <v>64</v>
      </c>
      <c r="P546">
        <v>14</v>
      </c>
      <c r="Q546">
        <v>3.4</v>
      </c>
      <c r="R546" t="b">
        <v>0</v>
      </c>
      <c r="S546" t="s">
        <v>30</v>
      </c>
      <c r="T546">
        <v>3183</v>
      </c>
      <c r="U546" t="s">
        <v>58</v>
      </c>
      <c r="V546" t="s">
        <v>32</v>
      </c>
      <c r="W546" t="s">
        <v>93</v>
      </c>
    </row>
    <row r="547" spans="1:23">
      <c r="A547">
        <v>9748</v>
      </c>
      <c r="B547" t="s">
        <v>323</v>
      </c>
      <c r="C547" s="1">
        <v>45272</v>
      </c>
      <c r="D547" s="1">
        <v>45485</v>
      </c>
      <c r="E547">
        <v>15.99</v>
      </c>
      <c r="F547">
        <v>264</v>
      </c>
      <c r="G547" t="s">
        <v>100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27</v>
      </c>
      <c r="N547" t="s">
        <v>75</v>
      </c>
      <c r="O547" t="s">
        <v>37</v>
      </c>
      <c r="P547">
        <v>18</v>
      </c>
      <c r="Q547">
        <v>4.7</v>
      </c>
      <c r="R547" t="b">
        <v>1</v>
      </c>
      <c r="S547" t="s">
        <v>30</v>
      </c>
      <c r="T547">
        <v>4070</v>
      </c>
      <c r="U547" t="s">
        <v>31</v>
      </c>
      <c r="V547" t="s">
        <v>32</v>
      </c>
      <c r="W547" t="s">
        <v>60</v>
      </c>
    </row>
    <row r="548" spans="1:23">
      <c r="A548">
        <v>7046</v>
      </c>
      <c r="B548" t="s">
        <v>344</v>
      </c>
      <c r="C548" s="1" t="s">
        <v>561</v>
      </c>
      <c r="D548" s="1">
        <v>45577</v>
      </c>
      <c r="E548">
        <v>15.99</v>
      </c>
      <c r="F548">
        <v>208</v>
      </c>
      <c r="G548" t="s">
        <v>63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68</v>
      </c>
      <c r="N548" t="s">
        <v>28</v>
      </c>
      <c r="O548" t="s">
        <v>78</v>
      </c>
      <c r="P548">
        <v>36</v>
      </c>
      <c r="Q548">
        <v>4.7</v>
      </c>
      <c r="R548" t="b">
        <v>0</v>
      </c>
      <c r="S548" t="s">
        <v>30</v>
      </c>
      <c r="T548">
        <v>4147</v>
      </c>
      <c r="U548" t="s">
        <v>31</v>
      </c>
      <c r="V548" t="s">
        <v>79</v>
      </c>
      <c r="W548" t="s">
        <v>93</v>
      </c>
    </row>
    <row r="549" spans="1:23">
      <c r="A549">
        <v>9688</v>
      </c>
      <c r="B549" t="s">
        <v>562</v>
      </c>
      <c r="C549" s="1" t="s">
        <v>455</v>
      </c>
      <c r="D549" s="1">
        <v>45394</v>
      </c>
      <c r="E549">
        <v>7.99</v>
      </c>
      <c r="F549">
        <v>56</v>
      </c>
      <c r="G549" t="s">
        <v>73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92</v>
      </c>
      <c r="N549" t="s">
        <v>75</v>
      </c>
      <c r="O549" t="s">
        <v>57</v>
      </c>
      <c r="P549">
        <v>21</v>
      </c>
      <c r="Q549">
        <v>4.5999999999999996</v>
      </c>
      <c r="R549" t="b">
        <v>0</v>
      </c>
      <c r="S549" t="s">
        <v>30</v>
      </c>
      <c r="T549">
        <v>255</v>
      </c>
      <c r="U549" t="s">
        <v>31</v>
      </c>
      <c r="V549" t="s">
        <v>39</v>
      </c>
      <c r="W549" t="s">
        <v>60</v>
      </c>
    </row>
    <row r="550" spans="1:23">
      <c r="A550">
        <v>6720</v>
      </c>
      <c r="B550" t="s">
        <v>157</v>
      </c>
      <c r="C550" s="1">
        <v>45145</v>
      </c>
      <c r="D550" s="1" t="s">
        <v>25</v>
      </c>
      <c r="E550">
        <v>15.99</v>
      </c>
      <c r="F550">
        <v>207</v>
      </c>
      <c r="G550" t="s">
        <v>63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92</v>
      </c>
      <c r="N550" t="s">
        <v>75</v>
      </c>
      <c r="O550" t="s">
        <v>37</v>
      </c>
      <c r="P550">
        <v>99</v>
      </c>
      <c r="Q550">
        <v>3.6</v>
      </c>
      <c r="R550" t="b">
        <v>0</v>
      </c>
      <c r="S550" t="s">
        <v>30</v>
      </c>
      <c r="T550">
        <v>3278</v>
      </c>
      <c r="U550" t="s">
        <v>38</v>
      </c>
      <c r="V550" t="s">
        <v>79</v>
      </c>
      <c r="W550" t="s">
        <v>33</v>
      </c>
    </row>
    <row r="551" spans="1:23">
      <c r="A551">
        <v>2766</v>
      </c>
      <c r="B551" t="s">
        <v>563</v>
      </c>
      <c r="C551" s="1">
        <v>45139</v>
      </c>
      <c r="D551" s="1" t="s">
        <v>87</v>
      </c>
      <c r="E551">
        <v>7.99</v>
      </c>
      <c r="F551">
        <v>187</v>
      </c>
      <c r="G551" t="s">
        <v>51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68</v>
      </c>
      <c r="N551" t="s">
        <v>44</v>
      </c>
      <c r="O551" t="s">
        <v>37</v>
      </c>
      <c r="P551">
        <v>29</v>
      </c>
      <c r="Q551">
        <v>4.5</v>
      </c>
      <c r="R551" t="b">
        <v>0</v>
      </c>
      <c r="S551" t="s">
        <v>30</v>
      </c>
      <c r="T551">
        <v>213</v>
      </c>
      <c r="U551" t="s">
        <v>58</v>
      </c>
      <c r="V551" t="s">
        <v>59</v>
      </c>
      <c r="W551" t="s">
        <v>60</v>
      </c>
    </row>
    <row r="552" spans="1:23">
      <c r="A552">
        <v>3847</v>
      </c>
      <c r="B552" t="s">
        <v>114</v>
      </c>
      <c r="C552" s="1">
        <v>45415</v>
      </c>
      <c r="D552" s="1" t="s">
        <v>109</v>
      </c>
      <c r="E552">
        <v>11.99</v>
      </c>
      <c r="F552">
        <v>62</v>
      </c>
      <c r="G552" t="s">
        <v>26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55</v>
      </c>
      <c r="N552" t="s">
        <v>28</v>
      </c>
      <c r="O552" t="s">
        <v>45</v>
      </c>
      <c r="P552">
        <v>56</v>
      </c>
      <c r="Q552">
        <v>3.4</v>
      </c>
      <c r="R552" t="b">
        <v>0</v>
      </c>
      <c r="S552" t="s">
        <v>30</v>
      </c>
      <c r="T552">
        <v>2886</v>
      </c>
      <c r="U552" t="s">
        <v>65</v>
      </c>
      <c r="V552" t="s">
        <v>39</v>
      </c>
      <c r="W552" t="s">
        <v>33</v>
      </c>
    </row>
    <row r="553" spans="1:23">
      <c r="A553">
        <v>8554</v>
      </c>
      <c r="B553" t="s">
        <v>153</v>
      </c>
      <c r="C553" s="1">
        <v>44969</v>
      </c>
      <c r="D553" s="1" t="s">
        <v>134</v>
      </c>
      <c r="E553">
        <v>15.99</v>
      </c>
      <c r="F553">
        <v>182</v>
      </c>
      <c r="G553" t="s">
        <v>100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27</v>
      </c>
      <c r="N553" t="s">
        <v>56</v>
      </c>
      <c r="O553" t="s">
        <v>45</v>
      </c>
      <c r="P553">
        <v>62</v>
      </c>
      <c r="Q553">
        <v>4.9000000000000004</v>
      </c>
      <c r="R553" t="b">
        <v>0</v>
      </c>
      <c r="S553" t="s">
        <v>30</v>
      </c>
      <c r="T553">
        <v>1901</v>
      </c>
      <c r="U553" t="s">
        <v>38</v>
      </c>
      <c r="V553" t="s">
        <v>69</v>
      </c>
      <c r="W553" t="s">
        <v>40</v>
      </c>
    </row>
    <row r="554" spans="1:23">
      <c r="A554">
        <v>6569</v>
      </c>
      <c r="B554" t="s">
        <v>34</v>
      </c>
      <c r="C554" s="1" t="s">
        <v>526</v>
      </c>
      <c r="D554" s="1" t="s">
        <v>87</v>
      </c>
      <c r="E554">
        <v>7.99</v>
      </c>
      <c r="F554">
        <v>468</v>
      </c>
      <c r="G554" t="s">
        <v>100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43</v>
      </c>
      <c r="N554" t="s">
        <v>44</v>
      </c>
      <c r="O554" t="s">
        <v>64</v>
      </c>
      <c r="P554">
        <v>74</v>
      </c>
      <c r="Q554">
        <v>3.2</v>
      </c>
      <c r="R554" t="b">
        <v>0</v>
      </c>
      <c r="S554" t="s">
        <v>30</v>
      </c>
      <c r="T554">
        <v>4456</v>
      </c>
      <c r="U554" t="s">
        <v>31</v>
      </c>
      <c r="V554" t="s">
        <v>39</v>
      </c>
      <c r="W554" t="s">
        <v>93</v>
      </c>
    </row>
    <row r="555" spans="1:23">
      <c r="A555">
        <v>6391</v>
      </c>
      <c r="B555" t="s">
        <v>257</v>
      </c>
      <c r="C555" s="1">
        <v>45601</v>
      </c>
      <c r="D555" s="1" t="s">
        <v>156</v>
      </c>
      <c r="E555">
        <v>15.99</v>
      </c>
      <c r="F555">
        <v>389</v>
      </c>
      <c r="G555" t="s">
        <v>36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49</v>
      </c>
      <c r="N555" t="s">
        <v>44</v>
      </c>
      <c r="O555" t="s">
        <v>64</v>
      </c>
      <c r="P555">
        <v>75</v>
      </c>
      <c r="Q555">
        <v>3.8</v>
      </c>
      <c r="R555" t="b">
        <v>1</v>
      </c>
      <c r="S555" t="s">
        <v>30</v>
      </c>
      <c r="T555">
        <v>237</v>
      </c>
      <c r="U555" t="s">
        <v>38</v>
      </c>
      <c r="V555" t="s">
        <v>59</v>
      </c>
      <c r="W555" t="s">
        <v>60</v>
      </c>
    </row>
    <row r="556" spans="1:23">
      <c r="A556">
        <v>4883</v>
      </c>
      <c r="B556" t="s">
        <v>564</v>
      </c>
      <c r="C556" s="1">
        <v>45475</v>
      </c>
      <c r="D556" s="1">
        <v>45547</v>
      </c>
      <c r="E556">
        <v>15.99</v>
      </c>
      <c r="F556">
        <v>155</v>
      </c>
      <c r="G556" t="s">
        <v>26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55</v>
      </c>
      <c r="N556" t="s">
        <v>75</v>
      </c>
      <c r="O556" t="s">
        <v>57</v>
      </c>
      <c r="P556">
        <v>86</v>
      </c>
      <c r="Q556">
        <v>3.5</v>
      </c>
      <c r="R556" t="b">
        <v>1</v>
      </c>
      <c r="S556" t="s">
        <v>30</v>
      </c>
      <c r="T556">
        <v>4659</v>
      </c>
      <c r="U556" t="s">
        <v>76</v>
      </c>
      <c r="V556" t="s">
        <v>32</v>
      </c>
      <c r="W556" t="s">
        <v>33</v>
      </c>
    </row>
    <row r="557" spans="1:23">
      <c r="A557">
        <v>4530</v>
      </c>
      <c r="B557" t="s">
        <v>226</v>
      </c>
      <c r="C557" s="1" t="s">
        <v>565</v>
      </c>
      <c r="D557" s="1" t="s">
        <v>214</v>
      </c>
      <c r="E557">
        <v>7.99</v>
      </c>
      <c r="F557">
        <v>331</v>
      </c>
      <c r="G557" t="s">
        <v>26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74</v>
      </c>
      <c r="N557" t="s">
        <v>28</v>
      </c>
      <c r="O557" t="s">
        <v>45</v>
      </c>
      <c r="P557">
        <v>93</v>
      </c>
      <c r="Q557">
        <v>3.4</v>
      </c>
      <c r="R557" t="b">
        <v>0</v>
      </c>
      <c r="S557" t="s">
        <v>30</v>
      </c>
      <c r="T557">
        <v>4906</v>
      </c>
      <c r="U557" t="s">
        <v>38</v>
      </c>
      <c r="V557" t="s">
        <v>79</v>
      </c>
      <c r="W557" t="s">
        <v>33</v>
      </c>
    </row>
    <row r="558" spans="1:23">
      <c r="A558">
        <v>6531</v>
      </c>
      <c r="B558" t="s">
        <v>280</v>
      </c>
      <c r="C558" s="1">
        <v>45109</v>
      </c>
      <c r="D558" s="1">
        <v>45638</v>
      </c>
      <c r="E558">
        <v>11.99</v>
      </c>
      <c r="F558">
        <v>131</v>
      </c>
      <c r="G558" t="s">
        <v>48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92</v>
      </c>
      <c r="N558" t="s">
        <v>44</v>
      </c>
      <c r="O558" t="s">
        <v>37</v>
      </c>
      <c r="P558">
        <v>81</v>
      </c>
      <c r="Q558">
        <v>4.4000000000000004</v>
      </c>
      <c r="R558" t="b">
        <v>0</v>
      </c>
      <c r="S558" t="s">
        <v>30</v>
      </c>
      <c r="T558">
        <v>1155</v>
      </c>
      <c r="U558" t="s">
        <v>65</v>
      </c>
      <c r="V558" t="s">
        <v>32</v>
      </c>
      <c r="W558" t="s">
        <v>60</v>
      </c>
    </row>
    <row r="559" spans="1:23">
      <c r="A559">
        <v>9701</v>
      </c>
      <c r="B559" t="s">
        <v>566</v>
      </c>
      <c r="C559" s="1" t="s">
        <v>567</v>
      </c>
      <c r="D559" s="1" t="s">
        <v>214</v>
      </c>
      <c r="E559">
        <v>7.99</v>
      </c>
      <c r="F559">
        <v>376</v>
      </c>
      <c r="G559" t="s">
        <v>48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49</v>
      </c>
      <c r="N559" t="s">
        <v>75</v>
      </c>
      <c r="O559" t="s">
        <v>37</v>
      </c>
      <c r="P559">
        <v>5</v>
      </c>
      <c r="Q559">
        <v>3.4</v>
      </c>
      <c r="R559" t="b">
        <v>0</v>
      </c>
      <c r="S559" t="s">
        <v>30</v>
      </c>
      <c r="T559">
        <v>4378</v>
      </c>
      <c r="U559" t="s">
        <v>38</v>
      </c>
      <c r="V559" t="s">
        <v>39</v>
      </c>
      <c r="W559" t="s">
        <v>60</v>
      </c>
    </row>
    <row r="560" spans="1:23">
      <c r="A560">
        <v>4702</v>
      </c>
      <c r="B560" t="s">
        <v>383</v>
      </c>
      <c r="C560" s="1" t="s">
        <v>568</v>
      </c>
      <c r="D560" s="1">
        <v>45608</v>
      </c>
      <c r="E560">
        <v>7.99</v>
      </c>
      <c r="F560">
        <v>106</v>
      </c>
      <c r="G560" t="s">
        <v>63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68</v>
      </c>
      <c r="N560" t="s">
        <v>44</v>
      </c>
      <c r="O560" t="s">
        <v>45</v>
      </c>
      <c r="P560">
        <v>25</v>
      </c>
      <c r="Q560">
        <v>3.4</v>
      </c>
      <c r="R560" t="b">
        <v>1</v>
      </c>
      <c r="S560" t="s">
        <v>30</v>
      </c>
      <c r="T560">
        <v>1674</v>
      </c>
      <c r="U560" t="s">
        <v>38</v>
      </c>
      <c r="V560" t="s">
        <v>69</v>
      </c>
      <c r="W560" t="s">
        <v>93</v>
      </c>
    </row>
    <row r="561" spans="1:23">
      <c r="A561">
        <v>3163</v>
      </c>
      <c r="B561" t="s">
        <v>409</v>
      </c>
      <c r="C561" s="1">
        <v>45633</v>
      </c>
      <c r="D561" s="1" t="s">
        <v>90</v>
      </c>
      <c r="E561">
        <v>11.99</v>
      </c>
      <c r="F561">
        <v>445</v>
      </c>
      <c r="G561" t="s">
        <v>73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74</v>
      </c>
      <c r="N561" t="s">
        <v>28</v>
      </c>
      <c r="O561" t="s">
        <v>57</v>
      </c>
      <c r="P561">
        <v>50</v>
      </c>
      <c r="Q561">
        <v>3.8</v>
      </c>
      <c r="R561" t="b">
        <v>1</v>
      </c>
      <c r="S561" t="s">
        <v>30</v>
      </c>
      <c r="T561">
        <v>2407</v>
      </c>
      <c r="U561" t="s">
        <v>58</v>
      </c>
      <c r="V561" t="s">
        <v>39</v>
      </c>
      <c r="W561" t="s">
        <v>60</v>
      </c>
    </row>
    <row r="562" spans="1:23">
      <c r="A562">
        <v>8719</v>
      </c>
      <c r="B562" t="s">
        <v>126</v>
      </c>
      <c r="C562" s="1" t="s">
        <v>569</v>
      </c>
      <c r="D562" s="1" t="s">
        <v>214</v>
      </c>
      <c r="E562">
        <v>15.99</v>
      </c>
      <c r="F562">
        <v>345</v>
      </c>
      <c r="G562" t="s">
        <v>51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49</v>
      </c>
      <c r="N562" t="s">
        <v>75</v>
      </c>
      <c r="O562" t="s">
        <v>78</v>
      </c>
      <c r="P562">
        <v>73</v>
      </c>
      <c r="Q562">
        <v>4.7</v>
      </c>
      <c r="R562" t="b">
        <v>1</v>
      </c>
      <c r="S562" t="s">
        <v>30</v>
      </c>
      <c r="T562">
        <v>2636</v>
      </c>
      <c r="U562" t="s">
        <v>31</v>
      </c>
      <c r="V562" t="s">
        <v>59</v>
      </c>
      <c r="W562" t="s">
        <v>33</v>
      </c>
    </row>
    <row r="563" spans="1:23">
      <c r="A563">
        <v>1282</v>
      </c>
      <c r="B563" t="s">
        <v>120</v>
      </c>
      <c r="C563" s="1">
        <v>45577</v>
      </c>
      <c r="D563" s="1" t="s">
        <v>99</v>
      </c>
      <c r="E563">
        <v>15.99</v>
      </c>
      <c r="F563">
        <v>432</v>
      </c>
      <c r="G563" t="s">
        <v>63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68</v>
      </c>
      <c r="N563" t="s">
        <v>75</v>
      </c>
      <c r="O563" t="s">
        <v>78</v>
      </c>
      <c r="P563">
        <v>92</v>
      </c>
      <c r="Q563">
        <v>4.5999999999999996</v>
      </c>
      <c r="R563" t="b">
        <v>0</v>
      </c>
      <c r="S563" t="s">
        <v>30</v>
      </c>
      <c r="T563">
        <v>4020</v>
      </c>
      <c r="U563" t="s">
        <v>76</v>
      </c>
      <c r="V563" t="s">
        <v>69</v>
      </c>
      <c r="W563" t="s">
        <v>33</v>
      </c>
    </row>
    <row r="564" spans="1:23">
      <c r="A564">
        <v>4538</v>
      </c>
      <c r="B564" t="s">
        <v>290</v>
      </c>
      <c r="C564" s="1" t="s">
        <v>570</v>
      </c>
      <c r="D564" s="1" t="s">
        <v>42</v>
      </c>
      <c r="E564">
        <v>15.99</v>
      </c>
      <c r="F564">
        <v>362</v>
      </c>
      <c r="G564" t="s">
        <v>36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27</v>
      </c>
      <c r="N564" t="s">
        <v>56</v>
      </c>
      <c r="O564" t="s">
        <v>57</v>
      </c>
      <c r="P564">
        <v>80</v>
      </c>
      <c r="Q564">
        <v>4.5</v>
      </c>
      <c r="R564" t="b">
        <v>1</v>
      </c>
      <c r="S564" t="s">
        <v>30</v>
      </c>
      <c r="T564">
        <v>4127</v>
      </c>
      <c r="U564" t="s">
        <v>58</v>
      </c>
      <c r="V564" t="s">
        <v>79</v>
      </c>
      <c r="W564" t="s">
        <v>33</v>
      </c>
    </row>
    <row r="565" spans="1:23">
      <c r="A565">
        <v>9538</v>
      </c>
      <c r="B565" t="s">
        <v>280</v>
      </c>
      <c r="C565" s="1" t="s">
        <v>443</v>
      </c>
      <c r="D565" s="1" t="s">
        <v>90</v>
      </c>
      <c r="E565">
        <v>15.99</v>
      </c>
      <c r="F565">
        <v>174</v>
      </c>
      <c r="G565" t="s">
        <v>36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27</v>
      </c>
      <c r="N565" t="s">
        <v>75</v>
      </c>
      <c r="O565" t="s">
        <v>45</v>
      </c>
      <c r="P565">
        <v>4</v>
      </c>
      <c r="Q565">
        <v>3.1</v>
      </c>
      <c r="R565" t="b">
        <v>1</v>
      </c>
      <c r="S565" t="s">
        <v>30</v>
      </c>
      <c r="T565">
        <v>4503</v>
      </c>
      <c r="U565" t="s">
        <v>31</v>
      </c>
      <c r="V565" t="s">
        <v>32</v>
      </c>
      <c r="W565" t="s">
        <v>60</v>
      </c>
    </row>
    <row r="566" spans="1:23">
      <c r="A566">
        <v>5109</v>
      </c>
      <c r="B566" t="s">
        <v>179</v>
      </c>
      <c r="C566" s="1" t="s">
        <v>571</v>
      </c>
      <c r="D566" s="1" t="s">
        <v>25</v>
      </c>
      <c r="E566">
        <v>11.99</v>
      </c>
      <c r="F566">
        <v>490</v>
      </c>
      <c r="G566" t="s">
        <v>51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74</v>
      </c>
      <c r="N566" t="s">
        <v>56</v>
      </c>
      <c r="O566" t="s">
        <v>78</v>
      </c>
      <c r="P566">
        <v>91</v>
      </c>
      <c r="Q566">
        <v>3.7</v>
      </c>
      <c r="R566" t="b">
        <v>0</v>
      </c>
      <c r="S566" t="s">
        <v>30</v>
      </c>
      <c r="T566">
        <v>1080</v>
      </c>
      <c r="U566" t="s">
        <v>38</v>
      </c>
      <c r="V566" t="s">
        <v>59</v>
      </c>
      <c r="W566" t="s">
        <v>93</v>
      </c>
    </row>
    <row r="567" spans="1:23">
      <c r="A567">
        <v>7947</v>
      </c>
      <c r="B567" t="s">
        <v>572</v>
      </c>
      <c r="C567" s="1">
        <v>45241</v>
      </c>
      <c r="D567" s="1" t="s">
        <v>72</v>
      </c>
      <c r="E567">
        <v>15.99</v>
      </c>
      <c r="F567">
        <v>32</v>
      </c>
      <c r="G567" t="s">
        <v>73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49</v>
      </c>
      <c r="N567" t="s">
        <v>56</v>
      </c>
      <c r="O567" t="s">
        <v>57</v>
      </c>
      <c r="P567">
        <v>75</v>
      </c>
      <c r="Q567">
        <v>3.7</v>
      </c>
      <c r="R567" t="b">
        <v>0</v>
      </c>
      <c r="S567" t="s">
        <v>30</v>
      </c>
      <c r="T567">
        <v>1610</v>
      </c>
      <c r="U567" t="s">
        <v>65</v>
      </c>
      <c r="V567" t="s">
        <v>32</v>
      </c>
      <c r="W567" t="s">
        <v>33</v>
      </c>
    </row>
    <row r="568" spans="1:23">
      <c r="A568">
        <v>7546</v>
      </c>
      <c r="B568" t="s">
        <v>147</v>
      </c>
      <c r="C568" s="1" t="s">
        <v>573</v>
      </c>
      <c r="D568" s="1">
        <v>45577</v>
      </c>
      <c r="E568">
        <v>7.99</v>
      </c>
      <c r="F568">
        <v>48</v>
      </c>
      <c r="G568" t="s">
        <v>48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55</v>
      </c>
      <c r="N568" t="s">
        <v>75</v>
      </c>
      <c r="O568" t="s">
        <v>64</v>
      </c>
      <c r="P568">
        <v>68</v>
      </c>
      <c r="Q568">
        <v>4</v>
      </c>
      <c r="R568" t="b">
        <v>0</v>
      </c>
      <c r="S568" t="s">
        <v>30</v>
      </c>
      <c r="T568">
        <v>1535</v>
      </c>
      <c r="U568" t="s">
        <v>58</v>
      </c>
      <c r="V568" t="s">
        <v>59</v>
      </c>
      <c r="W568" t="s">
        <v>93</v>
      </c>
    </row>
    <row r="569" spans="1:23">
      <c r="A569">
        <v>4213</v>
      </c>
      <c r="B569" t="s">
        <v>574</v>
      </c>
      <c r="C569" s="1">
        <v>45150</v>
      </c>
      <c r="D569" s="1" t="s">
        <v>109</v>
      </c>
      <c r="E569">
        <v>7.99</v>
      </c>
      <c r="F569">
        <v>141</v>
      </c>
      <c r="G569" t="s">
        <v>26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43</v>
      </c>
      <c r="N569" t="s">
        <v>75</v>
      </c>
      <c r="O569" t="s">
        <v>29</v>
      </c>
      <c r="P569">
        <v>29</v>
      </c>
      <c r="Q569">
        <v>4.9000000000000004</v>
      </c>
      <c r="R569" t="b">
        <v>1</v>
      </c>
      <c r="S569" t="s">
        <v>30</v>
      </c>
      <c r="T569">
        <v>3840</v>
      </c>
      <c r="U569" t="s">
        <v>76</v>
      </c>
      <c r="V569" t="s">
        <v>69</v>
      </c>
      <c r="W569" t="s">
        <v>33</v>
      </c>
    </row>
    <row r="570" spans="1:23">
      <c r="A570">
        <v>3135</v>
      </c>
      <c r="B570" t="s">
        <v>325</v>
      </c>
      <c r="C570" s="1">
        <v>45479</v>
      </c>
      <c r="D570" s="1" t="s">
        <v>156</v>
      </c>
      <c r="E570">
        <v>7.99</v>
      </c>
      <c r="F570">
        <v>368</v>
      </c>
      <c r="G570" t="s">
        <v>63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92</v>
      </c>
      <c r="N570" t="s">
        <v>75</v>
      </c>
      <c r="O570" t="s">
        <v>37</v>
      </c>
      <c r="P570">
        <v>97</v>
      </c>
      <c r="Q570">
        <v>4</v>
      </c>
      <c r="R570" t="b">
        <v>0</v>
      </c>
      <c r="S570" t="s">
        <v>30</v>
      </c>
      <c r="T570">
        <v>1108</v>
      </c>
      <c r="U570" t="s">
        <v>38</v>
      </c>
      <c r="V570" t="s">
        <v>39</v>
      </c>
      <c r="W570" t="s">
        <v>40</v>
      </c>
    </row>
    <row r="571" spans="1:23">
      <c r="A571">
        <v>9916</v>
      </c>
      <c r="B571" t="s">
        <v>531</v>
      </c>
      <c r="C571" s="1" t="s">
        <v>575</v>
      </c>
      <c r="D571" s="1" t="s">
        <v>134</v>
      </c>
      <c r="E571">
        <v>7.99</v>
      </c>
      <c r="F571">
        <v>227</v>
      </c>
      <c r="G571" t="s">
        <v>73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49</v>
      </c>
      <c r="N571" t="s">
        <v>56</v>
      </c>
      <c r="O571" t="s">
        <v>57</v>
      </c>
      <c r="P571">
        <v>11</v>
      </c>
      <c r="Q571">
        <v>5</v>
      </c>
      <c r="R571" t="b">
        <v>0</v>
      </c>
      <c r="S571" t="s">
        <v>30</v>
      </c>
      <c r="T571">
        <v>4510</v>
      </c>
      <c r="U571" t="s">
        <v>58</v>
      </c>
      <c r="V571" t="s">
        <v>32</v>
      </c>
      <c r="W571" t="s">
        <v>40</v>
      </c>
    </row>
    <row r="572" spans="1:23">
      <c r="A572">
        <v>2784</v>
      </c>
      <c r="B572" t="s">
        <v>138</v>
      </c>
      <c r="C572" s="1" t="s">
        <v>576</v>
      </c>
      <c r="D572" s="1" t="s">
        <v>25</v>
      </c>
      <c r="E572">
        <v>7.99</v>
      </c>
      <c r="F572">
        <v>484</v>
      </c>
      <c r="G572" t="s">
        <v>51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92</v>
      </c>
      <c r="N572" t="s">
        <v>28</v>
      </c>
      <c r="O572" t="s">
        <v>78</v>
      </c>
      <c r="P572">
        <v>15</v>
      </c>
      <c r="Q572">
        <v>3.1</v>
      </c>
      <c r="R572" t="b">
        <v>0</v>
      </c>
      <c r="S572" t="s">
        <v>30</v>
      </c>
      <c r="T572">
        <v>1042</v>
      </c>
      <c r="U572" t="s">
        <v>76</v>
      </c>
      <c r="V572" t="s">
        <v>59</v>
      </c>
      <c r="W572" t="s">
        <v>33</v>
      </c>
    </row>
    <row r="573" spans="1:23">
      <c r="A573">
        <v>5916</v>
      </c>
      <c r="B573" t="s">
        <v>148</v>
      </c>
      <c r="C573" s="1" t="s">
        <v>493</v>
      </c>
      <c r="D573" s="1">
        <v>45547</v>
      </c>
      <c r="E573">
        <v>15.99</v>
      </c>
      <c r="F573">
        <v>14</v>
      </c>
      <c r="G573" t="s">
        <v>36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74</v>
      </c>
      <c r="N573" t="s">
        <v>44</v>
      </c>
      <c r="O573" t="s">
        <v>78</v>
      </c>
      <c r="P573">
        <v>41</v>
      </c>
      <c r="Q573">
        <v>3.4</v>
      </c>
      <c r="R573" t="b">
        <v>1</v>
      </c>
      <c r="S573" t="s">
        <v>30</v>
      </c>
      <c r="T573">
        <v>2175</v>
      </c>
      <c r="U573" t="s">
        <v>65</v>
      </c>
      <c r="V573" t="s">
        <v>59</v>
      </c>
      <c r="W573" t="s">
        <v>40</v>
      </c>
    </row>
    <row r="574" spans="1:23">
      <c r="A574">
        <v>1674</v>
      </c>
      <c r="B574" t="s">
        <v>177</v>
      </c>
      <c r="C574" s="1" t="s">
        <v>577</v>
      </c>
      <c r="D574" s="1" t="s">
        <v>35</v>
      </c>
      <c r="E574">
        <v>11.99</v>
      </c>
      <c r="F574">
        <v>328</v>
      </c>
      <c r="G574" t="s">
        <v>73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49</v>
      </c>
      <c r="N574" t="s">
        <v>28</v>
      </c>
      <c r="O574" t="s">
        <v>78</v>
      </c>
      <c r="P574">
        <v>19</v>
      </c>
      <c r="Q574">
        <v>4.4000000000000004</v>
      </c>
      <c r="R574" t="b">
        <v>1</v>
      </c>
      <c r="S574" t="s">
        <v>30</v>
      </c>
      <c r="T574">
        <v>1311</v>
      </c>
      <c r="U574" t="s">
        <v>31</v>
      </c>
      <c r="V574" t="s">
        <v>32</v>
      </c>
      <c r="W574" t="s">
        <v>60</v>
      </c>
    </row>
    <row r="575" spans="1:23">
      <c r="A575">
        <v>2095</v>
      </c>
      <c r="B575" t="s">
        <v>357</v>
      </c>
      <c r="C575" s="1" t="s">
        <v>327</v>
      </c>
      <c r="D575" s="1" t="s">
        <v>168</v>
      </c>
      <c r="E575">
        <v>11.99</v>
      </c>
      <c r="F575">
        <v>279</v>
      </c>
      <c r="G575" t="s">
        <v>100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43</v>
      </c>
      <c r="N575" t="s">
        <v>75</v>
      </c>
      <c r="O575" t="s">
        <v>45</v>
      </c>
      <c r="P575">
        <v>81</v>
      </c>
      <c r="Q575">
        <v>4.7</v>
      </c>
      <c r="R575" t="b">
        <v>1</v>
      </c>
      <c r="S575" t="s">
        <v>30</v>
      </c>
      <c r="T575">
        <v>4201</v>
      </c>
      <c r="U575" t="s">
        <v>65</v>
      </c>
      <c r="V575" t="s">
        <v>79</v>
      </c>
      <c r="W575" t="s">
        <v>33</v>
      </c>
    </row>
    <row r="576" spans="1:23">
      <c r="A576">
        <v>9594</v>
      </c>
      <c r="B576" t="s">
        <v>138</v>
      </c>
      <c r="C576" s="1" t="s">
        <v>578</v>
      </c>
      <c r="D576" s="1">
        <v>45363</v>
      </c>
      <c r="E576">
        <v>7.99</v>
      </c>
      <c r="F576">
        <v>158</v>
      </c>
      <c r="G576" t="s">
        <v>26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92</v>
      </c>
      <c r="N576" t="s">
        <v>56</v>
      </c>
      <c r="O576" t="s">
        <v>64</v>
      </c>
      <c r="P576">
        <v>95</v>
      </c>
      <c r="Q576">
        <v>4.4000000000000004</v>
      </c>
      <c r="R576" t="b">
        <v>1</v>
      </c>
      <c r="S576" t="s">
        <v>30</v>
      </c>
      <c r="T576">
        <v>513</v>
      </c>
      <c r="U576" t="s">
        <v>65</v>
      </c>
      <c r="V576" t="s">
        <v>59</v>
      </c>
      <c r="W576" t="s">
        <v>33</v>
      </c>
    </row>
    <row r="577" spans="1:23">
      <c r="A577">
        <v>6750</v>
      </c>
      <c r="B577" t="s">
        <v>23</v>
      </c>
      <c r="C577" s="1" t="s">
        <v>410</v>
      </c>
      <c r="D577" s="1">
        <v>45334</v>
      </c>
      <c r="E577">
        <v>7.99</v>
      </c>
      <c r="F577">
        <v>422</v>
      </c>
      <c r="G577" t="s">
        <v>48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92</v>
      </c>
      <c r="N577" t="s">
        <v>56</v>
      </c>
      <c r="O577" t="s">
        <v>64</v>
      </c>
      <c r="P577">
        <v>12</v>
      </c>
      <c r="Q577">
        <v>4.4000000000000004</v>
      </c>
      <c r="R577" t="b">
        <v>1</v>
      </c>
      <c r="S577" t="s">
        <v>30</v>
      </c>
      <c r="T577">
        <v>1330</v>
      </c>
      <c r="U577" t="s">
        <v>31</v>
      </c>
      <c r="V577" t="s">
        <v>59</v>
      </c>
      <c r="W577" t="s">
        <v>93</v>
      </c>
    </row>
    <row r="578" spans="1:23">
      <c r="A578">
        <v>7235</v>
      </c>
      <c r="B578" t="s">
        <v>171</v>
      </c>
      <c r="C578" s="1">
        <v>44986</v>
      </c>
      <c r="D578" s="1" t="s">
        <v>168</v>
      </c>
      <c r="E578">
        <v>7.99</v>
      </c>
      <c r="F578">
        <v>235</v>
      </c>
      <c r="G578" t="s">
        <v>63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49</v>
      </c>
      <c r="N578" t="s">
        <v>56</v>
      </c>
      <c r="O578" t="s">
        <v>29</v>
      </c>
      <c r="P578">
        <v>77</v>
      </c>
      <c r="Q578">
        <v>4.2</v>
      </c>
      <c r="R578" t="b">
        <v>0</v>
      </c>
      <c r="S578" t="s">
        <v>30</v>
      </c>
      <c r="T578">
        <v>3689</v>
      </c>
      <c r="U578" t="s">
        <v>58</v>
      </c>
      <c r="V578" t="s">
        <v>69</v>
      </c>
      <c r="W578" t="s">
        <v>40</v>
      </c>
    </row>
    <row r="579" spans="1:23">
      <c r="A579">
        <v>3910</v>
      </c>
      <c r="B579" t="s">
        <v>260</v>
      </c>
      <c r="C579" s="1" t="s">
        <v>198</v>
      </c>
      <c r="D579" s="1">
        <v>45516</v>
      </c>
      <c r="E579">
        <v>11.99</v>
      </c>
      <c r="F579">
        <v>331</v>
      </c>
      <c r="G579" t="s">
        <v>100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68</v>
      </c>
      <c r="N579" t="s">
        <v>44</v>
      </c>
      <c r="O579" t="s">
        <v>45</v>
      </c>
      <c r="P579">
        <v>55</v>
      </c>
      <c r="Q579">
        <v>3.5</v>
      </c>
      <c r="R579" t="b">
        <v>0</v>
      </c>
      <c r="S579" t="s">
        <v>30</v>
      </c>
      <c r="T579">
        <v>670</v>
      </c>
      <c r="U579" t="s">
        <v>76</v>
      </c>
      <c r="V579" t="s">
        <v>59</v>
      </c>
      <c r="W579" t="s">
        <v>93</v>
      </c>
    </row>
    <row r="580" spans="1:23">
      <c r="A580">
        <v>8190</v>
      </c>
      <c r="B580" t="s">
        <v>579</v>
      </c>
      <c r="C580" s="1" t="s">
        <v>461</v>
      </c>
      <c r="D580" s="1">
        <v>45547</v>
      </c>
      <c r="E580">
        <v>11.99</v>
      </c>
      <c r="F580">
        <v>148</v>
      </c>
      <c r="G580" t="s">
        <v>51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92</v>
      </c>
      <c r="N580" t="s">
        <v>56</v>
      </c>
      <c r="O580" t="s">
        <v>64</v>
      </c>
      <c r="P580">
        <v>37</v>
      </c>
      <c r="Q580">
        <v>3.1</v>
      </c>
      <c r="R580" t="b">
        <v>1</v>
      </c>
      <c r="S580" t="s">
        <v>30</v>
      </c>
      <c r="T580">
        <v>544</v>
      </c>
      <c r="U580" t="s">
        <v>58</v>
      </c>
      <c r="V580" t="s">
        <v>32</v>
      </c>
      <c r="W580" t="s">
        <v>40</v>
      </c>
    </row>
    <row r="581" spans="1:23">
      <c r="A581">
        <v>5315</v>
      </c>
      <c r="B581" t="s">
        <v>580</v>
      </c>
      <c r="C581" s="1" t="s">
        <v>581</v>
      </c>
      <c r="D581" s="1" t="s">
        <v>54</v>
      </c>
      <c r="E581">
        <v>7.99</v>
      </c>
      <c r="F581">
        <v>198</v>
      </c>
      <c r="G581" t="s">
        <v>63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43</v>
      </c>
      <c r="N581" t="s">
        <v>75</v>
      </c>
      <c r="O581" t="s">
        <v>78</v>
      </c>
      <c r="P581">
        <v>52</v>
      </c>
      <c r="Q581">
        <v>4.8</v>
      </c>
      <c r="R581" t="b">
        <v>0</v>
      </c>
      <c r="S581" t="s">
        <v>30</v>
      </c>
      <c r="T581">
        <v>1392</v>
      </c>
      <c r="U581" t="s">
        <v>65</v>
      </c>
      <c r="V581" t="s">
        <v>39</v>
      </c>
      <c r="W581" t="s">
        <v>93</v>
      </c>
    </row>
    <row r="582" spans="1:23">
      <c r="A582">
        <v>7503</v>
      </c>
      <c r="B582" t="s">
        <v>153</v>
      </c>
      <c r="C582" s="1" t="s">
        <v>582</v>
      </c>
      <c r="D582" s="1">
        <v>45363</v>
      </c>
      <c r="E582">
        <v>15.99</v>
      </c>
      <c r="F582">
        <v>81</v>
      </c>
      <c r="G582" t="s">
        <v>63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92</v>
      </c>
      <c r="N582" t="s">
        <v>44</v>
      </c>
      <c r="O582" t="s">
        <v>64</v>
      </c>
      <c r="P582">
        <v>12</v>
      </c>
      <c r="Q582">
        <v>4.5999999999999996</v>
      </c>
      <c r="R582" t="b">
        <v>0</v>
      </c>
      <c r="S582" t="s">
        <v>30</v>
      </c>
      <c r="T582">
        <v>3199</v>
      </c>
      <c r="U582" t="s">
        <v>76</v>
      </c>
      <c r="V582" t="s">
        <v>39</v>
      </c>
      <c r="W582" t="s">
        <v>60</v>
      </c>
    </row>
    <row r="583" spans="1:23">
      <c r="A583">
        <v>5788</v>
      </c>
      <c r="B583" t="s">
        <v>186</v>
      </c>
      <c r="C583" s="1">
        <v>45051</v>
      </c>
      <c r="D583" s="1" t="s">
        <v>109</v>
      </c>
      <c r="E583">
        <v>11.99</v>
      </c>
      <c r="F583">
        <v>131</v>
      </c>
      <c r="G583" t="s">
        <v>63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74</v>
      </c>
      <c r="N583" t="s">
        <v>56</v>
      </c>
      <c r="O583" t="s">
        <v>57</v>
      </c>
      <c r="P583">
        <v>47</v>
      </c>
      <c r="Q583">
        <v>4.8</v>
      </c>
      <c r="R583" t="b">
        <v>0</v>
      </c>
      <c r="S583" t="s">
        <v>30</v>
      </c>
      <c r="T583">
        <v>4204</v>
      </c>
      <c r="U583" t="s">
        <v>65</v>
      </c>
      <c r="V583" t="s">
        <v>39</v>
      </c>
      <c r="W583" t="s">
        <v>60</v>
      </c>
    </row>
    <row r="584" spans="1:23">
      <c r="A584">
        <v>7030</v>
      </c>
      <c r="B584" t="s">
        <v>583</v>
      </c>
      <c r="C584" s="1" t="s">
        <v>239</v>
      </c>
      <c r="D584" s="1" t="s">
        <v>109</v>
      </c>
      <c r="E584">
        <v>15.99</v>
      </c>
      <c r="F584">
        <v>210</v>
      </c>
      <c r="G584" t="s">
        <v>51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27</v>
      </c>
      <c r="N584" t="s">
        <v>28</v>
      </c>
      <c r="O584" t="s">
        <v>45</v>
      </c>
      <c r="P584">
        <v>38</v>
      </c>
      <c r="Q584">
        <v>4.2</v>
      </c>
      <c r="R584" t="b">
        <v>0</v>
      </c>
      <c r="S584" t="s">
        <v>30</v>
      </c>
      <c r="T584">
        <v>1461</v>
      </c>
      <c r="U584" t="s">
        <v>58</v>
      </c>
      <c r="V584" t="s">
        <v>79</v>
      </c>
      <c r="W584" t="s">
        <v>33</v>
      </c>
    </row>
    <row r="585" spans="1:23">
      <c r="A585">
        <v>6619</v>
      </c>
      <c r="B585" t="s">
        <v>408</v>
      </c>
      <c r="C585" s="1" t="s">
        <v>293</v>
      </c>
      <c r="D585" s="1" t="s">
        <v>129</v>
      </c>
      <c r="E585">
        <v>15.99</v>
      </c>
      <c r="F585">
        <v>301</v>
      </c>
      <c r="G585" t="s">
        <v>51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55</v>
      </c>
      <c r="N585" t="s">
        <v>75</v>
      </c>
      <c r="O585" t="s">
        <v>57</v>
      </c>
      <c r="P585">
        <v>26</v>
      </c>
      <c r="Q585">
        <v>4.4000000000000004</v>
      </c>
      <c r="R585" t="b">
        <v>0</v>
      </c>
      <c r="S585" t="s">
        <v>30</v>
      </c>
      <c r="T585">
        <v>658</v>
      </c>
      <c r="U585" t="s">
        <v>31</v>
      </c>
      <c r="V585" t="s">
        <v>32</v>
      </c>
      <c r="W585" t="s">
        <v>33</v>
      </c>
    </row>
    <row r="586" spans="1:23">
      <c r="A586">
        <v>6319</v>
      </c>
      <c r="B586" t="s">
        <v>584</v>
      </c>
      <c r="C586" s="1">
        <v>44988</v>
      </c>
      <c r="D586" s="1" t="s">
        <v>129</v>
      </c>
      <c r="E586">
        <v>7.99</v>
      </c>
      <c r="F586">
        <v>466</v>
      </c>
      <c r="G586" t="s">
        <v>100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92</v>
      </c>
      <c r="N586" t="s">
        <v>44</v>
      </c>
      <c r="O586" t="s">
        <v>78</v>
      </c>
      <c r="P586">
        <v>81</v>
      </c>
      <c r="Q586">
        <v>4.8</v>
      </c>
      <c r="R586" t="b">
        <v>0</v>
      </c>
      <c r="S586" t="s">
        <v>30</v>
      </c>
      <c r="T586">
        <v>423</v>
      </c>
      <c r="U586" t="s">
        <v>38</v>
      </c>
      <c r="V586" t="s">
        <v>69</v>
      </c>
      <c r="W586" t="s">
        <v>60</v>
      </c>
    </row>
    <row r="587" spans="1:23">
      <c r="A587">
        <v>6268</v>
      </c>
      <c r="B587" t="s">
        <v>313</v>
      </c>
      <c r="C587" s="1" t="s">
        <v>585</v>
      </c>
      <c r="D587" s="1" t="s">
        <v>214</v>
      </c>
      <c r="E587">
        <v>15.99</v>
      </c>
      <c r="F587">
        <v>336</v>
      </c>
      <c r="G587" t="s">
        <v>63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55</v>
      </c>
      <c r="N587" t="s">
        <v>28</v>
      </c>
      <c r="O587" t="s">
        <v>64</v>
      </c>
      <c r="P587">
        <v>31</v>
      </c>
      <c r="Q587">
        <v>3.6</v>
      </c>
      <c r="R587" t="b">
        <v>1</v>
      </c>
      <c r="S587" t="s">
        <v>30</v>
      </c>
      <c r="T587">
        <v>2824</v>
      </c>
      <c r="U587" t="s">
        <v>31</v>
      </c>
      <c r="V587" t="s">
        <v>79</v>
      </c>
      <c r="W587" t="s">
        <v>93</v>
      </c>
    </row>
    <row r="588" spans="1:23">
      <c r="A588">
        <v>5016</v>
      </c>
      <c r="B588" t="s">
        <v>424</v>
      </c>
      <c r="C588" s="1" t="s">
        <v>586</v>
      </c>
      <c r="D588" s="1">
        <v>45608</v>
      </c>
      <c r="E588">
        <v>11.99</v>
      </c>
      <c r="F588">
        <v>280</v>
      </c>
      <c r="G588" t="s">
        <v>73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27</v>
      </c>
      <c r="N588" t="s">
        <v>28</v>
      </c>
      <c r="O588" t="s">
        <v>45</v>
      </c>
      <c r="P588">
        <v>49</v>
      </c>
      <c r="Q588">
        <v>3.3</v>
      </c>
      <c r="R588" t="b">
        <v>0</v>
      </c>
      <c r="S588" t="s">
        <v>30</v>
      </c>
      <c r="T588">
        <v>2657</v>
      </c>
      <c r="U588" t="s">
        <v>58</v>
      </c>
      <c r="V588" t="s">
        <v>79</v>
      </c>
      <c r="W588" t="s">
        <v>93</v>
      </c>
    </row>
    <row r="589" spans="1:23">
      <c r="A589">
        <v>3888</v>
      </c>
      <c r="B589" t="s">
        <v>176</v>
      </c>
      <c r="C589" s="1" t="s">
        <v>554</v>
      </c>
      <c r="D589" s="1" t="s">
        <v>42</v>
      </c>
      <c r="E589">
        <v>15.99</v>
      </c>
      <c r="F589">
        <v>495</v>
      </c>
      <c r="G589" t="s">
        <v>26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68</v>
      </c>
      <c r="N589" t="s">
        <v>75</v>
      </c>
      <c r="O589" t="s">
        <v>64</v>
      </c>
      <c r="P589">
        <v>10</v>
      </c>
      <c r="Q589">
        <v>4.5</v>
      </c>
      <c r="R589" t="b">
        <v>0</v>
      </c>
      <c r="S589" t="s">
        <v>30</v>
      </c>
      <c r="T589">
        <v>2213</v>
      </c>
      <c r="U589" t="s">
        <v>76</v>
      </c>
      <c r="V589" t="s">
        <v>79</v>
      </c>
      <c r="W589" t="s">
        <v>40</v>
      </c>
    </row>
    <row r="590" spans="1:23">
      <c r="A590">
        <v>9918</v>
      </c>
      <c r="B590" t="s">
        <v>238</v>
      </c>
      <c r="C590" s="1" t="s">
        <v>587</v>
      </c>
      <c r="D590" s="1">
        <v>45638</v>
      </c>
      <c r="E590">
        <v>11.99</v>
      </c>
      <c r="F590">
        <v>144</v>
      </c>
      <c r="G590" t="s">
        <v>51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55</v>
      </c>
      <c r="N590" t="s">
        <v>28</v>
      </c>
      <c r="O590" t="s">
        <v>29</v>
      </c>
      <c r="P590">
        <v>18</v>
      </c>
      <c r="Q590">
        <v>3.1</v>
      </c>
      <c r="R590" t="b">
        <v>1</v>
      </c>
      <c r="S590" t="s">
        <v>30</v>
      </c>
      <c r="T590">
        <v>3455</v>
      </c>
      <c r="U590" t="s">
        <v>65</v>
      </c>
      <c r="V590" t="s">
        <v>59</v>
      </c>
      <c r="W590" t="s">
        <v>60</v>
      </c>
    </row>
    <row r="591" spans="1:23">
      <c r="A591">
        <v>7305</v>
      </c>
      <c r="B591" t="s">
        <v>224</v>
      </c>
      <c r="C591" s="1">
        <v>44960</v>
      </c>
      <c r="D591" s="1">
        <v>45334</v>
      </c>
      <c r="E591">
        <v>7.99</v>
      </c>
      <c r="F591">
        <v>165</v>
      </c>
      <c r="G591" t="s">
        <v>100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27</v>
      </c>
      <c r="N591" t="s">
        <v>56</v>
      </c>
      <c r="O591" t="s">
        <v>57</v>
      </c>
      <c r="P591">
        <v>34</v>
      </c>
      <c r="Q591">
        <v>4.2</v>
      </c>
      <c r="R591" t="b">
        <v>1</v>
      </c>
      <c r="S591" t="s">
        <v>30</v>
      </c>
      <c r="T591">
        <v>3334</v>
      </c>
      <c r="U591" t="s">
        <v>76</v>
      </c>
      <c r="V591" t="s">
        <v>39</v>
      </c>
      <c r="W591" t="s">
        <v>40</v>
      </c>
    </row>
    <row r="592" spans="1:23">
      <c r="A592">
        <v>5719</v>
      </c>
      <c r="B592" t="s">
        <v>531</v>
      </c>
      <c r="C592" s="1" t="s">
        <v>588</v>
      </c>
      <c r="D592" s="1" t="s">
        <v>129</v>
      </c>
      <c r="E592">
        <v>11.99</v>
      </c>
      <c r="F592">
        <v>479</v>
      </c>
      <c r="G592" t="s">
        <v>51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74</v>
      </c>
      <c r="N592" t="s">
        <v>75</v>
      </c>
      <c r="O592" t="s">
        <v>78</v>
      </c>
      <c r="P592">
        <v>54</v>
      </c>
      <c r="Q592">
        <v>4.5999999999999996</v>
      </c>
      <c r="R592" t="b">
        <v>0</v>
      </c>
      <c r="S592" t="s">
        <v>30</v>
      </c>
      <c r="T592">
        <v>105</v>
      </c>
      <c r="U592" t="s">
        <v>76</v>
      </c>
      <c r="V592" t="s">
        <v>69</v>
      </c>
      <c r="W592" t="s">
        <v>93</v>
      </c>
    </row>
    <row r="593" spans="1:23">
      <c r="A593">
        <v>2334</v>
      </c>
      <c r="B593" t="s">
        <v>473</v>
      </c>
      <c r="C593" s="1" t="s">
        <v>358</v>
      </c>
      <c r="D593" s="1" t="s">
        <v>156</v>
      </c>
      <c r="E593">
        <v>11.99</v>
      </c>
      <c r="F593">
        <v>285</v>
      </c>
      <c r="G593" t="s">
        <v>73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49</v>
      </c>
      <c r="N593" t="s">
        <v>44</v>
      </c>
      <c r="O593" t="s">
        <v>29</v>
      </c>
      <c r="P593">
        <v>90</v>
      </c>
      <c r="Q593">
        <v>4.5</v>
      </c>
      <c r="R593" t="b">
        <v>0</v>
      </c>
      <c r="S593" t="s">
        <v>30</v>
      </c>
      <c r="T593">
        <v>1404</v>
      </c>
      <c r="U593" t="s">
        <v>31</v>
      </c>
      <c r="V593" t="s">
        <v>69</v>
      </c>
      <c r="W593" t="s">
        <v>60</v>
      </c>
    </row>
    <row r="594" spans="1:23">
      <c r="A594">
        <v>1006</v>
      </c>
      <c r="B594" t="s">
        <v>589</v>
      </c>
      <c r="C594" s="1" t="s">
        <v>590</v>
      </c>
      <c r="D594" s="1" t="s">
        <v>168</v>
      </c>
      <c r="E594">
        <v>11.99</v>
      </c>
      <c r="F594">
        <v>93</v>
      </c>
      <c r="G594" t="s">
        <v>36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55</v>
      </c>
      <c r="N594" t="s">
        <v>56</v>
      </c>
      <c r="O594" t="s">
        <v>64</v>
      </c>
      <c r="P594">
        <v>74</v>
      </c>
      <c r="Q594">
        <v>3</v>
      </c>
      <c r="R594" t="b">
        <v>0</v>
      </c>
      <c r="S594" t="s">
        <v>30</v>
      </c>
      <c r="T594">
        <v>1017</v>
      </c>
      <c r="U594" t="s">
        <v>58</v>
      </c>
      <c r="V594" t="s">
        <v>79</v>
      </c>
      <c r="W594" t="s">
        <v>60</v>
      </c>
    </row>
    <row r="595" spans="1:23">
      <c r="A595">
        <v>6719</v>
      </c>
      <c r="B595" t="s">
        <v>114</v>
      </c>
      <c r="C595" s="1" t="s">
        <v>336</v>
      </c>
      <c r="D595" s="1" t="s">
        <v>87</v>
      </c>
      <c r="E595">
        <v>15.99</v>
      </c>
      <c r="F595">
        <v>299</v>
      </c>
      <c r="G595" t="s">
        <v>63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68</v>
      </c>
      <c r="N595" t="s">
        <v>75</v>
      </c>
      <c r="O595" t="s">
        <v>78</v>
      </c>
      <c r="P595">
        <v>58</v>
      </c>
      <c r="Q595">
        <v>4.8</v>
      </c>
      <c r="R595" t="b">
        <v>0</v>
      </c>
      <c r="S595" t="s">
        <v>30</v>
      </c>
      <c r="T595">
        <v>2812</v>
      </c>
      <c r="U595" t="s">
        <v>38</v>
      </c>
      <c r="V595" t="s">
        <v>39</v>
      </c>
      <c r="W595" t="s">
        <v>40</v>
      </c>
    </row>
    <row r="596" spans="1:23">
      <c r="A596">
        <v>6138</v>
      </c>
      <c r="B596" t="s">
        <v>70</v>
      </c>
      <c r="C596" s="1">
        <v>45536</v>
      </c>
      <c r="D596" s="1" t="s">
        <v>109</v>
      </c>
      <c r="E596">
        <v>15.99</v>
      </c>
      <c r="F596">
        <v>10</v>
      </c>
      <c r="G596" t="s">
        <v>51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55</v>
      </c>
      <c r="N596" t="s">
        <v>56</v>
      </c>
      <c r="O596" t="s">
        <v>64</v>
      </c>
      <c r="P596">
        <v>86</v>
      </c>
      <c r="Q596">
        <v>3.8</v>
      </c>
      <c r="R596" t="b">
        <v>0</v>
      </c>
      <c r="S596" t="s">
        <v>30</v>
      </c>
      <c r="T596">
        <v>959</v>
      </c>
      <c r="U596" t="s">
        <v>31</v>
      </c>
      <c r="V596" t="s">
        <v>69</v>
      </c>
      <c r="W596" t="s">
        <v>33</v>
      </c>
    </row>
    <row r="597" spans="1:23">
      <c r="A597">
        <v>1255</v>
      </c>
      <c r="B597" t="s">
        <v>122</v>
      </c>
      <c r="C597" s="1">
        <v>45112</v>
      </c>
      <c r="D597" s="1">
        <v>45577</v>
      </c>
      <c r="E597">
        <v>11.99</v>
      </c>
      <c r="F597">
        <v>82</v>
      </c>
      <c r="G597" t="s">
        <v>51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55</v>
      </c>
      <c r="N597" t="s">
        <v>75</v>
      </c>
      <c r="O597" t="s">
        <v>78</v>
      </c>
      <c r="P597">
        <v>30</v>
      </c>
      <c r="Q597">
        <v>4.7</v>
      </c>
      <c r="R597" t="b">
        <v>1</v>
      </c>
      <c r="S597" t="s">
        <v>30</v>
      </c>
      <c r="T597">
        <v>1870</v>
      </c>
      <c r="U597" t="s">
        <v>58</v>
      </c>
      <c r="V597" t="s">
        <v>59</v>
      </c>
      <c r="W597" t="s">
        <v>93</v>
      </c>
    </row>
    <row r="598" spans="1:23">
      <c r="A598">
        <v>5528</v>
      </c>
      <c r="B598" t="s">
        <v>179</v>
      </c>
      <c r="C598" s="1" t="s">
        <v>512</v>
      </c>
      <c r="D598" s="1">
        <v>45577</v>
      </c>
      <c r="E598">
        <v>11.99</v>
      </c>
      <c r="F598">
        <v>27</v>
      </c>
      <c r="G598" t="s">
        <v>26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68</v>
      </c>
      <c r="N598" t="s">
        <v>44</v>
      </c>
      <c r="O598" t="s">
        <v>78</v>
      </c>
      <c r="P598">
        <v>69</v>
      </c>
      <c r="Q598">
        <v>3.2</v>
      </c>
      <c r="R598" t="b">
        <v>1</v>
      </c>
      <c r="S598" t="s">
        <v>30</v>
      </c>
      <c r="T598">
        <v>2984</v>
      </c>
      <c r="U598" t="s">
        <v>58</v>
      </c>
      <c r="V598" t="s">
        <v>69</v>
      </c>
      <c r="W598" t="s">
        <v>93</v>
      </c>
    </row>
    <row r="599" spans="1:23">
      <c r="A599">
        <v>2517</v>
      </c>
      <c r="B599" t="s">
        <v>157</v>
      </c>
      <c r="C599" s="1" t="s">
        <v>591</v>
      </c>
      <c r="D599" s="1">
        <v>45303</v>
      </c>
      <c r="E599">
        <v>7.99</v>
      </c>
      <c r="F599">
        <v>105</v>
      </c>
      <c r="G599" t="s">
        <v>48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92</v>
      </c>
      <c r="N599" t="s">
        <v>28</v>
      </c>
      <c r="O599" t="s">
        <v>57</v>
      </c>
      <c r="P599">
        <v>19</v>
      </c>
      <c r="Q599">
        <v>3.2</v>
      </c>
      <c r="R599" t="b">
        <v>1</v>
      </c>
      <c r="S599" t="s">
        <v>30</v>
      </c>
      <c r="T599">
        <v>3379</v>
      </c>
      <c r="U599" t="s">
        <v>31</v>
      </c>
      <c r="V599" t="s">
        <v>32</v>
      </c>
      <c r="W599" t="s">
        <v>93</v>
      </c>
    </row>
    <row r="600" spans="1:23">
      <c r="A600">
        <v>9593</v>
      </c>
      <c r="B600" t="s">
        <v>592</v>
      </c>
      <c r="C600" s="1">
        <v>45270</v>
      </c>
      <c r="D600" s="1" t="s">
        <v>156</v>
      </c>
      <c r="E600">
        <v>15.99</v>
      </c>
      <c r="F600">
        <v>330</v>
      </c>
      <c r="G600" t="s">
        <v>63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49</v>
      </c>
      <c r="N600" t="s">
        <v>28</v>
      </c>
      <c r="O600" t="s">
        <v>64</v>
      </c>
      <c r="P600">
        <v>38</v>
      </c>
      <c r="Q600">
        <v>3</v>
      </c>
      <c r="R600" t="b">
        <v>1</v>
      </c>
      <c r="S600" t="s">
        <v>30</v>
      </c>
      <c r="T600">
        <v>4990</v>
      </c>
      <c r="U600" t="s">
        <v>38</v>
      </c>
      <c r="V600" t="s">
        <v>79</v>
      </c>
      <c r="W600" t="s">
        <v>40</v>
      </c>
    </row>
    <row r="601" spans="1:23">
      <c r="A601">
        <v>7507</v>
      </c>
      <c r="B601" t="s">
        <v>404</v>
      </c>
      <c r="C601" s="1">
        <v>45446</v>
      </c>
      <c r="D601" s="1">
        <v>45577</v>
      </c>
      <c r="E601">
        <v>11.99</v>
      </c>
      <c r="F601">
        <v>462</v>
      </c>
      <c r="G601" t="s">
        <v>51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92</v>
      </c>
      <c r="N601" t="s">
        <v>56</v>
      </c>
      <c r="O601" t="s">
        <v>37</v>
      </c>
      <c r="P601">
        <v>71</v>
      </c>
      <c r="Q601">
        <v>4.8</v>
      </c>
      <c r="R601" t="b">
        <v>0</v>
      </c>
      <c r="S601" t="s">
        <v>30</v>
      </c>
      <c r="T601">
        <v>2554</v>
      </c>
      <c r="U601" t="s">
        <v>58</v>
      </c>
      <c r="V601" t="s">
        <v>32</v>
      </c>
      <c r="W601" t="s">
        <v>40</v>
      </c>
    </row>
    <row r="602" spans="1:23">
      <c r="A602">
        <v>2884</v>
      </c>
      <c r="B602" t="s">
        <v>549</v>
      </c>
      <c r="C602" s="1" t="s">
        <v>462</v>
      </c>
      <c r="D602" s="1" t="s">
        <v>35</v>
      </c>
      <c r="E602">
        <v>15.99</v>
      </c>
      <c r="F602">
        <v>250</v>
      </c>
      <c r="G602" t="s">
        <v>26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74</v>
      </c>
      <c r="N602" t="s">
        <v>75</v>
      </c>
      <c r="O602" t="s">
        <v>29</v>
      </c>
      <c r="P602">
        <v>34</v>
      </c>
      <c r="Q602">
        <v>4.7</v>
      </c>
      <c r="R602" t="b">
        <v>0</v>
      </c>
      <c r="S602" t="s">
        <v>30</v>
      </c>
      <c r="T602">
        <v>4307</v>
      </c>
      <c r="U602" t="s">
        <v>76</v>
      </c>
      <c r="V602" t="s">
        <v>59</v>
      </c>
      <c r="W602" t="s">
        <v>40</v>
      </c>
    </row>
    <row r="603" spans="1:23">
      <c r="A603">
        <v>6374</v>
      </c>
      <c r="B603" t="s">
        <v>495</v>
      </c>
      <c r="C603" s="1">
        <v>45114</v>
      </c>
      <c r="D603" s="1" t="s">
        <v>54</v>
      </c>
      <c r="E603">
        <v>15.99</v>
      </c>
      <c r="F603">
        <v>30</v>
      </c>
      <c r="G603" t="s">
        <v>26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55</v>
      </c>
      <c r="N603" t="s">
        <v>28</v>
      </c>
      <c r="O603" t="s">
        <v>45</v>
      </c>
      <c r="P603">
        <v>20</v>
      </c>
      <c r="Q603">
        <v>4.5999999999999996</v>
      </c>
      <c r="R603" t="b">
        <v>1</v>
      </c>
      <c r="S603" t="s">
        <v>30</v>
      </c>
      <c r="T603">
        <v>3124</v>
      </c>
      <c r="U603" t="s">
        <v>31</v>
      </c>
      <c r="V603" t="s">
        <v>69</v>
      </c>
      <c r="W603" t="s">
        <v>93</v>
      </c>
    </row>
    <row r="604" spans="1:23">
      <c r="A604">
        <v>6888</v>
      </c>
      <c r="B604" t="s">
        <v>196</v>
      </c>
      <c r="C604" s="1">
        <v>45509</v>
      </c>
      <c r="D604" s="1">
        <v>45363</v>
      </c>
      <c r="E604">
        <v>15.99</v>
      </c>
      <c r="F604">
        <v>364</v>
      </c>
      <c r="G604" t="s">
        <v>73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27</v>
      </c>
      <c r="N604" t="s">
        <v>56</v>
      </c>
      <c r="O604" t="s">
        <v>45</v>
      </c>
      <c r="P604">
        <v>31</v>
      </c>
      <c r="Q604">
        <v>3.1</v>
      </c>
      <c r="R604" t="b">
        <v>0</v>
      </c>
      <c r="S604" t="s">
        <v>30</v>
      </c>
      <c r="T604">
        <v>1261</v>
      </c>
      <c r="U604" t="s">
        <v>31</v>
      </c>
      <c r="V604" t="s">
        <v>32</v>
      </c>
      <c r="W604" t="s">
        <v>33</v>
      </c>
    </row>
    <row r="605" spans="1:23">
      <c r="A605">
        <v>2788</v>
      </c>
      <c r="B605" t="s">
        <v>593</v>
      </c>
      <c r="C605" s="1">
        <v>45171</v>
      </c>
      <c r="D605" s="1">
        <v>45455</v>
      </c>
      <c r="E605">
        <v>15.99</v>
      </c>
      <c r="F605">
        <v>404</v>
      </c>
      <c r="G605" t="s">
        <v>73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74</v>
      </c>
      <c r="N605" t="s">
        <v>56</v>
      </c>
      <c r="O605" t="s">
        <v>45</v>
      </c>
      <c r="P605">
        <v>60</v>
      </c>
      <c r="Q605">
        <v>3.8</v>
      </c>
      <c r="R605" t="b">
        <v>0</v>
      </c>
      <c r="S605" t="s">
        <v>30</v>
      </c>
      <c r="T605">
        <v>1290</v>
      </c>
      <c r="U605" t="s">
        <v>58</v>
      </c>
      <c r="V605" t="s">
        <v>32</v>
      </c>
      <c r="W605" t="s">
        <v>33</v>
      </c>
    </row>
    <row r="606" spans="1:23">
      <c r="A606">
        <v>7892</v>
      </c>
      <c r="B606" t="s">
        <v>137</v>
      </c>
      <c r="C606" s="1">
        <v>45327</v>
      </c>
      <c r="D606" s="1" t="s">
        <v>87</v>
      </c>
      <c r="E606">
        <v>7.99</v>
      </c>
      <c r="F606">
        <v>499</v>
      </c>
      <c r="G606" t="s">
        <v>100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92</v>
      </c>
      <c r="N606" t="s">
        <v>56</v>
      </c>
      <c r="O606" t="s">
        <v>78</v>
      </c>
      <c r="P606">
        <v>82</v>
      </c>
      <c r="Q606">
        <v>3.7</v>
      </c>
      <c r="R606" t="b">
        <v>0</v>
      </c>
      <c r="S606" t="s">
        <v>30</v>
      </c>
      <c r="T606">
        <v>874</v>
      </c>
      <c r="U606" t="s">
        <v>31</v>
      </c>
      <c r="V606" t="s">
        <v>79</v>
      </c>
      <c r="W606" t="s">
        <v>60</v>
      </c>
    </row>
    <row r="607" spans="1:23">
      <c r="A607">
        <v>4576</v>
      </c>
      <c r="B607" t="s">
        <v>138</v>
      </c>
      <c r="C607" s="1" t="s">
        <v>594</v>
      </c>
      <c r="D607" s="1" t="s">
        <v>129</v>
      </c>
      <c r="E607">
        <v>15.99</v>
      </c>
      <c r="F607">
        <v>480</v>
      </c>
      <c r="G607" t="s">
        <v>36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74</v>
      </c>
      <c r="N607" t="s">
        <v>56</v>
      </c>
      <c r="O607" t="s">
        <v>45</v>
      </c>
      <c r="P607">
        <v>39</v>
      </c>
      <c r="Q607">
        <v>4.3</v>
      </c>
      <c r="R607" t="b">
        <v>1</v>
      </c>
      <c r="S607" t="s">
        <v>30</v>
      </c>
      <c r="T607">
        <v>1734</v>
      </c>
      <c r="U607" t="s">
        <v>76</v>
      </c>
      <c r="V607" t="s">
        <v>39</v>
      </c>
      <c r="W607" t="s">
        <v>60</v>
      </c>
    </row>
    <row r="608" spans="1:23">
      <c r="A608">
        <v>8901</v>
      </c>
      <c r="B608" t="s">
        <v>595</v>
      </c>
      <c r="C608" s="1">
        <v>45536</v>
      </c>
      <c r="D608" s="1" t="s">
        <v>168</v>
      </c>
      <c r="E608">
        <v>11.99</v>
      </c>
      <c r="F608">
        <v>417</v>
      </c>
      <c r="G608" t="s">
        <v>26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27</v>
      </c>
      <c r="N608" t="s">
        <v>75</v>
      </c>
      <c r="O608" t="s">
        <v>29</v>
      </c>
      <c r="P608">
        <v>12</v>
      </c>
      <c r="Q608">
        <v>4.0999999999999996</v>
      </c>
      <c r="R608" t="b">
        <v>1</v>
      </c>
      <c r="S608" t="s">
        <v>30</v>
      </c>
      <c r="T608">
        <v>2444</v>
      </c>
      <c r="U608" t="s">
        <v>76</v>
      </c>
      <c r="V608" t="s">
        <v>79</v>
      </c>
      <c r="W608" t="s">
        <v>60</v>
      </c>
    </row>
    <row r="609" spans="1:23">
      <c r="A609">
        <v>5147</v>
      </c>
      <c r="B609" t="s">
        <v>140</v>
      </c>
      <c r="C609" s="1" t="s">
        <v>596</v>
      </c>
      <c r="D609" s="1" t="s">
        <v>42</v>
      </c>
      <c r="E609">
        <v>7.99</v>
      </c>
      <c r="F609">
        <v>215</v>
      </c>
      <c r="G609" t="s">
        <v>73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49</v>
      </c>
      <c r="N609" t="s">
        <v>28</v>
      </c>
      <c r="O609" t="s">
        <v>29</v>
      </c>
      <c r="P609">
        <v>76</v>
      </c>
      <c r="Q609">
        <v>4.5</v>
      </c>
      <c r="R609" t="b">
        <v>0</v>
      </c>
      <c r="S609" t="s">
        <v>30</v>
      </c>
      <c r="T609">
        <v>1529</v>
      </c>
      <c r="U609" t="s">
        <v>31</v>
      </c>
      <c r="V609" t="s">
        <v>32</v>
      </c>
      <c r="W609" t="s">
        <v>33</v>
      </c>
    </row>
    <row r="610" spans="1:23">
      <c r="A610">
        <v>8646</v>
      </c>
      <c r="B610" t="s">
        <v>294</v>
      </c>
      <c r="C610" s="1" t="s">
        <v>597</v>
      </c>
      <c r="D610" s="1">
        <v>45455</v>
      </c>
      <c r="E610">
        <v>7.99</v>
      </c>
      <c r="F610">
        <v>234</v>
      </c>
      <c r="G610" t="s">
        <v>26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49</v>
      </c>
      <c r="N610" t="s">
        <v>28</v>
      </c>
      <c r="O610" t="s">
        <v>78</v>
      </c>
      <c r="P610">
        <v>31</v>
      </c>
      <c r="Q610">
        <v>3.8</v>
      </c>
      <c r="R610" t="b">
        <v>1</v>
      </c>
      <c r="S610" t="s">
        <v>30</v>
      </c>
      <c r="T610">
        <v>1976</v>
      </c>
      <c r="U610" t="s">
        <v>65</v>
      </c>
      <c r="V610" t="s">
        <v>79</v>
      </c>
      <c r="W610" t="s">
        <v>33</v>
      </c>
    </row>
    <row r="611" spans="1:23">
      <c r="A611">
        <v>8343</v>
      </c>
      <c r="B611" t="s">
        <v>140</v>
      </c>
      <c r="C611" s="1">
        <v>45333</v>
      </c>
      <c r="D611" s="1" t="s">
        <v>72</v>
      </c>
      <c r="E611">
        <v>7.99</v>
      </c>
      <c r="F611">
        <v>103</v>
      </c>
      <c r="G611" t="s">
        <v>26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92</v>
      </c>
      <c r="N611" t="s">
        <v>28</v>
      </c>
      <c r="O611" t="s">
        <v>64</v>
      </c>
      <c r="P611">
        <v>30</v>
      </c>
      <c r="Q611">
        <v>4</v>
      </c>
      <c r="R611" t="b">
        <v>0</v>
      </c>
      <c r="S611" t="s">
        <v>30</v>
      </c>
      <c r="T611">
        <v>3452</v>
      </c>
      <c r="U611" t="s">
        <v>31</v>
      </c>
      <c r="V611" t="s">
        <v>79</v>
      </c>
      <c r="W611" t="s">
        <v>93</v>
      </c>
    </row>
    <row r="612" spans="1:23">
      <c r="A612">
        <v>9332</v>
      </c>
      <c r="B612" t="s">
        <v>41</v>
      </c>
      <c r="C612" s="1" t="s">
        <v>397</v>
      </c>
      <c r="D612" s="1" t="s">
        <v>103</v>
      </c>
      <c r="E612">
        <v>15.99</v>
      </c>
      <c r="F612">
        <v>191</v>
      </c>
      <c r="G612" t="s">
        <v>51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27</v>
      </c>
      <c r="N612" t="s">
        <v>28</v>
      </c>
      <c r="O612" t="s">
        <v>29</v>
      </c>
      <c r="P612">
        <v>71</v>
      </c>
      <c r="Q612">
        <v>4</v>
      </c>
      <c r="R612" t="b">
        <v>0</v>
      </c>
      <c r="S612" t="s">
        <v>30</v>
      </c>
      <c r="T612">
        <v>2610</v>
      </c>
      <c r="U612" t="s">
        <v>58</v>
      </c>
      <c r="V612" t="s">
        <v>59</v>
      </c>
      <c r="W612" t="s">
        <v>60</v>
      </c>
    </row>
    <row r="613" spans="1:23">
      <c r="A613">
        <v>7398</v>
      </c>
      <c r="B613" t="s">
        <v>349</v>
      </c>
      <c r="C613" s="1" t="s">
        <v>565</v>
      </c>
      <c r="D613" s="1" t="s">
        <v>35</v>
      </c>
      <c r="E613">
        <v>11.99</v>
      </c>
      <c r="F613">
        <v>82</v>
      </c>
      <c r="G613" t="s">
        <v>36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43</v>
      </c>
      <c r="N613" t="s">
        <v>28</v>
      </c>
      <c r="O613" t="s">
        <v>37</v>
      </c>
      <c r="P613">
        <v>41</v>
      </c>
      <c r="Q613">
        <v>4.7</v>
      </c>
      <c r="R613" t="b">
        <v>1</v>
      </c>
      <c r="S613" t="s">
        <v>30</v>
      </c>
      <c r="T613">
        <v>3152</v>
      </c>
      <c r="U613" t="s">
        <v>31</v>
      </c>
      <c r="V613" t="s">
        <v>39</v>
      </c>
      <c r="W613" t="s">
        <v>40</v>
      </c>
    </row>
    <row r="614" spans="1:23">
      <c r="A614">
        <v>3572</v>
      </c>
      <c r="B614" t="s">
        <v>598</v>
      </c>
      <c r="C614" s="1">
        <v>45386</v>
      </c>
      <c r="D614" s="1" t="s">
        <v>35</v>
      </c>
      <c r="E614">
        <v>11.99</v>
      </c>
      <c r="F614">
        <v>468</v>
      </c>
      <c r="G614" t="s">
        <v>51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55</v>
      </c>
      <c r="N614" t="s">
        <v>28</v>
      </c>
      <c r="O614" t="s">
        <v>57</v>
      </c>
      <c r="P614">
        <v>98</v>
      </c>
      <c r="Q614">
        <v>4.9000000000000004</v>
      </c>
      <c r="R614" t="b">
        <v>0</v>
      </c>
      <c r="S614" t="s">
        <v>30</v>
      </c>
      <c r="T614">
        <v>4963</v>
      </c>
      <c r="U614" t="s">
        <v>76</v>
      </c>
      <c r="V614" t="s">
        <v>59</v>
      </c>
      <c r="W614" t="s">
        <v>40</v>
      </c>
    </row>
    <row r="615" spans="1:23">
      <c r="A615">
        <v>4590</v>
      </c>
      <c r="B615" t="s">
        <v>553</v>
      </c>
      <c r="C615" s="1" t="s">
        <v>237</v>
      </c>
      <c r="D615" s="1">
        <v>45363</v>
      </c>
      <c r="E615">
        <v>11.99</v>
      </c>
      <c r="F615">
        <v>366</v>
      </c>
      <c r="G615" t="s">
        <v>100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49</v>
      </c>
      <c r="N615" t="s">
        <v>44</v>
      </c>
      <c r="O615" t="s">
        <v>29</v>
      </c>
      <c r="P615">
        <v>56</v>
      </c>
      <c r="Q615">
        <v>3.6</v>
      </c>
      <c r="R615" t="b">
        <v>1</v>
      </c>
      <c r="S615" t="s">
        <v>30</v>
      </c>
      <c r="T615">
        <v>3290</v>
      </c>
      <c r="U615" t="s">
        <v>38</v>
      </c>
      <c r="V615" t="s">
        <v>79</v>
      </c>
      <c r="W615" t="s">
        <v>33</v>
      </c>
    </row>
    <row r="616" spans="1:23">
      <c r="A616">
        <v>1831</v>
      </c>
      <c r="B616" t="s">
        <v>88</v>
      </c>
      <c r="C616" s="1">
        <v>45636</v>
      </c>
      <c r="D616" s="1">
        <v>45608</v>
      </c>
      <c r="E616">
        <v>7.99</v>
      </c>
      <c r="F616">
        <v>53</v>
      </c>
      <c r="G616" t="s">
        <v>48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74</v>
      </c>
      <c r="N616" t="s">
        <v>56</v>
      </c>
      <c r="O616" t="s">
        <v>64</v>
      </c>
      <c r="P616">
        <v>26</v>
      </c>
      <c r="Q616">
        <v>4.0999999999999996</v>
      </c>
      <c r="R616" t="b">
        <v>1</v>
      </c>
      <c r="S616" t="s">
        <v>30</v>
      </c>
      <c r="T616">
        <v>2596</v>
      </c>
      <c r="U616" t="s">
        <v>58</v>
      </c>
      <c r="V616" t="s">
        <v>69</v>
      </c>
      <c r="W616" t="s">
        <v>33</v>
      </c>
    </row>
    <row r="617" spans="1:23">
      <c r="A617">
        <v>6899</v>
      </c>
      <c r="B617" t="s">
        <v>284</v>
      </c>
      <c r="C617" s="1">
        <v>45050</v>
      </c>
      <c r="D617" s="1">
        <v>45424</v>
      </c>
      <c r="E617">
        <v>15.99</v>
      </c>
      <c r="F617">
        <v>102</v>
      </c>
      <c r="G617" t="s">
        <v>63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92</v>
      </c>
      <c r="N617" t="s">
        <v>75</v>
      </c>
      <c r="O617" t="s">
        <v>78</v>
      </c>
      <c r="P617">
        <v>9</v>
      </c>
      <c r="Q617">
        <v>4.3</v>
      </c>
      <c r="R617" t="b">
        <v>0</v>
      </c>
      <c r="S617" t="s">
        <v>30</v>
      </c>
      <c r="T617">
        <v>745</v>
      </c>
      <c r="U617" t="s">
        <v>76</v>
      </c>
      <c r="V617" t="s">
        <v>39</v>
      </c>
      <c r="W617" t="s">
        <v>33</v>
      </c>
    </row>
    <row r="618" spans="1:23">
      <c r="A618">
        <v>1148</v>
      </c>
      <c r="B618" t="s">
        <v>88</v>
      </c>
      <c r="C618" s="1" t="s">
        <v>265</v>
      </c>
      <c r="D618" s="1" t="s">
        <v>105</v>
      </c>
      <c r="E618">
        <v>15.99</v>
      </c>
      <c r="F618">
        <v>259</v>
      </c>
      <c r="G618" t="s">
        <v>26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74</v>
      </c>
      <c r="N618" t="s">
        <v>75</v>
      </c>
      <c r="O618" t="s">
        <v>37</v>
      </c>
      <c r="P618">
        <v>33</v>
      </c>
      <c r="Q618">
        <v>4.2</v>
      </c>
      <c r="R618" t="b">
        <v>1</v>
      </c>
      <c r="S618" t="s">
        <v>30</v>
      </c>
      <c r="T618">
        <v>668</v>
      </c>
      <c r="U618" t="s">
        <v>76</v>
      </c>
      <c r="V618" t="s">
        <v>39</v>
      </c>
      <c r="W618" t="s">
        <v>60</v>
      </c>
    </row>
    <row r="619" spans="1:23">
      <c r="A619">
        <v>3745</v>
      </c>
      <c r="B619" t="s">
        <v>325</v>
      </c>
      <c r="C619" s="1">
        <v>45635</v>
      </c>
      <c r="D619" s="1" t="s">
        <v>129</v>
      </c>
      <c r="E619">
        <v>11.99</v>
      </c>
      <c r="F619">
        <v>81</v>
      </c>
      <c r="G619" t="s">
        <v>100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43</v>
      </c>
      <c r="N619" t="s">
        <v>44</v>
      </c>
      <c r="O619" t="s">
        <v>64</v>
      </c>
      <c r="P619">
        <v>11</v>
      </c>
      <c r="Q619">
        <v>4.7</v>
      </c>
      <c r="R619" t="b">
        <v>1</v>
      </c>
      <c r="S619" t="s">
        <v>30</v>
      </c>
      <c r="T619">
        <v>3282</v>
      </c>
      <c r="U619" t="s">
        <v>76</v>
      </c>
      <c r="V619" t="s">
        <v>32</v>
      </c>
      <c r="W619" t="s">
        <v>33</v>
      </c>
    </row>
    <row r="620" spans="1:23">
      <c r="A620">
        <v>5084</v>
      </c>
      <c r="B620" t="s">
        <v>599</v>
      </c>
      <c r="C620" s="1" t="s">
        <v>195</v>
      </c>
      <c r="D620" s="1" t="s">
        <v>82</v>
      </c>
      <c r="E620">
        <v>11.99</v>
      </c>
      <c r="F620">
        <v>135</v>
      </c>
      <c r="G620" t="s">
        <v>26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43</v>
      </c>
      <c r="N620" t="s">
        <v>56</v>
      </c>
      <c r="O620" t="s">
        <v>78</v>
      </c>
      <c r="P620">
        <v>91</v>
      </c>
      <c r="Q620">
        <v>4.4000000000000004</v>
      </c>
      <c r="R620" t="b">
        <v>0</v>
      </c>
      <c r="S620" t="s">
        <v>30</v>
      </c>
      <c r="T620">
        <v>1510</v>
      </c>
      <c r="U620" t="s">
        <v>58</v>
      </c>
      <c r="V620" t="s">
        <v>79</v>
      </c>
      <c r="W620" t="s">
        <v>33</v>
      </c>
    </row>
    <row r="621" spans="1:23">
      <c r="A621">
        <v>7179</v>
      </c>
      <c r="B621" t="s">
        <v>157</v>
      </c>
      <c r="C621" s="1">
        <v>45178</v>
      </c>
      <c r="D621" s="1" t="s">
        <v>168</v>
      </c>
      <c r="E621">
        <v>11.99</v>
      </c>
      <c r="F621">
        <v>465</v>
      </c>
      <c r="G621" t="s">
        <v>73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92</v>
      </c>
      <c r="N621" t="s">
        <v>44</v>
      </c>
      <c r="O621" t="s">
        <v>45</v>
      </c>
      <c r="P621">
        <v>8</v>
      </c>
      <c r="Q621">
        <v>4.5999999999999996</v>
      </c>
      <c r="R621" t="b">
        <v>1</v>
      </c>
      <c r="S621" t="s">
        <v>30</v>
      </c>
      <c r="T621">
        <v>1206</v>
      </c>
      <c r="U621" t="s">
        <v>31</v>
      </c>
      <c r="V621" t="s">
        <v>32</v>
      </c>
      <c r="W621" t="s">
        <v>60</v>
      </c>
    </row>
    <row r="622" spans="1:23">
      <c r="A622">
        <v>1005</v>
      </c>
      <c r="B622" t="s">
        <v>304</v>
      </c>
      <c r="C622" s="1" t="s">
        <v>402</v>
      </c>
      <c r="D622" s="1">
        <v>45577</v>
      </c>
      <c r="E622">
        <v>11.99</v>
      </c>
      <c r="F622">
        <v>163</v>
      </c>
      <c r="G622" t="s">
        <v>63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55</v>
      </c>
      <c r="N622" t="s">
        <v>56</v>
      </c>
      <c r="O622" t="s">
        <v>64</v>
      </c>
      <c r="P622">
        <v>43</v>
      </c>
      <c r="Q622">
        <v>4.5999999999999996</v>
      </c>
      <c r="R622" t="b">
        <v>1</v>
      </c>
      <c r="S622" t="s">
        <v>30</v>
      </c>
      <c r="T622">
        <v>168</v>
      </c>
      <c r="U622" t="s">
        <v>65</v>
      </c>
      <c r="V622" t="s">
        <v>79</v>
      </c>
      <c r="W622" t="s">
        <v>93</v>
      </c>
    </row>
    <row r="623" spans="1:23">
      <c r="A623">
        <v>6405</v>
      </c>
      <c r="B623" t="s">
        <v>598</v>
      </c>
      <c r="C623" s="1" t="s">
        <v>600</v>
      </c>
      <c r="D623" s="1">
        <v>45608</v>
      </c>
      <c r="E623">
        <v>11.99</v>
      </c>
      <c r="F623">
        <v>321</v>
      </c>
      <c r="G623" t="s">
        <v>73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55</v>
      </c>
      <c r="N623" t="s">
        <v>75</v>
      </c>
      <c r="O623" t="s">
        <v>37</v>
      </c>
      <c r="P623">
        <v>72</v>
      </c>
      <c r="Q623">
        <v>4.9000000000000004</v>
      </c>
      <c r="R623" t="b">
        <v>1</v>
      </c>
      <c r="S623" t="s">
        <v>30</v>
      </c>
      <c r="T623">
        <v>1303</v>
      </c>
      <c r="U623" t="s">
        <v>76</v>
      </c>
      <c r="V623" t="s">
        <v>59</v>
      </c>
      <c r="W623" t="s">
        <v>33</v>
      </c>
    </row>
    <row r="624" spans="1:23">
      <c r="A624">
        <v>5215</v>
      </c>
      <c r="B624" t="s">
        <v>41</v>
      </c>
      <c r="C624" s="1" t="s">
        <v>412</v>
      </c>
      <c r="D624" s="1" t="s">
        <v>72</v>
      </c>
      <c r="E624">
        <v>7.99</v>
      </c>
      <c r="F624">
        <v>212</v>
      </c>
      <c r="G624" t="s">
        <v>100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49</v>
      </c>
      <c r="N624" t="s">
        <v>44</v>
      </c>
      <c r="O624" t="s">
        <v>78</v>
      </c>
      <c r="P624">
        <v>23</v>
      </c>
      <c r="Q624">
        <v>3.4</v>
      </c>
      <c r="R624" t="b">
        <v>0</v>
      </c>
      <c r="S624" t="s">
        <v>30</v>
      </c>
      <c r="T624">
        <v>1365</v>
      </c>
      <c r="U624" t="s">
        <v>58</v>
      </c>
      <c r="V624" t="s">
        <v>59</v>
      </c>
      <c r="W624" t="s">
        <v>93</v>
      </c>
    </row>
    <row r="625" spans="1:23">
      <c r="A625">
        <v>7525</v>
      </c>
      <c r="B625" t="s">
        <v>318</v>
      </c>
      <c r="C625" s="1" t="s">
        <v>601</v>
      </c>
      <c r="D625" s="1" t="s">
        <v>103</v>
      </c>
      <c r="E625">
        <v>15.99</v>
      </c>
      <c r="F625">
        <v>453</v>
      </c>
      <c r="G625" t="s">
        <v>26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74</v>
      </c>
      <c r="N625" t="s">
        <v>28</v>
      </c>
      <c r="O625" t="s">
        <v>64</v>
      </c>
      <c r="P625">
        <v>7</v>
      </c>
      <c r="Q625">
        <v>3.7</v>
      </c>
      <c r="R625" t="b">
        <v>1</v>
      </c>
      <c r="S625" t="s">
        <v>30</v>
      </c>
      <c r="T625">
        <v>1563</v>
      </c>
      <c r="U625" t="s">
        <v>58</v>
      </c>
      <c r="V625" t="s">
        <v>39</v>
      </c>
      <c r="W625" t="s">
        <v>60</v>
      </c>
    </row>
    <row r="626" spans="1:23">
      <c r="A626">
        <v>9115</v>
      </c>
      <c r="B626" t="s">
        <v>88</v>
      </c>
      <c r="C626" s="1" t="s">
        <v>324</v>
      </c>
      <c r="D626" s="1" t="s">
        <v>72</v>
      </c>
      <c r="E626">
        <v>11.99</v>
      </c>
      <c r="F626">
        <v>34</v>
      </c>
      <c r="G626" t="s">
        <v>73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43</v>
      </c>
      <c r="N626" t="s">
        <v>56</v>
      </c>
      <c r="O626" t="s">
        <v>37</v>
      </c>
      <c r="P626">
        <v>55</v>
      </c>
      <c r="Q626">
        <v>3.6</v>
      </c>
      <c r="R626" t="b">
        <v>0</v>
      </c>
      <c r="S626" t="s">
        <v>30</v>
      </c>
      <c r="T626">
        <v>1172</v>
      </c>
      <c r="U626" t="s">
        <v>65</v>
      </c>
      <c r="V626" t="s">
        <v>69</v>
      </c>
      <c r="W626" t="s">
        <v>33</v>
      </c>
    </row>
    <row r="627" spans="1:23">
      <c r="A627">
        <v>6454</v>
      </c>
      <c r="B627" t="s">
        <v>191</v>
      </c>
      <c r="C627" s="1">
        <v>45508</v>
      </c>
      <c r="D627" s="1" t="s">
        <v>35</v>
      </c>
      <c r="E627">
        <v>15.99</v>
      </c>
      <c r="F627">
        <v>197</v>
      </c>
      <c r="G627" t="s">
        <v>73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27</v>
      </c>
      <c r="N627" t="s">
        <v>56</v>
      </c>
      <c r="O627" t="s">
        <v>78</v>
      </c>
      <c r="P627">
        <v>97</v>
      </c>
      <c r="Q627">
        <v>4</v>
      </c>
      <c r="R627" t="b">
        <v>1</v>
      </c>
      <c r="S627" t="s">
        <v>30</v>
      </c>
      <c r="T627">
        <v>1704</v>
      </c>
      <c r="U627" t="s">
        <v>76</v>
      </c>
      <c r="V627" t="s">
        <v>32</v>
      </c>
      <c r="W627" t="s">
        <v>93</v>
      </c>
    </row>
    <row r="628" spans="1:23">
      <c r="A628">
        <v>4781</v>
      </c>
      <c r="B628" t="s">
        <v>602</v>
      </c>
      <c r="C628" s="1" t="s">
        <v>371</v>
      </c>
      <c r="D628" s="1">
        <v>45303</v>
      </c>
      <c r="E628">
        <v>15.99</v>
      </c>
      <c r="F628">
        <v>361</v>
      </c>
      <c r="G628" t="s">
        <v>73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55</v>
      </c>
      <c r="N628" t="s">
        <v>28</v>
      </c>
      <c r="O628" t="s">
        <v>37</v>
      </c>
      <c r="P628">
        <v>3</v>
      </c>
      <c r="Q628">
        <v>3.7</v>
      </c>
      <c r="R628" t="b">
        <v>1</v>
      </c>
      <c r="S628" t="s">
        <v>30</v>
      </c>
      <c r="T628">
        <v>4421</v>
      </c>
      <c r="U628" t="s">
        <v>76</v>
      </c>
      <c r="V628" t="s">
        <v>79</v>
      </c>
      <c r="W628" t="s">
        <v>40</v>
      </c>
    </row>
    <row r="629" spans="1:23">
      <c r="A629">
        <v>5040</v>
      </c>
      <c r="B629" t="s">
        <v>603</v>
      </c>
      <c r="C629" s="1">
        <v>45028</v>
      </c>
      <c r="D629" s="1">
        <v>45334</v>
      </c>
      <c r="E629">
        <v>11.99</v>
      </c>
      <c r="F629">
        <v>166</v>
      </c>
      <c r="G629" t="s">
        <v>48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92</v>
      </c>
      <c r="N629" t="s">
        <v>44</v>
      </c>
      <c r="O629" t="s">
        <v>78</v>
      </c>
      <c r="P629">
        <v>30</v>
      </c>
      <c r="Q629">
        <v>3.1</v>
      </c>
      <c r="R629" t="b">
        <v>0</v>
      </c>
      <c r="S629" t="s">
        <v>30</v>
      </c>
      <c r="T629">
        <v>2964</v>
      </c>
      <c r="U629" t="s">
        <v>31</v>
      </c>
      <c r="V629" t="s">
        <v>59</v>
      </c>
      <c r="W629" t="s">
        <v>33</v>
      </c>
    </row>
    <row r="630" spans="1:23">
      <c r="A630">
        <v>3209</v>
      </c>
      <c r="B630" t="s">
        <v>347</v>
      </c>
      <c r="C630" s="1" t="s">
        <v>576</v>
      </c>
      <c r="D630" s="1" t="s">
        <v>214</v>
      </c>
      <c r="E630">
        <v>7.99</v>
      </c>
      <c r="F630">
        <v>168</v>
      </c>
      <c r="G630" t="s">
        <v>51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49</v>
      </c>
      <c r="N630" t="s">
        <v>75</v>
      </c>
      <c r="O630" t="s">
        <v>57</v>
      </c>
      <c r="P630">
        <v>52</v>
      </c>
      <c r="Q630">
        <v>4.7</v>
      </c>
      <c r="R630" t="b">
        <v>0</v>
      </c>
      <c r="S630" t="s">
        <v>30</v>
      </c>
      <c r="T630">
        <v>1094</v>
      </c>
      <c r="U630" t="s">
        <v>31</v>
      </c>
      <c r="V630" t="s">
        <v>59</v>
      </c>
      <c r="W630" t="s">
        <v>40</v>
      </c>
    </row>
    <row r="631" spans="1:23">
      <c r="A631">
        <v>8703</v>
      </c>
      <c r="B631" t="s">
        <v>254</v>
      </c>
      <c r="C631" s="1">
        <v>45450</v>
      </c>
      <c r="D631" s="1" t="s">
        <v>82</v>
      </c>
      <c r="E631">
        <v>15.99</v>
      </c>
      <c r="F631">
        <v>336</v>
      </c>
      <c r="G631" t="s">
        <v>36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43</v>
      </c>
      <c r="N631" t="s">
        <v>28</v>
      </c>
      <c r="O631" t="s">
        <v>45</v>
      </c>
      <c r="P631">
        <v>54</v>
      </c>
      <c r="Q631">
        <v>3.6</v>
      </c>
      <c r="R631" t="b">
        <v>0</v>
      </c>
      <c r="S631" t="s">
        <v>30</v>
      </c>
      <c r="T631">
        <v>3674</v>
      </c>
      <c r="U631" t="s">
        <v>76</v>
      </c>
      <c r="V631" t="s">
        <v>39</v>
      </c>
      <c r="W631" t="s">
        <v>33</v>
      </c>
    </row>
    <row r="632" spans="1:23">
      <c r="A632">
        <v>2536</v>
      </c>
      <c r="B632" t="s">
        <v>272</v>
      </c>
      <c r="C632" s="1" t="s">
        <v>358</v>
      </c>
      <c r="D632" s="1" t="s">
        <v>42</v>
      </c>
      <c r="E632">
        <v>15.99</v>
      </c>
      <c r="F632">
        <v>212</v>
      </c>
      <c r="G632" t="s">
        <v>63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92</v>
      </c>
      <c r="N632" t="s">
        <v>75</v>
      </c>
      <c r="O632" t="s">
        <v>45</v>
      </c>
      <c r="P632">
        <v>76</v>
      </c>
      <c r="Q632">
        <v>4</v>
      </c>
      <c r="R632" t="b">
        <v>0</v>
      </c>
      <c r="S632" t="s">
        <v>30</v>
      </c>
      <c r="T632">
        <v>296</v>
      </c>
      <c r="U632" t="s">
        <v>58</v>
      </c>
      <c r="V632" t="s">
        <v>79</v>
      </c>
      <c r="W632" t="s">
        <v>93</v>
      </c>
    </row>
    <row r="633" spans="1:23">
      <c r="A633">
        <v>2057</v>
      </c>
      <c r="B633" t="s">
        <v>604</v>
      </c>
      <c r="C633" s="1" t="s">
        <v>605</v>
      </c>
      <c r="D633" s="1" t="s">
        <v>109</v>
      </c>
      <c r="E633">
        <v>7.99</v>
      </c>
      <c r="F633">
        <v>185</v>
      </c>
      <c r="G633" t="s">
        <v>63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27</v>
      </c>
      <c r="N633" t="s">
        <v>56</v>
      </c>
      <c r="O633" t="s">
        <v>45</v>
      </c>
      <c r="P633">
        <v>32</v>
      </c>
      <c r="Q633">
        <v>4.0999999999999996</v>
      </c>
      <c r="R633" t="b">
        <v>0</v>
      </c>
      <c r="S633" t="s">
        <v>30</v>
      </c>
      <c r="T633">
        <v>4164</v>
      </c>
      <c r="U633" t="s">
        <v>31</v>
      </c>
      <c r="V633" t="s">
        <v>32</v>
      </c>
      <c r="W633" t="s">
        <v>60</v>
      </c>
    </row>
    <row r="634" spans="1:23">
      <c r="A634">
        <v>5627</v>
      </c>
      <c r="B634" t="s">
        <v>606</v>
      </c>
      <c r="C634" s="1">
        <v>45474</v>
      </c>
      <c r="D634" s="1">
        <v>45424</v>
      </c>
      <c r="E634">
        <v>11.99</v>
      </c>
      <c r="F634">
        <v>124</v>
      </c>
      <c r="G634" t="s">
        <v>48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27</v>
      </c>
      <c r="N634" t="s">
        <v>75</v>
      </c>
      <c r="O634" t="s">
        <v>29</v>
      </c>
      <c r="P634">
        <v>44</v>
      </c>
      <c r="Q634">
        <v>4.8</v>
      </c>
      <c r="R634" t="b">
        <v>1</v>
      </c>
      <c r="S634" t="s">
        <v>30</v>
      </c>
      <c r="T634">
        <v>3349</v>
      </c>
      <c r="U634" t="s">
        <v>65</v>
      </c>
      <c r="V634" t="s">
        <v>69</v>
      </c>
      <c r="W634" t="s">
        <v>40</v>
      </c>
    </row>
    <row r="635" spans="1:23">
      <c r="A635">
        <v>4763</v>
      </c>
      <c r="B635" t="s">
        <v>266</v>
      </c>
      <c r="C635" s="1">
        <v>45628</v>
      </c>
      <c r="D635" s="1">
        <v>45424</v>
      </c>
      <c r="E635">
        <v>15.99</v>
      </c>
      <c r="F635">
        <v>256</v>
      </c>
      <c r="G635" t="s">
        <v>26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68</v>
      </c>
      <c r="N635" t="s">
        <v>44</v>
      </c>
      <c r="O635" t="s">
        <v>45</v>
      </c>
      <c r="P635">
        <v>8</v>
      </c>
      <c r="Q635">
        <v>3.5</v>
      </c>
      <c r="R635" t="b">
        <v>0</v>
      </c>
      <c r="S635" t="s">
        <v>30</v>
      </c>
      <c r="T635">
        <v>2830</v>
      </c>
      <c r="U635" t="s">
        <v>38</v>
      </c>
      <c r="V635" t="s">
        <v>69</v>
      </c>
      <c r="W635" t="s">
        <v>40</v>
      </c>
    </row>
    <row r="636" spans="1:23">
      <c r="A636">
        <v>4577</v>
      </c>
      <c r="B636" t="s">
        <v>190</v>
      </c>
      <c r="C636" s="1" t="s">
        <v>523</v>
      </c>
      <c r="D636" s="1">
        <v>45608</v>
      </c>
      <c r="E636">
        <v>11.99</v>
      </c>
      <c r="F636">
        <v>58</v>
      </c>
      <c r="G636" t="s">
        <v>73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49</v>
      </c>
      <c r="N636" t="s">
        <v>56</v>
      </c>
      <c r="O636" t="s">
        <v>64</v>
      </c>
      <c r="P636">
        <v>75</v>
      </c>
      <c r="Q636">
        <v>4.3</v>
      </c>
      <c r="R636" t="b">
        <v>1</v>
      </c>
      <c r="S636" t="s">
        <v>30</v>
      </c>
      <c r="T636">
        <v>2409</v>
      </c>
      <c r="U636" t="s">
        <v>76</v>
      </c>
      <c r="V636" t="s">
        <v>79</v>
      </c>
      <c r="W636" t="s">
        <v>93</v>
      </c>
    </row>
    <row r="637" spans="1:23">
      <c r="A637">
        <v>5216</v>
      </c>
      <c r="B637" t="s">
        <v>367</v>
      </c>
      <c r="C637" s="1" t="s">
        <v>607</v>
      </c>
      <c r="D637" s="1" t="s">
        <v>134</v>
      </c>
      <c r="E637">
        <v>15.99</v>
      </c>
      <c r="F637">
        <v>135</v>
      </c>
      <c r="G637" t="s">
        <v>73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27</v>
      </c>
      <c r="N637" t="s">
        <v>44</v>
      </c>
      <c r="O637" t="s">
        <v>29</v>
      </c>
      <c r="P637">
        <v>11</v>
      </c>
      <c r="Q637">
        <v>4.8</v>
      </c>
      <c r="R637" t="b">
        <v>1</v>
      </c>
      <c r="S637" t="s">
        <v>30</v>
      </c>
      <c r="T637">
        <v>2872</v>
      </c>
      <c r="U637" t="s">
        <v>65</v>
      </c>
      <c r="V637" t="s">
        <v>39</v>
      </c>
      <c r="W637" t="s">
        <v>33</v>
      </c>
    </row>
    <row r="638" spans="1:23">
      <c r="A638">
        <v>3941</v>
      </c>
      <c r="B638" t="s">
        <v>608</v>
      </c>
      <c r="C638" s="1" t="s">
        <v>454</v>
      </c>
      <c r="D638" s="1" t="s">
        <v>168</v>
      </c>
      <c r="E638">
        <v>11.99</v>
      </c>
      <c r="F638">
        <v>163</v>
      </c>
      <c r="G638" t="s">
        <v>100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49</v>
      </c>
      <c r="N638" t="s">
        <v>75</v>
      </c>
      <c r="O638" t="s">
        <v>45</v>
      </c>
      <c r="P638">
        <v>18</v>
      </c>
      <c r="Q638">
        <v>4.5999999999999996</v>
      </c>
      <c r="R638" t="b">
        <v>1</v>
      </c>
      <c r="S638" t="s">
        <v>30</v>
      </c>
      <c r="T638">
        <v>1364</v>
      </c>
      <c r="U638" t="s">
        <v>65</v>
      </c>
      <c r="V638" t="s">
        <v>39</v>
      </c>
      <c r="W638" t="s">
        <v>40</v>
      </c>
    </row>
    <row r="639" spans="1:23">
      <c r="A639">
        <v>4396</v>
      </c>
      <c r="B639" t="s">
        <v>234</v>
      </c>
      <c r="C639" s="1">
        <v>44958</v>
      </c>
      <c r="D639" s="1" t="s">
        <v>72</v>
      </c>
      <c r="E639">
        <v>15.99</v>
      </c>
      <c r="F639">
        <v>120</v>
      </c>
      <c r="G639" t="s">
        <v>36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43</v>
      </c>
      <c r="N639" t="s">
        <v>56</v>
      </c>
      <c r="O639" t="s">
        <v>64</v>
      </c>
      <c r="P639">
        <v>46</v>
      </c>
      <c r="Q639">
        <v>3.3</v>
      </c>
      <c r="R639" t="b">
        <v>1</v>
      </c>
      <c r="S639" t="s">
        <v>30</v>
      </c>
      <c r="T639">
        <v>473</v>
      </c>
      <c r="U639" t="s">
        <v>58</v>
      </c>
      <c r="V639" t="s">
        <v>59</v>
      </c>
      <c r="W639" t="s">
        <v>40</v>
      </c>
    </row>
    <row r="640" spans="1:23">
      <c r="A640">
        <v>4865</v>
      </c>
      <c r="B640" t="s">
        <v>98</v>
      </c>
      <c r="C640" s="1" t="s">
        <v>609</v>
      </c>
      <c r="D640" s="1" t="s">
        <v>105</v>
      </c>
      <c r="E640">
        <v>7.99</v>
      </c>
      <c r="F640">
        <v>439</v>
      </c>
      <c r="G640" t="s">
        <v>48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92</v>
      </c>
      <c r="N640" t="s">
        <v>28</v>
      </c>
      <c r="O640" t="s">
        <v>29</v>
      </c>
      <c r="P640">
        <v>36</v>
      </c>
      <c r="Q640">
        <v>4.5</v>
      </c>
      <c r="R640" t="b">
        <v>1</v>
      </c>
      <c r="S640" t="s">
        <v>30</v>
      </c>
      <c r="T640">
        <v>4883</v>
      </c>
      <c r="U640" t="s">
        <v>31</v>
      </c>
      <c r="V640" t="s">
        <v>79</v>
      </c>
      <c r="W640" t="s">
        <v>60</v>
      </c>
    </row>
    <row r="641" spans="1:23">
      <c r="A641">
        <v>2497</v>
      </c>
      <c r="B641" t="s">
        <v>382</v>
      </c>
      <c r="C641" s="1" t="s">
        <v>410</v>
      </c>
      <c r="D641" s="1" t="s">
        <v>90</v>
      </c>
      <c r="E641">
        <v>7.99</v>
      </c>
      <c r="F641">
        <v>223</v>
      </c>
      <c r="G641" t="s">
        <v>51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49</v>
      </c>
      <c r="N641" t="s">
        <v>56</v>
      </c>
      <c r="O641" t="s">
        <v>29</v>
      </c>
      <c r="P641">
        <v>56</v>
      </c>
      <c r="Q641">
        <v>4.5</v>
      </c>
      <c r="R641" t="b">
        <v>1</v>
      </c>
      <c r="S641" t="s">
        <v>30</v>
      </c>
      <c r="T641">
        <v>99</v>
      </c>
      <c r="U641" t="s">
        <v>58</v>
      </c>
      <c r="V641" t="s">
        <v>59</v>
      </c>
      <c r="W641" t="s">
        <v>40</v>
      </c>
    </row>
    <row r="642" spans="1:23">
      <c r="A642">
        <v>4945</v>
      </c>
      <c r="B642" t="s">
        <v>313</v>
      </c>
      <c r="C642" s="1">
        <v>45387</v>
      </c>
      <c r="D642" s="1" t="s">
        <v>82</v>
      </c>
      <c r="E642">
        <v>11.99</v>
      </c>
      <c r="F642">
        <v>485</v>
      </c>
      <c r="G642" t="s">
        <v>100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43</v>
      </c>
      <c r="N642" t="s">
        <v>28</v>
      </c>
      <c r="O642" t="s">
        <v>57</v>
      </c>
      <c r="P642">
        <v>83</v>
      </c>
      <c r="Q642">
        <v>4.0999999999999996</v>
      </c>
      <c r="R642" t="b">
        <v>0</v>
      </c>
      <c r="S642" t="s">
        <v>30</v>
      </c>
      <c r="T642">
        <v>2284</v>
      </c>
      <c r="U642" t="s">
        <v>31</v>
      </c>
      <c r="V642" t="s">
        <v>69</v>
      </c>
      <c r="W642" t="s">
        <v>93</v>
      </c>
    </row>
    <row r="643" spans="1:23">
      <c r="A643">
        <v>5227</v>
      </c>
      <c r="B643" t="s">
        <v>610</v>
      </c>
      <c r="C643" s="1" t="s">
        <v>611</v>
      </c>
      <c r="D643" s="1">
        <v>45455</v>
      </c>
      <c r="E643">
        <v>7.99</v>
      </c>
      <c r="F643">
        <v>474</v>
      </c>
      <c r="G643" t="s">
        <v>36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27</v>
      </c>
      <c r="N643" t="s">
        <v>75</v>
      </c>
      <c r="O643" t="s">
        <v>29</v>
      </c>
      <c r="P643">
        <v>44</v>
      </c>
      <c r="Q643">
        <v>3.9</v>
      </c>
      <c r="R643" t="b">
        <v>1</v>
      </c>
      <c r="S643" t="s">
        <v>30</v>
      </c>
      <c r="T643">
        <v>3505</v>
      </c>
      <c r="U643" t="s">
        <v>76</v>
      </c>
      <c r="V643" t="s">
        <v>39</v>
      </c>
      <c r="W643" t="s">
        <v>60</v>
      </c>
    </row>
    <row r="644" spans="1:23">
      <c r="A644">
        <v>2150</v>
      </c>
      <c r="B644" t="s">
        <v>311</v>
      </c>
      <c r="C644" s="1">
        <v>45630</v>
      </c>
      <c r="D644" s="1">
        <v>45547</v>
      </c>
      <c r="E644">
        <v>11.99</v>
      </c>
      <c r="F644">
        <v>259</v>
      </c>
      <c r="G644" t="s">
        <v>63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27</v>
      </c>
      <c r="N644" t="s">
        <v>75</v>
      </c>
      <c r="O644" t="s">
        <v>45</v>
      </c>
      <c r="P644">
        <v>49</v>
      </c>
      <c r="Q644">
        <v>3.2</v>
      </c>
      <c r="R644" t="b">
        <v>0</v>
      </c>
      <c r="S644" t="s">
        <v>30</v>
      </c>
      <c r="T644">
        <v>412</v>
      </c>
      <c r="U644" t="s">
        <v>31</v>
      </c>
      <c r="V644" t="s">
        <v>79</v>
      </c>
      <c r="W644" t="s">
        <v>40</v>
      </c>
    </row>
    <row r="645" spans="1:23">
      <c r="A645">
        <v>7145</v>
      </c>
      <c r="B645" t="s">
        <v>612</v>
      </c>
      <c r="C645" s="1" t="s">
        <v>403</v>
      </c>
      <c r="D645" s="1" t="s">
        <v>82</v>
      </c>
      <c r="E645">
        <v>7.99</v>
      </c>
      <c r="F645">
        <v>53</v>
      </c>
      <c r="G645" t="s">
        <v>36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27</v>
      </c>
      <c r="N645" t="s">
        <v>28</v>
      </c>
      <c r="O645" t="s">
        <v>57</v>
      </c>
      <c r="P645">
        <v>88</v>
      </c>
      <c r="Q645">
        <v>4</v>
      </c>
      <c r="R645" t="b">
        <v>0</v>
      </c>
      <c r="S645" t="s">
        <v>30</v>
      </c>
      <c r="T645">
        <v>4867</v>
      </c>
      <c r="U645" t="s">
        <v>76</v>
      </c>
      <c r="V645" t="s">
        <v>69</v>
      </c>
      <c r="W645" t="s">
        <v>33</v>
      </c>
    </row>
    <row r="646" spans="1:23">
      <c r="A646">
        <v>2040</v>
      </c>
      <c r="B646" t="s">
        <v>613</v>
      </c>
      <c r="C646" s="1">
        <v>45606</v>
      </c>
      <c r="D646" s="1" t="s">
        <v>90</v>
      </c>
      <c r="E646">
        <v>7.99</v>
      </c>
      <c r="F646">
        <v>221</v>
      </c>
      <c r="G646" t="s">
        <v>63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68</v>
      </c>
      <c r="N646" t="s">
        <v>75</v>
      </c>
      <c r="O646" t="s">
        <v>64</v>
      </c>
      <c r="P646">
        <v>4</v>
      </c>
      <c r="Q646">
        <v>3.7</v>
      </c>
      <c r="R646" t="b">
        <v>1</v>
      </c>
      <c r="S646" t="s">
        <v>30</v>
      </c>
      <c r="T646">
        <v>2560</v>
      </c>
      <c r="U646" t="s">
        <v>65</v>
      </c>
      <c r="V646" t="s">
        <v>59</v>
      </c>
      <c r="W646" t="s">
        <v>33</v>
      </c>
    </row>
    <row r="647" spans="1:23">
      <c r="A647">
        <v>4191</v>
      </c>
      <c r="B647" t="s">
        <v>270</v>
      </c>
      <c r="C647" s="1" t="s">
        <v>310</v>
      </c>
      <c r="D647" s="1">
        <v>45363</v>
      </c>
      <c r="E647">
        <v>7.99</v>
      </c>
      <c r="F647">
        <v>46</v>
      </c>
      <c r="G647" t="s">
        <v>63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74</v>
      </c>
      <c r="N647" t="s">
        <v>75</v>
      </c>
      <c r="O647" t="s">
        <v>29</v>
      </c>
      <c r="P647">
        <v>77</v>
      </c>
      <c r="Q647">
        <v>3.9</v>
      </c>
      <c r="R647" t="b">
        <v>1</v>
      </c>
      <c r="S647" t="s">
        <v>30</v>
      </c>
      <c r="T647">
        <v>4269</v>
      </c>
      <c r="U647" t="s">
        <v>76</v>
      </c>
      <c r="V647" t="s">
        <v>32</v>
      </c>
      <c r="W647" t="s">
        <v>40</v>
      </c>
    </row>
    <row r="648" spans="1:23">
      <c r="A648">
        <v>4336</v>
      </c>
      <c r="B648" t="s">
        <v>88</v>
      </c>
      <c r="C648" s="1">
        <v>44965</v>
      </c>
      <c r="D648" s="1">
        <v>45608</v>
      </c>
      <c r="E648">
        <v>15.99</v>
      </c>
      <c r="F648">
        <v>253</v>
      </c>
      <c r="G648" t="s">
        <v>51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49</v>
      </c>
      <c r="N648" t="s">
        <v>75</v>
      </c>
      <c r="O648" t="s">
        <v>29</v>
      </c>
      <c r="P648">
        <v>43</v>
      </c>
      <c r="Q648">
        <v>3.4</v>
      </c>
      <c r="R648" t="b">
        <v>1</v>
      </c>
      <c r="S648" t="s">
        <v>30</v>
      </c>
      <c r="T648">
        <v>1317</v>
      </c>
      <c r="U648" t="s">
        <v>31</v>
      </c>
      <c r="V648" t="s">
        <v>59</v>
      </c>
      <c r="W648" t="s">
        <v>33</v>
      </c>
    </row>
    <row r="649" spans="1:23">
      <c r="A649">
        <v>5438</v>
      </c>
      <c r="B649" t="s">
        <v>411</v>
      </c>
      <c r="C649" s="1">
        <v>45087</v>
      </c>
      <c r="D649" s="1" t="s">
        <v>90</v>
      </c>
      <c r="E649">
        <v>11.99</v>
      </c>
      <c r="F649">
        <v>478</v>
      </c>
      <c r="G649" t="s">
        <v>36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92</v>
      </c>
      <c r="N649" t="s">
        <v>44</v>
      </c>
      <c r="O649" t="s">
        <v>29</v>
      </c>
      <c r="P649">
        <v>41</v>
      </c>
      <c r="Q649">
        <v>4.8</v>
      </c>
      <c r="R649" t="b">
        <v>0</v>
      </c>
      <c r="S649" t="s">
        <v>30</v>
      </c>
      <c r="T649">
        <v>2936</v>
      </c>
      <c r="U649" t="s">
        <v>58</v>
      </c>
      <c r="V649" t="s">
        <v>69</v>
      </c>
      <c r="W649" t="s">
        <v>33</v>
      </c>
    </row>
    <row r="650" spans="1:23">
      <c r="A650">
        <v>9857</v>
      </c>
      <c r="B650" t="s">
        <v>247</v>
      </c>
      <c r="C650" s="1" t="s">
        <v>614</v>
      </c>
      <c r="D650" s="1">
        <v>45334</v>
      </c>
      <c r="E650">
        <v>7.99</v>
      </c>
      <c r="F650">
        <v>145</v>
      </c>
      <c r="G650" t="s">
        <v>26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74</v>
      </c>
      <c r="N650" t="s">
        <v>75</v>
      </c>
      <c r="O650" t="s">
        <v>78</v>
      </c>
      <c r="P650">
        <v>79</v>
      </c>
      <c r="Q650">
        <v>5</v>
      </c>
      <c r="R650" t="b">
        <v>1</v>
      </c>
      <c r="S650" t="s">
        <v>30</v>
      </c>
      <c r="T650">
        <v>905</v>
      </c>
      <c r="U650" t="s">
        <v>58</v>
      </c>
      <c r="V650" t="s">
        <v>69</v>
      </c>
      <c r="W650" t="s">
        <v>60</v>
      </c>
    </row>
    <row r="651" spans="1:23">
      <c r="A651">
        <v>4767</v>
      </c>
      <c r="B651" t="s">
        <v>98</v>
      </c>
      <c r="C651" s="1" t="s">
        <v>167</v>
      </c>
      <c r="D651" s="1" t="s">
        <v>156</v>
      </c>
      <c r="E651">
        <v>15.99</v>
      </c>
      <c r="F651">
        <v>366</v>
      </c>
      <c r="G651" t="s">
        <v>51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68</v>
      </c>
      <c r="N651" t="s">
        <v>75</v>
      </c>
      <c r="O651" t="s">
        <v>78</v>
      </c>
      <c r="P651">
        <v>21</v>
      </c>
      <c r="Q651">
        <v>5</v>
      </c>
      <c r="R651" t="b">
        <v>1</v>
      </c>
      <c r="S651" t="s">
        <v>30</v>
      </c>
      <c r="T651">
        <v>4513</v>
      </c>
      <c r="U651" t="s">
        <v>31</v>
      </c>
      <c r="V651" t="s">
        <v>39</v>
      </c>
      <c r="W651" t="s">
        <v>33</v>
      </c>
    </row>
    <row r="652" spans="1:23">
      <c r="A652">
        <v>9374</v>
      </c>
      <c r="B652" t="s">
        <v>224</v>
      </c>
      <c r="C652" s="1" t="s">
        <v>72</v>
      </c>
      <c r="D652" s="1">
        <v>45303</v>
      </c>
      <c r="E652">
        <v>15.99</v>
      </c>
      <c r="F652">
        <v>301</v>
      </c>
      <c r="G652" t="s">
        <v>26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27</v>
      </c>
      <c r="N652" t="s">
        <v>44</v>
      </c>
      <c r="O652" t="s">
        <v>64</v>
      </c>
      <c r="P652">
        <v>37</v>
      </c>
      <c r="Q652">
        <v>4.2</v>
      </c>
      <c r="R652" t="b">
        <v>1</v>
      </c>
      <c r="S652" t="s">
        <v>30</v>
      </c>
      <c r="T652">
        <v>1153</v>
      </c>
      <c r="U652" t="s">
        <v>76</v>
      </c>
      <c r="V652" t="s">
        <v>69</v>
      </c>
      <c r="W652" t="s">
        <v>40</v>
      </c>
    </row>
    <row r="653" spans="1:23">
      <c r="A653">
        <v>3918</v>
      </c>
      <c r="B653" t="s">
        <v>88</v>
      </c>
      <c r="C653" s="1" t="s">
        <v>309</v>
      </c>
      <c r="D653" s="1" t="s">
        <v>105</v>
      </c>
      <c r="E653">
        <v>7.99</v>
      </c>
      <c r="F653">
        <v>26</v>
      </c>
      <c r="G653" t="s">
        <v>26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49</v>
      </c>
      <c r="N653" t="s">
        <v>44</v>
      </c>
      <c r="O653" t="s">
        <v>45</v>
      </c>
      <c r="P653">
        <v>41</v>
      </c>
      <c r="Q653">
        <v>3.5</v>
      </c>
      <c r="R653" t="b">
        <v>1</v>
      </c>
      <c r="S653" t="s">
        <v>30</v>
      </c>
      <c r="T653">
        <v>1506</v>
      </c>
      <c r="U653" t="s">
        <v>58</v>
      </c>
      <c r="V653" t="s">
        <v>32</v>
      </c>
      <c r="W653" t="s">
        <v>40</v>
      </c>
    </row>
    <row r="654" spans="1:23">
      <c r="A654">
        <v>9866</v>
      </c>
      <c r="B654" t="s">
        <v>138</v>
      </c>
      <c r="C654" s="1">
        <v>45633</v>
      </c>
      <c r="D654" s="1" t="s">
        <v>72</v>
      </c>
      <c r="E654">
        <v>11.99</v>
      </c>
      <c r="F654">
        <v>208</v>
      </c>
      <c r="G654" t="s">
        <v>36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27</v>
      </c>
      <c r="N654" t="s">
        <v>56</v>
      </c>
      <c r="O654" t="s">
        <v>64</v>
      </c>
      <c r="P654">
        <v>51</v>
      </c>
      <c r="Q654">
        <v>4</v>
      </c>
      <c r="R654" t="b">
        <v>1</v>
      </c>
      <c r="S654" t="s">
        <v>30</v>
      </c>
      <c r="T654">
        <v>3817</v>
      </c>
      <c r="U654" t="s">
        <v>31</v>
      </c>
      <c r="V654" t="s">
        <v>32</v>
      </c>
      <c r="W654" t="s">
        <v>40</v>
      </c>
    </row>
    <row r="655" spans="1:23">
      <c r="A655">
        <v>6389</v>
      </c>
      <c r="B655" t="s">
        <v>541</v>
      </c>
      <c r="C655" s="1" t="s">
        <v>615</v>
      </c>
      <c r="D655" s="1" t="s">
        <v>103</v>
      </c>
      <c r="E655">
        <v>11.99</v>
      </c>
      <c r="F655">
        <v>109</v>
      </c>
      <c r="G655" t="s">
        <v>51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43</v>
      </c>
      <c r="N655" t="s">
        <v>28</v>
      </c>
      <c r="O655" t="s">
        <v>29</v>
      </c>
      <c r="P655">
        <v>64</v>
      </c>
      <c r="Q655">
        <v>3.5</v>
      </c>
      <c r="R655" t="b">
        <v>0</v>
      </c>
      <c r="S655" t="s">
        <v>30</v>
      </c>
      <c r="T655">
        <v>4662</v>
      </c>
      <c r="U655" t="s">
        <v>65</v>
      </c>
      <c r="V655" t="s">
        <v>32</v>
      </c>
      <c r="W655" t="s">
        <v>93</v>
      </c>
    </row>
    <row r="656" spans="1:23">
      <c r="A656">
        <v>8733</v>
      </c>
      <c r="B656" t="s">
        <v>294</v>
      </c>
      <c r="C656" s="1">
        <v>45449</v>
      </c>
      <c r="D656" s="1" t="s">
        <v>129</v>
      </c>
      <c r="E656">
        <v>15.99</v>
      </c>
      <c r="F656">
        <v>451</v>
      </c>
      <c r="G656" t="s">
        <v>63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68</v>
      </c>
      <c r="N656" t="s">
        <v>44</v>
      </c>
      <c r="O656" t="s">
        <v>64</v>
      </c>
      <c r="P656">
        <v>37</v>
      </c>
      <c r="Q656">
        <v>4.0999999999999996</v>
      </c>
      <c r="R656" t="b">
        <v>1</v>
      </c>
      <c r="S656" t="s">
        <v>30</v>
      </c>
      <c r="T656">
        <v>3708</v>
      </c>
      <c r="U656" t="s">
        <v>58</v>
      </c>
      <c r="V656" t="s">
        <v>32</v>
      </c>
      <c r="W656" t="s">
        <v>93</v>
      </c>
    </row>
    <row r="657" spans="1:23">
      <c r="A657">
        <v>8105</v>
      </c>
      <c r="B657" t="s">
        <v>52</v>
      </c>
      <c r="C657" s="1" t="s">
        <v>616</v>
      </c>
      <c r="D657" s="1" t="s">
        <v>214</v>
      </c>
      <c r="E657">
        <v>15.99</v>
      </c>
      <c r="F657">
        <v>33</v>
      </c>
      <c r="G657" t="s">
        <v>36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55</v>
      </c>
      <c r="N657" t="s">
        <v>56</v>
      </c>
      <c r="O657" t="s">
        <v>29</v>
      </c>
      <c r="P657">
        <v>21</v>
      </c>
      <c r="Q657">
        <v>4</v>
      </c>
      <c r="R657" t="b">
        <v>1</v>
      </c>
      <c r="S657" t="s">
        <v>30</v>
      </c>
      <c r="T657">
        <v>1256</v>
      </c>
      <c r="U657" t="s">
        <v>31</v>
      </c>
      <c r="V657" t="s">
        <v>32</v>
      </c>
      <c r="W657" t="s">
        <v>33</v>
      </c>
    </row>
    <row r="658" spans="1:23">
      <c r="A658">
        <v>3443</v>
      </c>
      <c r="B658" t="s">
        <v>190</v>
      </c>
      <c r="C658" s="1">
        <v>45294</v>
      </c>
      <c r="D658" s="1">
        <v>45424</v>
      </c>
      <c r="E658">
        <v>15.99</v>
      </c>
      <c r="F658">
        <v>467</v>
      </c>
      <c r="G658" t="s">
        <v>51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68</v>
      </c>
      <c r="N658" t="s">
        <v>75</v>
      </c>
      <c r="O658" t="s">
        <v>78</v>
      </c>
      <c r="P658">
        <v>100</v>
      </c>
      <c r="Q658">
        <v>4.0999999999999996</v>
      </c>
      <c r="R658" t="b">
        <v>1</v>
      </c>
      <c r="S658" t="s">
        <v>30</v>
      </c>
      <c r="T658">
        <v>1792</v>
      </c>
      <c r="U658" t="s">
        <v>31</v>
      </c>
      <c r="V658" t="s">
        <v>59</v>
      </c>
      <c r="W658" t="s">
        <v>93</v>
      </c>
    </row>
    <row r="659" spans="1:23">
      <c r="A659">
        <v>2664</v>
      </c>
      <c r="B659" t="s">
        <v>98</v>
      </c>
      <c r="C659" s="1" t="s">
        <v>388</v>
      </c>
      <c r="D659" s="1" t="s">
        <v>99</v>
      </c>
      <c r="E659">
        <v>7.99</v>
      </c>
      <c r="F659">
        <v>123</v>
      </c>
      <c r="G659" t="s">
        <v>73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74</v>
      </c>
      <c r="N659" t="s">
        <v>56</v>
      </c>
      <c r="O659" t="s">
        <v>37</v>
      </c>
      <c r="P659">
        <v>34</v>
      </c>
      <c r="Q659">
        <v>3.5</v>
      </c>
      <c r="R659" t="b">
        <v>0</v>
      </c>
      <c r="S659" t="s">
        <v>30</v>
      </c>
      <c r="T659">
        <v>402</v>
      </c>
      <c r="U659" t="s">
        <v>38</v>
      </c>
      <c r="V659" t="s">
        <v>59</v>
      </c>
      <c r="W659" t="s">
        <v>40</v>
      </c>
    </row>
    <row r="660" spans="1:23">
      <c r="A660">
        <v>1782</v>
      </c>
      <c r="B660" t="s">
        <v>617</v>
      </c>
      <c r="C660" s="1">
        <v>44931</v>
      </c>
      <c r="D660" s="1" t="s">
        <v>168</v>
      </c>
      <c r="E660">
        <v>15.99</v>
      </c>
      <c r="F660">
        <v>139</v>
      </c>
      <c r="G660" t="s">
        <v>100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55</v>
      </c>
      <c r="N660" t="s">
        <v>44</v>
      </c>
      <c r="O660" t="s">
        <v>57</v>
      </c>
      <c r="P660">
        <v>67</v>
      </c>
      <c r="Q660">
        <v>4.0999999999999996</v>
      </c>
      <c r="R660" t="b">
        <v>0</v>
      </c>
      <c r="S660" t="s">
        <v>30</v>
      </c>
      <c r="T660">
        <v>1271</v>
      </c>
      <c r="U660" t="s">
        <v>38</v>
      </c>
      <c r="V660" t="s">
        <v>69</v>
      </c>
      <c r="W660" t="s">
        <v>40</v>
      </c>
    </row>
    <row r="661" spans="1:23">
      <c r="A661">
        <v>1337</v>
      </c>
      <c r="B661" t="s">
        <v>618</v>
      </c>
      <c r="C661" s="1" t="s">
        <v>522</v>
      </c>
      <c r="D661" s="1" t="s">
        <v>129</v>
      </c>
      <c r="E661">
        <v>7.99</v>
      </c>
      <c r="F661">
        <v>103</v>
      </c>
      <c r="G661" t="s">
        <v>100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74</v>
      </c>
      <c r="N661" t="s">
        <v>28</v>
      </c>
      <c r="O661" t="s">
        <v>37</v>
      </c>
      <c r="P661">
        <v>31</v>
      </c>
      <c r="Q661">
        <v>3.5</v>
      </c>
      <c r="R661" t="b">
        <v>0</v>
      </c>
      <c r="S661" t="s">
        <v>30</v>
      </c>
      <c r="T661">
        <v>4537</v>
      </c>
      <c r="U661" t="s">
        <v>58</v>
      </c>
      <c r="V661" t="s">
        <v>59</v>
      </c>
      <c r="W661" t="s">
        <v>93</v>
      </c>
    </row>
    <row r="662" spans="1:23">
      <c r="A662">
        <v>5901</v>
      </c>
      <c r="B662" t="s">
        <v>41</v>
      </c>
      <c r="C662" s="1">
        <v>45081</v>
      </c>
      <c r="D662" s="1" t="s">
        <v>103</v>
      </c>
      <c r="E662">
        <v>7.99</v>
      </c>
      <c r="F662">
        <v>207</v>
      </c>
      <c r="G662" t="s">
        <v>63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92</v>
      </c>
      <c r="N662" t="s">
        <v>75</v>
      </c>
      <c r="O662" t="s">
        <v>29</v>
      </c>
      <c r="P662">
        <v>96</v>
      </c>
      <c r="Q662">
        <v>4.5999999999999996</v>
      </c>
      <c r="R662" t="b">
        <v>0</v>
      </c>
      <c r="S662" t="s">
        <v>30</v>
      </c>
      <c r="T662">
        <v>4815</v>
      </c>
      <c r="U662" t="s">
        <v>76</v>
      </c>
      <c r="V662" t="s">
        <v>79</v>
      </c>
      <c r="W662" t="s">
        <v>40</v>
      </c>
    </row>
    <row r="663" spans="1:23">
      <c r="A663">
        <v>2731</v>
      </c>
      <c r="B663" t="s">
        <v>619</v>
      </c>
      <c r="C663" s="1">
        <v>45602</v>
      </c>
      <c r="D663" s="1" t="s">
        <v>25</v>
      </c>
      <c r="E663">
        <v>15.99</v>
      </c>
      <c r="F663">
        <v>267</v>
      </c>
      <c r="G663" t="s">
        <v>100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49</v>
      </c>
      <c r="N663" t="s">
        <v>28</v>
      </c>
      <c r="O663" t="s">
        <v>78</v>
      </c>
      <c r="P663">
        <v>98</v>
      </c>
      <c r="Q663">
        <v>3</v>
      </c>
      <c r="R663" t="b">
        <v>1</v>
      </c>
      <c r="S663" t="s">
        <v>30</v>
      </c>
      <c r="T663">
        <v>3510</v>
      </c>
      <c r="U663" t="s">
        <v>65</v>
      </c>
      <c r="V663" t="s">
        <v>69</v>
      </c>
      <c r="W663" t="s">
        <v>60</v>
      </c>
    </row>
    <row r="664" spans="1:23">
      <c r="A664">
        <v>8307</v>
      </c>
      <c r="B664" t="s">
        <v>245</v>
      </c>
      <c r="C664" s="1">
        <v>45383</v>
      </c>
      <c r="D664" s="1">
        <v>45455</v>
      </c>
      <c r="E664">
        <v>7.99</v>
      </c>
      <c r="F664">
        <v>266</v>
      </c>
      <c r="G664" t="s">
        <v>63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43</v>
      </c>
      <c r="N664" t="s">
        <v>44</v>
      </c>
      <c r="O664" t="s">
        <v>45</v>
      </c>
      <c r="P664">
        <v>0</v>
      </c>
      <c r="Q664">
        <v>4</v>
      </c>
      <c r="R664" t="b">
        <v>0</v>
      </c>
      <c r="S664" t="s">
        <v>30</v>
      </c>
      <c r="T664">
        <v>4789</v>
      </c>
      <c r="U664" t="s">
        <v>76</v>
      </c>
      <c r="V664" t="s">
        <v>32</v>
      </c>
      <c r="W664" t="s">
        <v>60</v>
      </c>
    </row>
    <row r="665" spans="1:23">
      <c r="A665">
        <v>8019</v>
      </c>
      <c r="B665" t="s">
        <v>620</v>
      </c>
      <c r="C665" s="1" t="s">
        <v>182</v>
      </c>
      <c r="D665" s="1" t="s">
        <v>54</v>
      </c>
      <c r="E665">
        <v>11.99</v>
      </c>
      <c r="F665">
        <v>240</v>
      </c>
      <c r="G665" t="s">
        <v>73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43</v>
      </c>
      <c r="N665" t="s">
        <v>28</v>
      </c>
      <c r="O665" t="s">
        <v>37</v>
      </c>
      <c r="P665">
        <v>66</v>
      </c>
      <c r="Q665">
        <v>4.5999999999999996</v>
      </c>
      <c r="R665" t="b">
        <v>0</v>
      </c>
      <c r="S665" t="s">
        <v>30</v>
      </c>
      <c r="T665">
        <v>863</v>
      </c>
      <c r="U665" t="s">
        <v>58</v>
      </c>
      <c r="V665" t="s">
        <v>59</v>
      </c>
      <c r="W665" t="s">
        <v>40</v>
      </c>
    </row>
    <row r="666" spans="1:23">
      <c r="A666">
        <v>4847</v>
      </c>
      <c r="B666" t="s">
        <v>238</v>
      </c>
      <c r="C666" s="1">
        <v>45303</v>
      </c>
      <c r="D666" s="1" t="s">
        <v>90</v>
      </c>
      <c r="E666">
        <v>15.99</v>
      </c>
      <c r="F666">
        <v>315</v>
      </c>
      <c r="G666" t="s">
        <v>63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55</v>
      </c>
      <c r="N666" t="s">
        <v>28</v>
      </c>
      <c r="O666" t="s">
        <v>64</v>
      </c>
      <c r="P666">
        <v>67</v>
      </c>
      <c r="Q666">
        <v>3.5</v>
      </c>
      <c r="R666" t="b">
        <v>0</v>
      </c>
      <c r="S666" t="s">
        <v>30</v>
      </c>
      <c r="T666">
        <v>1584</v>
      </c>
      <c r="U666" t="s">
        <v>76</v>
      </c>
      <c r="V666" t="s">
        <v>79</v>
      </c>
      <c r="W666" t="s">
        <v>33</v>
      </c>
    </row>
    <row r="667" spans="1:23">
      <c r="A667">
        <v>9822</v>
      </c>
      <c r="B667" t="s">
        <v>212</v>
      </c>
      <c r="C667" s="1" t="s">
        <v>581</v>
      </c>
      <c r="D667" s="1" t="s">
        <v>25</v>
      </c>
      <c r="E667">
        <v>7.99</v>
      </c>
      <c r="F667">
        <v>276</v>
      </c>
      <c r="G667" t="s">
        <v>73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55</v>
      </c>
      <c r="N667" t="s">
        <v>75</v>
      </c>
      <c r="O667" t="s">
        <v>37</v>
      </c>
      <c r="P667">
        <v>34</v>
      </c>
      <c r="Q667">
        <v>4.7</v>
      </c>
      <c r="R667" t="b">
        <v>0</v>
      </c>
      <c r="S667" t="s">
        <v>30</v>
      </c>
      <c r="T667">
        <v>3178</v>
      </c>
      <c r="U667" t="s">
        <v>58</v>
      </c>
      <c r="V667" t="s">
        <v>79</v>
      </c>
      <c r="W667" t="s">
        <v>93</v>
      </c>
    </row>
    <row r="668" spans="1:23">
      <c r="A668">
        <v>9141</v>
      </c>
      <c r="B668" t="s">
        <v>621</v>
      </c>
      <c r="C668" s="1" t="s">
        <v>622</v>
      </c>
      <c r="D668" s="1" t="s">
        <v>87</v>
      </c>
      <c r="E668">
        <v>7.99</v>
      </c>
      <c r="F668">
        <v>308</v>
      </c>
      <c r="G668" t="s">
        <v>36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43</v>
      </c>
      <c r="N668" t="s">
        <v>75</v>
      </c>
      <c r="O668" t="s">
        <v>78</v>
      </c>
      <c r="P668">
        <v>17</v>
      </c>
      <c r="Q668">
        <v>3.4</v>
      </c>
      <c r="R668" t="b">
        <v>0</v>
      </c>
      <c r="S668" t="s">
        <v>30</v>
      </c>
      <c r="T668">
        <v>4108</v>
      </c>
      <c r="U668" t="s">
        <v>38</v>
      </c>
      <c r="V668" t="s">
        <v>59</v>
      </c>
      <c r="W668" t="s">
        <v>33</v>
      </c>
    </row>
    <row r="669" spans="1:23">
      <c r="A669">
        <v>7539</v>
      </c>
      <c r="B669" t="s">
        <v>606</v>
      </c>
      <c r="C669" s="1">
        <v>44935</v>
      </c>
      <c r="D669" s="1">
        <v>45516</v>
      </c>
      <c r="E669">
        <v>7.99</v>
      </c>
      <c r="F669">
        <v>297</v>
      </c>
      <c r="G669" t="s">
        <v>63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74</v>
      </c>
      <c r="N669" t="s">
        <v>75</v>
      </c>
      <c r="O669" t="s">
        <v>78</v>
      </c>
      <c r="P669">
        <v>82</v>
      </c>
      <c r="Q669">
        <v>3.3</v>
      </c>
      <c r="R669" t="b">
        <v>1</v>
      </c>
      <c r="S669" t="s">
        <v>30</v>
      </c>
      <c r="T669">
        <v>2562</v>
      </c>
      <c r="U669" t="s">
        <v>76</v>
      </c>
      <c r="V669" t="s">
        <v>39</v>
      </c>
      <c r="W669" t="s">
        <v>93</v>
      </c>
    </row>
    <row r="670" spans="1:23">
      <c r="A670">
        <v>1390</v>
      </c>
      <c r="B670" t="s">
        <v>623</v>
      </c>
      <c r="C670" s="1" t="s">
        <v>407</v>
      </c>
      <c r="D670" s="1" t="s">
        <v>168</v>
      </c>
      <c r="E670">
        <v>11.99</v>
      </c>
      <c r="F670">
        <v>326</v>
      </c>
      <c r="G670" t="s">
        <v>63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92</v>
      </c>
      <c r="N670" t="s">
        <v>44</v>
      </c>
      <c r="O670" t="s">
        <v>64</v>
      </c>
      <c r="P670">
        <v>3</v>
      </c>
      <c r="Q670">
        <v>3.3</v>
      </c>
      <c r="R670" t="b">
        <v>1</v>
      </c>
      <c r="S670" t="s">
        <v>30</v>
      </c>
      <c r="T670">
        <v>3499</v>
      </c>
      <c r="U670" t="s">
        <v>58</v>
      </c>
      <c r="V670" t="s">
        <v>39</v>
      </c>
      <c r="W670" t="s">
        <v>93</v>
      </c>
    </row>
    <row r="671" spans="1:23">
      <c r="A671">
        <v>9505</v>
      </c>
      <c r="B671" t="s">
        <v>284</v>
      </c>
      <c r="C671" s="1" t="s">
        <v>601</v>
      </c>
      <c r="D671" s="1">
        <v>45394</v>
      </c>
      <c r="E671">
        <v>15.99</v>
      </c>
      <c r="F671">
        <v>352</v>
      </c>
      <c r="G671" t="s">
        <v>73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92</v>
      </c>
      <c r="N671" t="s">
        <v>44</v>
      </c>
      <c r="O671" t="s">
        <v>29</v>
      </c>
      <c r="P671">
        <v>67</v>
      </c>
      <c r="Q671">
        <v>4.3</v>
      </c>
      <c r="R671" t="b">
        <v>1</v>
      </c>
      <c r="S671" t="s">
        <v>30</v>
      </c>
      <c r="T671">
        <v>3645</v>
      </c>
      <c r="U671" t="s">
        <v>76</v>
      </c>
      <c r="V671" t="s">
        <v>32</v>
      </c>
      <c r="W671" t="s">
        <v>93</v>
      </c>
    </row>
    <row r="672" spans="1:23">
      <c r="A672">
        <v>6741</v>
      </c>
      <c r="B672" t="s">
        <v>259</v>
      </c>
      <c r="C672" s="1" t="s">
        <v>225</v>
      </c>
      <c r="D672" s="1" t="s">
        <v>84</v>
      </c>
      <c r="E672">
        <v>7.99</v>
      </c>
      <c r="F672">
        <v>180</v>
      </c>
      <c r="G672" t="s">
        <v>48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43</v>
      </c>
      <c r="N672" t="s">
        <v>75</v>
      </c>
      <c r="O672" t="s">
        <v>78</v>
      </c>
      <c r="P672">
        <v>9</v>
      </c>
      <c r="Q672">
        <v>3.5</v>
      </c>
      <c r="R672" t="b">
        <v>0</v>
      </c>
      <c r="S672" t="s">
        <v>30</v>
      </c>
      <c r="T672">
        <v>2989</v>
      </c>
      <c r="U672" t="s">
        <v>31</v>
      </c>
      <c r="V672" t="s">
        <v>79</v>
      </c>
      <c r="W672" t="s">
        <v>93</v>
      </c>
    </row>
    <row r="673" spans="1:23">
      <c r="A673">
        <v>1790</v>
      </c>
      <c r="B673" t="s">
        <v>624</v>
      </c>
      <c r="C673" s="1">
        <v>45599</v>
      </c>
      <c r="D673" s="1">
        <v>45303</v>
      </c>
      <c r="E673">
        <v>11.99</v>
      </c>
      <c r="F673">
        <v>362</v>
      </c>
      <c r="G673" t="s">
        <v>48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74</v>
      </c>
      <c r="N673" t="s">
        <v>44</v>
      </c>
      <c r="O673" t="s">
        <v>29</v>
      </c>
      <c r="P673">
        <v>60</v>
      </c>
      <c r="Q673">
        <v>4.9000000000000004</v>
      </c>
      <c r="R673" t="b">
        <v>1</v>
      </c>
      <c r="S673" t="s">
        <v>30</v>
      </c>
      <c r="T673">
        <v>55</v>
      </c>
      <c r="U673" t="s">
        <v>76</v>
      </c>
      <c r="V673" t="s">
        <v>59</v>
      </c>
      <c r="W673" t="s">
        <v>33</v>
      </c>
    </row>
    <row r="674" spans="1:23">
      <c r="A674">
        <v>6491</v>
      </c>
      <c r="B674" t="s">
        <v>625</v>
      </c>
      <c r="C674" s="1" t="s">
        <v>519</v>
      </c>
      <c r="D674" s="1" t="s">
        <v>105</v>
      </c>
      <c r="E674">
        <v>7.99</v>
      </c>
      <c r="F674">
        <v>154</v>
      </c>
      <c r="G674" t="s">
        <v>26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74</v>
      </c>
      <c r="N674" t="s">
        <v>56</v>
      </c>
      <c r="O674" t="s">
        <v>64</v>
      </c>
      <c r="P674">
        <v>31</v>
      </c>
      <c r="Q674">
        <v>4.4000000000000004</v>
      </c>
      <c r="R674" t="b">
        <v>0</v>
      </c>
      <c r="S674" t="s">
        <v>30</v>
      </c>
      <c r="T674">
        <v>1850</v>
      </c>
      <c r="U674" t="s">
        <v>38</v>
      </c>
      <c r="V674" t="s">
        <v>79</v>
      </c>
      <c r="W674" t="s">
        <v>33</v>
      </c>
    </row>
    <row r="675" spans="1:23">
      <c r="A675">
        <v>3102</v>
      </c>
      <c r="B675" t="s">
        <v>260</v>
      </c>
      <c r="C675" s="1">
        <v>45360</v>
      </c>
      <c r="D675" s="1" t="s">
        <v>99</v>
      </c>
      <c r="E675">
        <v>7.99</v>
      </c>
      <c r="F675">
        <v>287</v>
      </c>
      <c r="G675" t="s">
        <v>36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27</v>
      </c>
      <c r="N675" t="s">
        <v>44</v>
      </c>
      <c r="O675" t="s">
        <v>29</v>
      </c>
      <c r="P675">
        <v>42</v>
      </c>
      <c r="Q675">
        <v>4.3</v>
      </c>
      <c r="R675" t="b">
        <v>1</v>
      </c>
      <c r="S675" t="s">
        <v>30</v>
      </c>
      <c r="T675">
        <v>4672</v>
      </c>
      <c r="U675" t="s">
        <v>31</v>
      </c>
      <c r="V675" t="s">
        <v>59</v>
      </c>
      <c r="W675" t="s">
        <v>40</v>
      </c>
    </row>
    <row r="676" spans="1:23">
      <c r="A676">
        <v>1300</v>
      </c>
      <c r="B676" t="s">
        <v>626</v>
      </c>
      <c r="C676" s="1" t="s">
        <v>627</v>
      </c>
      <c r="D676" s="1" t="s">
        <v>129</v>
      </c>
      <c r="E676">
        <v>11.99</v>
      </c>
      <c r="F676">
        <v>303</v>
      </c>
      <c r="G676" t="s">
        <v>100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92</v>
      </c>
      <c r="N676" t="s">
        <v>44</v>
      </c>
      <c r="O676" t="s">
        <v>64</v>
      </c>
      <c r="P676">
        <v>12</v>
      </c>
      <c r="Q676">
        <v>4.5999999999999996</v>
      </c>
      <c r="R676" t="b">
        <v>1</v>
      </c>
      <c r="S676" t="s">
        <v>30</v>
      </c>
      <c r="T676">
        <v>2615</v>
      </c>
      <c r="U676" t="s">
        <v>38</v>
      </c>
      <c r="V676" t="s">
        <v>32</v>
      </c>
      <c r="W676" t="s">
        <v>60</v>
      </c>
    </row>
    <row r="677" spans="1:23">
      <c r="A677">
        <v>5410</v>
      </c>
      <c r="B677" t="s">
        <v>628</v>
      </c>
      <c r="C677" s="1">
        <v>45084</v>
      </c>
      <c r="D677" s="1">
        <v>45303</v>
      </c>
      <c r="E677">
        <v>15.99</v>
      </c>
      <c r="F677">
        <v>447</v>
      </c>
      <c r="G677" t="s">
        <v>63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68</v>
      </c>
      <c r="N677" t="s">
        <v>75</v>
      </c>
      <c r="O677" t="s">
        <v>45</v>
      </c>
      <c r="P677">
        <v>88</v>
      </c>
      <c r="Q677">
        <v>3.9</v>
      </c>
      <c r="R677" t="b">
        <v>0</v>
      </c>
      <c r="S677" t="s">
        <v>30</v>
      </c>
      <c r="T677">
        <v>4927</v>
      </c>
      <c r="U677" t="s">
        <v>65</v>
      </c>
      <c r="V677" t="s">
        <v>69</v>
      </c>
      <c r="W677" t="s">
        <v>60</v>
      </c>
    </row>
    <row r="678" spans="1:23">
      <c r="A678">
        <v>2714</v>
      </c>
      <c r="B678" t="s">
        <v>629</v>
      </c>
      <c r="C678" s="1">
        <v>45547</v>
      </c>
      <c r="D678" s="1" t="s">
        <v>105</v>
      </c>
      <c r="E678">
        <v>11.99</v>
      </c>
      <c r="F678">
        <v>480</v>
      </c>
      <c r="G678" t="s">
        <v>48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74</v>
      </c>
      <c r="N678" t="s">
        <v>56</v>
      </c>
      <c r="O678" t="s">
        <v>78</v>
      </c>
      <c r="P678">
        <v>41</v>
      </c>
      <c r="Q678">
        <v>4.8</v>
      </c>
      <c r="R678" t="b">
        <v>0</v>
      </c>
      <c r="S678" t="s">
        <v>30</v>
      </c>
      <c r="T678">
        <v>3069</v>
      </c>
      <c r="U678" t="s">
        <v>76</v>
      </c>
      <c r="V678" t="s">
        <v>32</v>
      </c>
      <c r="W678" t="s">
        <v>93</v>
      </c>
    </row>
    <row r="679" spans="1:23">
      <c r="A679">
        <v>4700</v>
      </c>
      <c r="B679" t="s">
        <v>179</v>
      </c>
      <c r="C679" s="1" t="s">
        <v>317</v>
      </c>
      <c r="D679" s="1">
        <v>45394</v>
      </c>
      <c r="E679">
        <v>7.99</v>
      </c>
      <c r="F679">
        <v>438</v>
      </c>
      <c r="G679" t="s">
        <v>26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49</v>
      </c>
      <c r="N679" t="s">
        <v>75</v>
      </c>
      <c r="O679" t="s">
        <v>78</v>
      </c>
      <c r="P679">
        <v>36</v>
      </c>
      <c r="Q679">
        <v>3.5</v>
      </c>
      <c r="R679" t="b">
        <v>0</v>
      </c>
      <c r="S679" t="s">
        <v>30</v>
      </c>
      <c r="T679">
        <v>1906</v>
      </c>
      <c r="U679" t="s">
        <v>65</v>
      </c>
      <c r="V679" t="s">
        <v>79</v>
      </c>
      <c r="W679" t="s">
        <v>93</v>
      </c>
    </row>
    <row r="680" spans="1:23">
      <c r="A680">
        <v>7589</v>
      </c>
      <c r="B680" t="s">
        <v>280</v>
      </c>
      <c r="C680" s="1">
        <v>45115</v>
      </c>
      <c r="D680" s="1">
        <v>45334</v>
      </c>
      <c r="E680">
        <v>15.99</v>
      </c>
      <c r="F680">
        <v>295</v>
      </c>
      <c r="G680" t="s">
        <v>63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74</v>
      </c>
      <c r="N680" t="s">
        <v>28</v>
      </c>
      <c r="O680" t="s">
        <v>37</v>
      </c>
      <c r="P680">
        <v>3</v>
      </c>
      <c r="Q680">
        <v>4.8</v>
      </c>
      <c r="R680" t="b">
        <v>0</v>
      </c>
      <c r="S680" t="s">
        <v>30</v>
      </c>
      <c r="T680">
        <v>105</v>
      </c>
      <c r="U680" t="s">
        <v>31</v>
      </c>
      <c r="V680" t="s">
        <v>69</v>
      </c>
      <c r="W680" t="s">
        <v>93</v>
      </c>
    </row>
    <row r="681" spans="1:23">
      <c r="A681">
        <v>6866</v>
      </c>
      <c r="B681" t="s">
        <v>199</v>
      </c>
      <c r="C681" s="1" t="s">
        <v>95</v>
      </c>
      <c r="D681" s="1" t="s">
        <v>156</v>
      </c>
      <c r="E681">
        <v>11.99</v>
      </c>
      <c r="F681">
        <v>479</v>
      </c>
      <c r="G681" t="s">
        <v>63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27</v>
      </c>
      <c r="N681" t="s">
        <v>56</v>
      </c>
      <c r="O681" t="s">
        <v>64</v>
      </c>
      <c r="P681">
        <v>54</v>
      </c>
      <c r="Q681">
        <v>4.5999999999999996</v>
      </c>
      <c r="R681" t="b">
        <v>1</v>
      </c>
      <c r="S681" t="s">
        <v>30</v>
      </c>
      <c r="T681">
        <v>4</v>
      </c>
      <c r="U681" t="s">
        <v>38</v>
      </c>
      <c r="V681" t="s">
        <v>79</v>
      </c>
      <c r="W681" t="s">
        <v>40</v>
      </c>
    </row>
    <row r="682" spans="1:23">
      <c r="A682">
        <v>6960</v>
      </c>
      <c r="B682" t="s">
        <v>630</v>
      </c>
      <c r="C682" s="1">
        <v>45271</v>
      </c>
      <c r="D682" s="1" t="s">
        <v>214</v>
      </c>
      <c r="E682">
        <v>15.99</v>
      </c>
      <c r="F682">
        <v>214</v>
      </c>
      <c r="G682" t="s">
        <v>51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92</v>
      </c>
      <c r="N682" t="s">
        <v>28</v>
      </c>
      <c r="O682" t="s">
        <v>78</v>
      </c>
      <c r="P682">
        <v>1</v>
      </c>
      <c r="Q682">
        <v>3.3</v>
      </c>
      <c r="R682" t="b">
        <v>1</v>
      </c>
      <c r="S682" t="s">
        <v>30</v>
      </c>
      <c r="T682">
        <v>1651</v>
      </c>
      <c r="U682" t="s">
        <v>58</v>
      </c>
      <c r="V682" t="s">
        <v>79</v>
      </c>
      <c r="W682" t="s">
        <v>40</v>
      </c>
    </row>
    <row r="683" spans="1:23">
      <c r="A683">
        <v>5808</v>
      </c>
      <c r="B683" t="s">
        <v>491</v>
      </c>
      <c r="C683" s="1" t="s">
        <v>543</v>
      </c>
      <c r="D683" s="1" t="s">
        <v>54</v>
      </c>
      <c r="E683">
        <v>15.99</v>
      </c>
      <c r="F683">
        <v>69</v>
      </c>
      <c r="G683" t="s">
        <v>26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27</v>
      </c>
      <c r="N683" t="s">
        <v>75</v>
      </c>
      <c r="O683" t="s">
        <v>45</v>
      </c>
      <c r="P683">
        <v>50</v>
      </c>
      <c r="Q683">
        <v>4.7</v>
      </c>
      <c r="R683" t="b">
        <v>1</v>
      </c>
      <c r="S683" t="s">
        <v>30</v>
      </c>
      <c r="T683">
        <v>1828</v>
      </c>
      <c r="U683" t="s">
        <v>76</v>
      </c>
      <c r="V683" t="s">
        <v>69</v>
      </c>
      <c r="W683" t="s">
        <v>40</v>
      </c>
    </row>
    <row r="684" spans="1:23">
      <c r="A684">
        <v>5525</v>
      </c>
      <c r="B684" t="s">
        <v>224</v>
      </c>
      <c r="C684" s="1">
        <v>45056</v>
      </c>
      <c r="D684" s="1">
        <v>45455</v>
      </c>
      <c r="E684">
        <v>15.99</v>
      </c>
      <c r="F684">
        <v>344</v>
      </c>
      <c r="G684" t="s">
        <v>26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74</v>
      </c>
      <c r="N684" t="s">
        <v>75</v>
      </c>
      <c r="O684" t="s">
        <v>37</v>
      </c>
      <c r="P684">
        <v>37</v>
      </c>
      <c r="Q684">
        <v>3.4</v>
      </c>
      <c r="R684" t="b">
        <v>1</v>
      </c>
      <c r="S684" t="s">
        <v>30</v>
      </c>
      <c r="T684">
        <v>396</v>
      </c>
      <c r="U684" t="s">
        <v>58</v>
      </c>
      <c r="V684" t="s">
        <v>32</v>
      </c>
      <c r="W684" t="s">
        <v>33</v>
      </c>
    </row>
    <row r="685" spans="1:23">
      <c r="A685">
        <v>1272</v>
      </c>
      <c r="B685" t="s">
        <v>272</v>
      </c>
      <c r="C685" s="1" t="s">
        <v>324</v>
      </c>
      <c r="D685" s="1" t="s">
        <v>84</v>
      </c>
      <c r="E685">
        <v>15.99</v>
      </c>
      <c r="F685">
        <v>163</v>
      </c>
      <c r="G685" t="s">
        <v>73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49</v>
      </c>
      <c r="N685" t="s">
        <v>75</v>
      </c>
      <c r="O685" t="s">
        <v>45</v>
      </c>
      <c r="P685">
        <v>10</v>
      </c>
      <c r="Q685">
        <v>4.2</v>
      </c>
      <c r="R685" t="b">
        <v>0</v>
      </c>
      <c r="S685" t="s">
        <v>30</v>
      </c>
      <c r="T685">
        <v>809</v>
      </c>
      <c r="U685" t="s">
        <v>31</v>
      </c>
      <c r="V685" t="s">
        <v>79</v>
      </c>
      <c r="W685" t="s">
        <v>40</v>
      </c>
    </row>
    <row r="686" spans="1:23">
      <c r="A686">
        <v>8063</v>
      </c>
      <c r="B686" t="s">
        <v>304</v>
      </c>
      <c r="C686" s="1" t="s">
        <v>627</v>
      </c>
      <c r="D686" s="1">
        <v>45638</v>
      </c>
      <c r="E686">
        <v>7.99</v>
      </c>
      <c r="F686">
        <v>217</v>
      </c>
      <c r="G686" t="s">
        <v>73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43</v>
      </c>
      <c r="N686" t="s">
        <v>28</v>
      </c>
      <c r="O686" t="s">
        <v>57</v>
      </c>
      <c r="P686">
        <v>2</v>
      </c>
      <c r="Q686">
        <v>3.1</v>
      </c>
      <c r="R686" t="b">
        <v>1</v>
      </c>
      <c r="S686" t="s">
        <v>30</v>
      </c>
      <c r="T686">
        <v>1431</v>
      </c>
      <c r="U686" t="s">
        <v>65</v>
      </c>
      <c r="V686" t="s">
        <v>79</v>
      </c>
      <c r="W686" t="s">
        <v>40</v>
      </c>
    </row>
    <row r="687" spans="1:23">
      <c r="A687">
        <v>1856</v>
      </c>
      <c r="B687" t="s">
        <v>631</v>
      </c>
      <c r="C687" s="1" t="s">
        <v>616</v>
      </c>
      <c r="D687" s="1">
        <v>45608</v>
      </c>
      <c r="E687">
        <v>15.99</v>
      </c>
      <c r="F687">
        <v>177</v>
      </c>
      <c r="G687" t="s">
        <v>63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74</v>
      </c>
      <c r="N687" t="s">
        <v>44</v>
      </c>
      <c r="O687" t="s">
        <v>57</v>
      </c>
      <c r="P687">
        <v>89</v>
      </c>
      <c r="Q687">
        <v>3.1</v>
      </c>
      <c r="R687" t="b">
        <v>0</v>
      </c>
      <c r="S687" t="s">
        <v>30</v>
      </c>
      <c r="T687">
        <v>2394</v>
      </c>
      <c r="U687" t="s">
        <v>76</v>
      </c>
      <c r="V687" t="s">
        <v>59</v>
      </c>
      <c r="W687" t="s">
        <v>93</v>
      </c>
    </row>
    <row r="688" spans="1:23">
      <c r="A688">
        <v>2830</v>
      </c>
      <c r="B688" t="s">
        <v>579</v>
      </c>
      <c r="C688" s="1">
        <v>44990</v>
      </c>
      <c r="D688" s="1">
        <v>45516</v>
      </c>
      <c r="E688">
        <v>11.99</v>
      </c>
      <c r="F688">
        <v>304</v>
      </c>
      <c r="G688" t="s">
        <v>73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55</v>
      </c>
      <c r="N688" t="s">
        <v>75</v>
      </c>
      <c r="O688" t="s">
        <v>78</v>
      </c>
      <c r="P688">
        <v>2</v>
      </c>
      <c r="Q688">
        <v>4.8</v>
      </c>
      <c r="R688" t="b">
        <v>1</v>
      </c>
      <c r="S688" t="s">
        <v>30</v>
      </c>
      <c r="T688">
        <v>4685</v>
      </c>
      <c r="U688" t="s">
        <v>38</v>
      </c>
      <c r="V688" t="s">
        <v>79</v>
      </c>
      <c r="W688" t="s">
        <v>60</v>
      </c>
    </row>
    <row r="689" spans="1:23">
      <c r="A689">
        <v>3287</v>
      </c>
      <c r="B689" t="s">
        <v>508</v>
      </c>
      <c r="C689" s="1" t="s">
        <v>609</v>
      </c>
      <c r="D689" s="1" t="s">
        <v>134</v>
      </c>
      <c r="E689">
        <v>15.99</v>
      </c>
      <c r="F689">
        <v>90</v>
      </c>
      <c r="G689" t="s">
        <v>63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92</v>
      </c>
      <c r="N689" t="s">
        <v>28</v>
      </c>
      <c r="O689" t="s">
        <v>45</v>
      </c>
      <c r="P689">
        <v>73</v>
      </c>
      <c r="Q689">
        <v>4.4000000000000004</v>
      </c>
      <c r="R689" t="b">
        <v>1</v>
      </c>
      <c r="S689" t="s">
        <v>30</v>
      </c>
      <c r="T689">
        <v>4332</v>
      </c>
      <c r="U689" t="s">
        <v>31</v>
      </c>
      <c r="V689" t="s">
        <v>79</v>
      </c>
      <c r="W689" t="s">
        <v>93</v>
      </c>
    </row>
    <row r="690" spans="1:23">
      <c r="A690">
        <v>5679</v>
      </c>
      <c r="B690" t="s">
        <v>444</v>
      </c>
      <c r="C690" s="1" t="s">
        <v>526</v>
      </c>
      <c r="D690" s="1">
        <v>45455</v>
      </c>
      <c r="E690">
        <v>15.99</v>
      </c>
      <c r="F690">
        <v>108</v>
      </c>
      <c r="G690" t="s">
        <v>26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49</v>
      </c>
      <c r="N690" t="s">
        <v>75</v>
      </c>
      <c r="O690" t="s">
        <v>45</v>
      </c>
      <c r="P690">
        <v>81</v>
      </c>
      <c r="Q690">
        <v>5</v>
      </c>
      <c r="R690" t="b">
        <v>0</v>
      </c>
      <c r="S690" t="s">
        <v>30</v>
      </c>
      <c r="T690">
        <v>851</v>
      </c>
      <c r="U690" t="s">
        <v>65</v>
      </c>
      <c r="V690" t="s">
        <v>69</v>
      </c>
      <c r="W690" t="s">
        <v>93</v>
      </c>
    </row>
    <row r="691" spans="1:23">
      <c r="A691">
        <v>6399</v>
      </c>
      <c r="B691" t="s">
        <v>157</v>
      </c>
      <c r="C691" s="1">
        <v>44927</v>
      </c>
      <c r="D691" s="1">
        <v>45424</v>
      </c>
      <c r="E691">
        <v>11.99</v>
      </c>
      <c r="F691">
        <v>96</v>
      </c>
      <c r="G691" t="s">
        <v>51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27</v>
      </c>
      <c r="N691" t="s">
        <v>56</v>
      </c>
      <c r="O691" t="s">
        <v>78</v>
      </c>
      <c r="P691">
        <v>80</v>
      </c>
      <c r="Q691">
        <v>4.5999999999999996</v>
      </c>
      <c r="R691" t="b">
        <v>0</v>
      </c>
      <c r="S691" t="s">
        <v>30</v>
      </c>
      <c r="T691">
        <v>2261</v>
      </c>
      <c r="U691" t="s">
        <v>65</v>
      </c>
      <c r="V691" t="s">
        <v>59</v>
      </c>
      <c r="W691" t="s">
        <v>93</v>
      </c>
    </row>
    <row r="692" spans="1:23">
      <c r="A692">
        <v>8753</v>
      </c>
      <c r="B692" t="s">
        <v>257</v>
      </c>
      <c r="C692" s="1" t="s">
        <v>632</v>
      </c>
      <c r="D692" s="1" t="s">
        <v>90</v>
      </c>
      <c r="E692">
        <v>11.99</v>
      </c>
      <c r="F692">
        <v>247</v>
      </c>
      <c r="G692" t="s">
        <v>26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74</v>
      </c>
      <c r="N692" t="s">
        <v>44</v>
      </c>
      <c r="O692" t="s">
        <v>78</v>
      </c>
      <c r="P692">
        <v>79</v>
      </c>
      <c r="Q692">
        <v>4.8</v>
      </c>
      <c r="R692" t="b">
        <v>0</v>
      </c>
      <c r="S692" t="s">
        <v>30</v>
      </c>
      <c r="T692">
        <v>1500</v>
      </c>
      <c r="U692" t="s">
        <v>31</v>
      </c>
      <c r="V692" t="s">
        <v>79</v>
      </c>
      <c r="W692" t="s">
        <v>33</v>
      </c>
    </row>
    <row r="693" spans="1:23">
      <c r="A693">
        <v>9267</v>
      </c>
      <c r="B693" t="s">
        <v>284</v>
      </c>
      <c r="C693" s="1">
        <v>45478</v>
      </c>
      <c r="D693" s="1" t="s">
        <v>156</v>
      </c>
      <c r="E693">
        <v>15.99</v>
      </c>
      <c r="F693">
        <v>245</v>
      </c>
      <c r="G693" t="s">
        <v>100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55</v>
      </c>
      <c r="N693" t="s">
        <v>44</v>
      </c>
      <c r="O693" t="s">
        <v>45</v>
      </c>
      <c r="P693">
        <v>6</v>
      </c>
      <c r="Q693">
        <v>3.7</v>
      </c>
      <c r="R693" t="b">
        <v>1</v>
      </c>
      <c r="S693" t="s">
        <v>30</v>
      </c>
      <c r="T693">
        <v>2130</v>
      </c>
      <c r="U693" t="s">
        <v>76</v>
      </c>
      <c r="V693" t="s">
        <v>39</v>
      </c>
      <c r="W693" t="s">
        <v>40</v>
      </c>
    </row>
    <row r="694" spans="1:23">
      <c r="A694">
        <v>9846</v>
      </c>
      <c r="B694" t="s">
        <v>128</v>
      </c>
      <c r="C694" s="1" t="s">
        <v>633</v>
      </c>
      <c r="D694" s="1" t="s">
        <v>25</v>
      </c>
      <c r="E694">
        <v>7.99</v>
      </c>
      <c r="F694">
        <v>366</v>
      </c>
      <c r="G694" t="s">
        <v>36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92</v>
      </c>
      <c r="N694" t="s">
        <v>28</v>
      </c>
      <c r="O694" t="s">
        <v>57</v>
      </c>
      <c r="P694">
        <v>35</v>
      </c>
      <c r="Q694">
        <v>4.0999999999999996</v>
      </c>
      <c r="R694" t="b">
        <v>0</v>
      </c>
      <c r="S694" t="s">
        <v>30</v>
      </c>
      <c r="T694">
        <v>4308</v>
      </c>
      <c r="U694" t="s">
        <v>38</v>
      </c>
      <c r="V694" t="s">
        <v>32</v>
      </c>
      <c r="W694" t="s">
        <v>33</v>
      </c>
    </row>
    <row r="695" spans="1:23">
      <c r="A695">
        <v>2382</v>
      </c>
      <c r="B695" t="s">
        <v>584</v>
      </c>
      <c r="C695" s="1">
        <v>45571</v>
      </c>
      <c r="D695" s="1">
        <v>45547</v>
      </c>
      <c r="E695">
        <v>15.99</v>
      </c>
      <c r="F695">
        <v>170</v>
      </c>
      <c r="G695" t="s">
        <v>48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55</v>
      </c>
      <c r="N695" t="s">
        <v>75</v>
      </c>
      <c r="O695" t="s">
        <v>29</v>
      </c>
      <c r="P695">
        <v>81</v>
      </c>
      <c r="Q695">
        <v>4.7</v>
      </c>
      <c r="R695" t="b">
        <v>1</v>
      </c>
      <c r="S695" t="s">
        <v>30</v>
      </c>
      <c r="T695">
        <v>421</v>
      </c>
      <c r="U695" t="s">
        <v>65</v>
      </c>
      <c r="V695" t="s">
        <v>39</v>
      </c>
      <c r="W695" t="s">
        <v>93</v>
      </c>
    </row>
    <row r="696" spans="1:23">
      <c r="A696">
        <v>3593</v>
      </c>
      <c r="B696" t="s">
        <v>335</v>
      </c>
      <c r="C696" s="1" t="s">
        <v>634</v>
      </c>
      <c r="D696" s="1" t="s">
        <v>156</v>
      </c>
      <c r="E696">
        <v>7.99</v>
      </c>
      <c r="F696">
        <v>447</v>
      </c>
      <c r="G696" t="s">
        <v>51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55</v>
      </c>
      <c r="N696" t="s">
        <v>75</v>
      </c>
      <c r="O696" t="s">
        <v>29</v>
      </c>
      <c r="P696">
        <v>3</v>
      </c>
      <c r="Q696">
        <v>4.5</v>
      </c>
      <c r="R696" t="b">
        <v>0</v>
      </c>
      <c r="S696" t="s">
        <v>30</v>
      </c>
      <c r="T696">
        <v>2163</v>
      </c>
      <c r="U696" t="s">
        <v>65</v>
      </c>
      <c r="V696" t="s">
        <v>32</v>
      </c>
      <c r="W696" t="s">
        <v>33</v>
      </c>
    </row>
    <row r="697" spans="1:23">
      <c r="A697">
        <v>4097</v>
      </c>
      <c r="B697" t="s">
        <v>280</v>
      </c>
      <c r="C697" s="1" t="s">
        <v>412</v>
      </c>
      <c r="D697" s="1" t="s">
        <v>129</v>
      </c>
      <c r="E697">
        <v>7.99</v>
      </c>
      <c r="F697">
        <v>369</v>
      </c>
      <c r="G697" t="s">
        <v>63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68</v>
      </c>
      <c r="N697" t="s">
        <v>28</v>
      </c>
      <c r="O697" t="s">
        <v>29</v>
      </c>
      <c r="P697">
        <v>30</v>
      </c>
      <c r="Q697">
        <v>4</v>
      </c>
      <c r="R697" t="b">
        <v>0</v>
      </c>
      <c r="S697" t="s">
        <v>30</v>
      </c>
      <c r="T697">
        <v>3354</v>
      </c>
      <c r="U697" t="s">
        <v>76</v>
      </c>
      <c r="V697" t="s">
        <v>59</v>
      </c>
      <c r="W697" t="s">
        <v>33</v>
      </c>
    </row>
    <row r="698" spans="1:23">
      <c r="A698">
        <v>2886</v>
      </c>
      <c r="B698" t="s">
        <v>106</v>
      </c>
      <c r="C698" s="1" t="s">
        <v>173</v>
      </c>
      <c r="D698" s="1" t="s">
        <v>214</v>
      </c>
      <c r="E698">
        <v>15.99</v>
      </c>
      <c r="F698">
        <v>62</v>
      </c>
      <c r="G698" t="s">
        <v>73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74</v>
      </c>
      <c r="N698" t="s">
        <v>75</v>
      </c>
      <c r="O698" t="s">
        <v>37</v>
      </c>
      <c r="P698">
        <v>14</v>
      </c>
      <c r="Q698">
        <v>3.1</v>
      </c>
      <c r="R698" t="b">
        <v>0</v>
      </c>
      <c r="S698" t="s">
        <v>30</v>
      </c>
      <c r="T698">
        <v>3702</v>
      </c>
      <c r="U698" t="s">
        <v>65</v>
      </c>
      <c r="V698" t="s">
        <v>79</v>
      </c>
      <c r="W698" t="s">
        <v>60</v>
      </c>
    </row>
    <row r="699" spans="1:23">
      <c r="A699">
        <v>3255</v>
      </c>
      <c r="B699" t="s">
        <v>547</v>
      </c>
      <c r="C699" s="1">
        <v>45444</v>
      </c>
      <c r="D699" s="1" t="s">
        <v>99</v>
      </c>
      <c r="E699">
        <v>7.99</v>
      </c>
      <c r="F699">
        <v>294</v>
      </c>
      <c r="G699" t="s">
        <v>63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92</v>
      </c>
      <c r="N699" t="s">
        <v>44</v>
      </c>
      <c r="O699" t="s">
        <v>57</v>
      </c>
      <c r="P699">
        <v>49</v>
      </c>
      <c r="Q699">
        <v>3.2</v>
      </c>
      <c r="R699" t="b">
        <v>1</v>
      </c>
      <c r="S699" t="s">
        <v>30</v>
      </c>
      <c r="T699">
        <v>3758</v>
      </c>
      <c r="U699" t="s">
        <v>76</v>
      </c>
      <c r="V699" t="s">
        <v>32</v>
      </c>
      <c r="W699" t="s">
        <v>93</v>
      </c>
    </row>
    <row r="700" spans="1:23">
      <c r="A700">
        <v>6752</v>
      </c>
      <c r="B700" t="s">
        <v>194</v>
      </c>
      <c r="C700" s="1" t="s">
        <v>571</v>
      </c>
      <c r="D700" s="1">
        <v>45547</v>
      </c>
      <c r="E700">
        <v>11.99</v>
      </c>
      <c r="F700">
        <v>10</v>
      </c>
      <c r="G700" t="s">
        <v>51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68</v>
      </c>
      <c r="N700" t="s">
        <v>56</v>
      </c>
      <c r="O700" t="s">
        <v>57</v>
      </c>
      <c r="P700">
        <v>99</v>
      </c>
      <c r="Q700">
        <v>3.8</v>
      </c>
      <c r="R700" t="b">
        <v>1</v>
      </c>
      <c r="S700" t="s">
        <v>30</v>
      </c>
      <c r="T700">
        <v>3942</v>
      </c>
      <c r="U700" t="s">
        <v>76</v>
      </c>
      <c r="V700" t="s">
        <v>32</v>
      </c>
      <c r="W700" t="s">
        <v>93</v>
      </c>
    </row>
    <row r="701" spans="1:23">
      <c r="A701">
        <v>7945</v>
      </c>
      <c r="B701" t="s">
        <v>631</v>
      </c>
      <c r="C701" s="1" t="s">
        <v>227</v>
      </c>
      <c r="D701" s="1" t="s">
        <v>168</v>
      </c>
      <c r="E701">
        <v>11.99</v>
      </c>
      <c r="F701">
        <v>389</v>
      </c>
      <c r="G701" t="s">
        <v>63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68</v>
      </c>
      <c r="N701" t="s">
        <v>44</v>
      </c>
      <c r="O701" t="s">
        <v>57</v>
      </c>
      <c r="P701">
        <v>53</v>
      </c>
      <c r="Q701">
        <v>3.3</v>
      </c>
      <c r="R701" t="b">
        <v>1</v>
      </c>
      <c r="S701" t="s">
        <v>30</v>
      </c>
      <c r="T701">
        <v>2242</v>
      </c>
      <c r="U701" t="s">
        <v>38</v>
      </c>
      <c r="V701" t="s">
        <v>79</v>
      </c>
      <c r="W701" t="s">
        <v>93</v>
      </c>
    </row>
    <row r="702" spans="1:23">
      <c r="A702">
        <v>6658</v>
      </c>
      <c r="B702" t="s">
        <v>157</v>
      </c>
      <c r="C702" s="1">
        <v>45295</v>
      </c>
      <c r="D702" s="1">
        <v>45424</v>
      </c>
      <c r="E702">
        <v>7.99</v>
      </c>
      <c r="F702">
        <v>55</v>
      </c>
      <c r="G702" t="s">
        <v>48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27</v>
      </c>
      <c r="N702" t="s">
        <v>44</v>
      </c>
      <c r="O702" t="s">
        <v>29</v>
      </c>
      <c r="P702">
        <v>42</v>
      </c>
      <c r="Q702">
        <v>3.6</v>
      </c>
      <c r="R702" t="b">
        <v>1</v>
      </c>
      <c r="S702" t="s">
        <v>30</v>
      </c>
      <c r="T702">
        <v>2561</v>
      </c>
      <c r="U702" t="s">
        <v>38</v>
      </c>
      <c r="V702" t="s">
        <v>69</v>
      </c>
      <c r="W702" t="s">
        <v>33</v>
      </c>
    </row>
    <row r="703" spans="1:23">
      <c r="A703">
        <v>5468</v>
      </c>
      <c r="B703" t="s">
        <v>635</v>
      </c>
      <c r="C703" s="1">
        <v>45326</v>
      </c>
      <c r="D703" s="1" t="s">
        <v>84</v>
      </c>
      <c r="E703">
        <v>11.99</v>
      </c>
      <c r="F703">
        <v>208</v>
      </c>
      <c r="G703" t="s">
        <v>100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27</v>
      </c>
      <c r="N703" t="s">
        <v>28</v>
      </c>
      <c r="O703" t="s">
        <v>29</v>
      </c>
      <c r="P703">
        <v>41</v>
      </c>
      <c r="Q703">
        <v>3</v>
      </c>
      <c r="R703" t="b">
        <v>1</v>
      </c>
      <c r="S703" t="s">
        <v>30</v>
      </c>
      <c r="T703">
        <v>2465</v>
      </c>
      <c r="U703" t="s">
        <v>76</v>
      </c>
      <c r="V703" t="s">
        <v>32</v>
      </c>
      <c r="W703" t="s">
        <v>33</v>
      </c>
    </row>
    <row r="704" spans="1:23">
      <c r="A704">
        <v>7451</v>
      </c>
      <c r="B704" t="s">
        <v>244</v>
      </c>
      <c r="C704" s="1" t="s">
        <v>636</v>
      </c>
      <c r="D704" s="1">
        <v>45547</v>
      </c>
      <c r="E704">
        <v>15.99</v>
      </c>
      <c r="F704">
        <v>198</v>
      </c>
      <c r="G704" t="s">
        <v>48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43</v>
      </c>
      <c r="N704" t="s">
        <v>44</v>
      </c>
      <c r="O704" t="s">
        <v>78</v>
      </c>
      <c r="P704">
        <v>92</v>
      </c>
      <c r="Q704">
        <v>4.9000000000000004</v>
      </c>
      <c r="R704" t="b">
        <v>0</v>
      </c>
      <c r="S704" t="s">
        <v>30</v>
      </c>
      <c r="T704">
        <v>4435</v>
      </c>
      <c r="U704" t="s">
        <v>76</v>
      </c>
      <c r="V704" t="s">
        <v>59</v>
      </c>
      <c r="W704" t="s">
        <v>60</v>
      </c>
    </row>
    <row r="705" spans="1:23">
      <c r="A705">
        <v>1253</v>
      </c>
      <c r="B705" t="s">
        <v>157</v>
      </c>
      <c r="C705" s="1">
        <v>45542</v>
      </c>
      <c r="D705" s="1">
        <v>45424</v>
      </c>
      <c r="E705">
        <v>11.99</v>
      </c>
      <c r="F705">
        <v>280</v>
      </c>
      <c r="G705" t="s">
        <v>63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92</v>
      </c>
      <c r="N705" t="s">
        <v>28</v>
      </c>
      <c r="O705" t="s">
        <v>78</v>
      </c>
      <c r="P705">
        <v>13</v>
      </c>
      <c r="Q705">
        <v>3.2</v>
      </c>
      <c r="R705" t="b">
        <v>0</v>
      </c>
      <c r="S705" t="s">
        <v>30</v>
      </c>
      <c r="T705">
        <v>4116</v>
      </c>
      <c r="U705" t="s">
        <v>31</v>
      </c>
      <c r="V705" t="s">
        <v>69</v>
      </c>
      <c r="W705" t="s">
        <v>93</v>
      </c>
    </row>
    <row r="706" spans="1:23">
      <c r="A706">
        <v>6746</v>
      </c>
      <c r="B706" t="s">
        <v>558</v>
      </c>
      <c r="C706" s="1">
        <v>45333</v>
      </c>
      <c r="D706" s="1" t="s">
        <v>105</v>
      </c>
      <c r="E706">
        <v>7.99</v>
      </c>
      <c r="F706">
        <v>161</v>
      </c>
      <c r="G706" t="s">
        <v>73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49</v>
      </c>
      <c r="N706" t="s">
        <v>75</v>
      </c>
      <c r="O706" t="s">
        <v>64</v>
      </c>
      <c r="P706">
        <v>27</v>
      </c>
      <c r="Q706">
        <v>3.3</v>
      </c>
      <c r="R706" t="b">
        <v>0</v>
      </c>
      <c r="S706" t="s">
        <v>30</v>
      </c>
      <c r="T706">
        <v>944</v>
      </c>
      <c r="U706" t="s">
        <v>58</v>
      </c>
      <c r="V706" t="s">
        <v>32</v>
      </c>
      <c r="W706" t="s">
        <v>93</v>
      </c>
    </row>
    <row r="707" spans="1:23">
      <c r="A707">
        <v>8089</v>
      </c>
      <c r="B707" t="s">
        <v>232</v>
      </c>
      <c r="C707" s="1">
        <v>45510</v>
      </c>
      <c r="D707" s="1" t="s">
        <v>99</v>
      </c>
      <c r="E707">
        <v>7.99</v>
      </c>
      <c r="F707">
        <v>439</v>
      </c>
      <c r="G707" t="s">
        <v>26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55</v>
      </c>
      <c r="N707" t="s">
        <v>44</v>
      </c>
      <c r="O707" t="s">
        <v>57</v>
      </c>
      <c r="P707">
        <v>14</v>
      </c>
      <c r="Q707">
        <v>4.0999999999999996</v>
      </c>
      <c r="R707" t="b">
        <v>0</v>
      </c>
      <c r="S707" t="s">
        <v>30</v>
      </c>
      <c r="T707">
        <v>4219</v>
      </c>
      <c r="U707" t="s">
        <v>58</v>
      </c>
      <c r="V707" t="s">
        <v>32</v>
      </c>
      <c r="W707" t="s">
        <v>60</v>
      </c>
    </row>
    <row r="708" spans="1:23">
      <c r="A708">
        <v>8045</v>
      </c>
      <c r="B708" t="s">
        <v>304</v>
      </c>
      <c r="C708" s="1">
        <v>44996</v>
      </c>
      <c r="D708" s="1">
        <v>45334</v>
      </c>
      <c r="E708">
        <v>7.99</v>
      </c>
      <c r="F708">
        <v>339</v>
      </c>
      <c r="G708" t="s">
        <v>100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92</v>
      </c>
      <c r="N708" t="s">
        <v>75</v>
      </c>
      <c r="O708" t="s">
        <v>78</v>
      </c>
      <c r="P708">
        <v>14</v>
      </c>
      <c r="Q708">
        <v>3.9</v>
      </c>
      <c r="R708" t="b">
        <v>0</v>
      </c>
      <c r="S708" t="s">
        <v>30</v>
      </c>
      <c r="T708">
        <v>4311</v>
      </c>
      <c r="U708" t="s">
        <v>38</v>
      </c>
      <c r="V708" t="s">
        <v>69</v>
      </c>
      <c r="W708" t="s">
        <v>33</v>
      </c>
    </row>
    <row r="709" spans="1:23">
      <c r="A709">
        <v>9417</v>
      </c>
      <c r="B709" t="s">
        <v>126</v>
      </c>
      <c r="C709" s="1" t="s">
        <v>264</v>
      </c>
      <c r="D709" s="1" t="s">
        <v>105</v>
      </c>
      <c r="E709">
        <v>11.99</v>
      </c>
      <c r="F709">
        <v>52</v>
      </c>
      <c r="G709" t="s">
        <v>26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49</v>
      </c>
      <c r="N709" t="s">
        <v>56</v>
      </c>
      <c r="O709" t="s">
        <v>57</v>
      </c>
      <c r="P709">
        <v>90</v>
      </c>
      <c r="Q709">
        <v>4.0999999999999996</v>
      </c>
      <c r="R709" t="b">
        <v>1</v>
      </c>
      <c r="S709" t="s">
        <v>30</v>
      </c>
      <c r="T709">
        <v>1972</v>
      </c>
      <c r="U709" t="s">
        <v>58</v>
      </c>
      <c r="V709" t="s">
        <v>39</v>
      </c>
      <c r="W709" t="s">
        <v>40</v>
      </c>
    </row>
    <row r="710" spans="1:23">
      <c r="A710">
        <v>3217</v>
      </c>
      <c r="B710" t="s">
        <v>140</v>
      </c>
      <c r="C710" s="1">
        <v>45509</v>
      </c>
      <c r="D710" s="1" t="s">
        <v>129</v>
      </c>
      <c r="E710">
        <v>15.99</v>
      </c>
      <c r="F710">
        <v>297</v>
      </c>
      <c r="G710" t="s">
        <v>73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92</v>
      </c>
      <c r="N710" t="s">
        <v>75</v>
      </c>
      <c r="O710" t="s">
        <v>78</v>
      </c>
      <c r="P710">
        <v>36</v>
      </c>
      <c r="Q710">
        <v>3.1</v>
      </c>
      <c r="R710" t="b">
        <v>1</v>
      </c>
      <c r="S710" t="s">
        <v>30</v>
      </c>
      <c r="T710">
        <v>2132</v>
      </c>
      <c r="U710" t="s">
        <v>31</v>
      </c>
      <c r="V710" t="s">
        <v>79</v>
      </c>
      <c r="W710" t="s">
        <v>40</v>
      </c>
    </row>
    <row r="711" spans="1:23">
      <c r="A711">
        <v>4234</v>
      </c>
      <c r="B711" t="s">
        <v>157</v>
      </c>
      <c r="C711" s="1">
        <v>45139</v>
      </c>
      <c r="D711" s="1" t="s">
        <v>54</v>
      </c>
      <c r="E711">
        <v>15.99</v>
      </c>
      <c r="F711">
        <v>40</v>
      </c>
      <c r="G711" t="s">
        <v>51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68</v>
      </c>
      <c r="N711" t="s">
        <v>28</v>
      </c>
      <c r="O711" t="s">
        <v>37</v>
      </c>
      <c r="P711">
        <v>59</v>
      </c>
      <c r="Q711">
        <v>3.5</v>
      </c>
      <c r="R711" t="b">
        <v>1</v>
      </c>
      <c r="S711" t="s">
        <v>30</v>
      </c>
      <c r="T711">
        <v>2370</v>
      </c>
      <c r="U711" t="s">
        <v>58</v>
      </c>
      <c r="V711" t="s">
        <v>79</v>
      </c>
      <c r="W711" t="s">
        <v>93</v>
      </c>
    </row>
    <row r="712" spans="1:23">
      <c r="A712">
        <v>1118</v>
      </c>
      <c r="B712" t="s">
        <v>240</v>
      </c>
      <c r="C712" s="1">
        <v>45475</v>
      </c>
      <c r="D712" s="1">
        <v>45608</v>
      </c>
      <c r="E712">
        <v>15.99</v>
      </c>
      <c r="F712">
        <v>379</v>
      </c>
      <c r="G712" t="s">
        <v>26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49</v>
      </c>
      <c r="N712" t="s">
        <v>44</v>
      </c>
      <c r="O712" t="s">
        <v>57</v>
      </c>
      <c r="P712">
        <v>43</v>
      </c>
      <c r="Q712">
        <v>4.2</v>
      </c>
      <c r="R712" t="b">
        <v>1</v>
      </c>
      <c r="S712" t="s">
        <v>30</v>
      </c>
      <c r="T712">
        <v>1312</v>
      </c>
      <c r="U712" t="s">
        <v>58</v>
      </c>
      <c r="V712" t="s">
        <v>79</v>
      </c>
      <c r="W712" t="s">
        <v>40</v>
      </c>
    </row>
    <row r="713" spans="1:23">
      <c r="A713">
        <v>4027</v>
      </c>
      <c r="B713" t="s">
        <v>631</v>
      </c>
      <c r="C713" s="1" t="s">
        <v>447</v>
      </c>
      <c r="D713" s="1" t="s">
        <v>156</v>
      </c>
      <c r="E713">
        <v>15.99</v>
      </c>
      <c r="F713">
        <v>82</v>
      </c>
      <c r="G713" t="s">
        <v>63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92</v>
      </c>
      <c r="N713" t="s">
        <v>28</v>
      </c>
      <c r="O713" t="s">
        <v>57</v>
      </c>
      <c r="P713">
        <v>57</v>
      </c>
      <c r="Q713">
        <v>3.1</v>
      </c>
      <c r="R713" t="b">
        <v>1</v>
      </c>
      <c r="S713" t="s">
        <v>30</v>
      </c>
      <c r="T713">
        <v>4920</v>
      </c>
      <c r="U713" t="s">
        <v>76</v>
      </c>
      <c r="V713" t="s">
        <v>32</v>
      </c>
      <c r="W713" t="s">
        <v>93</v>
      </c>
    </row>
    <row r="714" spans="1:23">
      <c r="A714">
        <v>8451</v>
      </c>
      <c r="B714" t="s">
        <v>637</v>
      </c>
      <c r="C714" s="1">
        <v>44960</v>
      </c>
      <c r="D714" s="1" t="s">
        <v>109</v>
      </c>
      <c r="E714">
        <v>11.99</v>
      </c>
      <c r="F714">
        <v>192</v>
      </c>
      <c r="G714" t="s">
        <v>26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74</v>
      </c>
      <c r="N714" t="s">
        <v>75</v>
      </c>
      <c r="O714" t="s">
        <v>29</v>
      </c>
      <c r="P714">
        <v>59</v>
      </c>
      <c r="Q714">
        <v>4.0999999999999996</v>
      </c>
      <c r="R714" t="b">
        <v>1</v>
      </c>
      <c r="S714" t="s">
        <v>30</v>
      </c>
      <c r="T714">
        <v>2897</v>
      </c>
      <c r="U714" t="s">
        <v>58</v>
      </c>
      <c r="V714" t="s">
        <v>69</v>
      </c>
      <c r="W714" t="s">
        <v>60</v>
      </c>
    </row>
    <row r="715" spans="1:23">
      <c r="A715">
        <v>6647</v>
      </c>
      <c r="B715" t="s">
        <v>88</v>
      </c>
      <c r="C715" s="1" t="s">
        <v>638</v>
      </c>
      <c r="D715" s="1" t="s">
        <v>168</v>
      </c>
      <c r="E715">
        <v>15.99</v>
      </c>
      <c r="F715">
        <v>286</v>
      </c>
      <c r="G715" t="s">
        <v>36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43</v>
      </c>
      <c r="N715" t="s">
        <v>28</v>
      </c>
      <c r="O715" t="s">
        <v>37</v>
      </c>
      <c r="P715">
        <v>64</v>
      </c>
      <c r="Q715">
        <v>3.2</v>
      </c>
      <c r="R715" t="b">
        <v>1</v>
      </c>
      <c r="S715" t="s">
        <v>30</v>
      </c>
      <c r="T715">
        <v>1275</v>
      </c>
      <c r="U715" t="s">
        <v>31</v>
      </c>
      <c r="V715" t="s">
        <v>69</v>
      </c>
      <c r="W715" t="s">
        <v>93</v>
      </c>
    </row>
    <row r="716" spans="1:23">
      <c r="A716">
        <v>4002</v>
      </c>
      <c r="B716" t="s">
        <v>441</v>
      </c>
      <c r="C716" s="1">
        <v>45477</v>
      </c>
      <c r="D716" s="1">
        <v>45608</v>
      </c>
      <c r="E716">
        <v>11.99</v>
      </c>
      <c r="F716">
        <v>452</v>
      </c>
      <c r="G716" t="s">
        <v>63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92</v>
      </c>
      <c r="N716" t="s">
        <v>75</v>
      </c>
      <c r="O716" t="s">
        <v>57</v>
      </c>
      <c r="P716">
        <v>84</v>
      </c>
      <c r="Q716">
        <v>3.7</v>
      </c>
      <c r="R716" t="b">
        <v>1</v>
      </c>
      <c r="S716" t="s">
        <v>30</v>
      </c>
      <c r="T716">
        <v>340</v>
      </c>
      <c r="U716" t="s">
        <v>76</v>
      </c>
      <c r="V716" t="s">
        <v>59</v>
      </c>
      <c r="W716" t="s">
        <v>40</v>
      </c>
    </row>
    <row r="717" spans="1:23">
      <c r="A717">
        <v>6910</v>
      </c>
      <c r="B717" t="s">
        <v>347</v>
      </c>
      <c r="C717" s="1">
        <v>44988</v>
      </c>
      <c r="D717" s="1" t="s">
        <v>99</v>
      </c>
      <c r="E717">
        <v>7.99</v>
      </c>
      <c r="F717">
        <v>417</v>
      </c>
      <c r="G717" t="s">
        <v>63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92</v>
      </c>
      <c r="N717" t="s">
        <v>75</v>
      </c>
      <c r="O717" t="s">
        <v>64</v>
      </c>
      <c r="P717">
        <v>5</v>
      </c>
      <c r="Q717">
        <v>4.5999999999999996</v>
      </c>
      <c r="R717" t="b">
        <v>1</v>
      </c>
      <c r="S717" t="s">
        <v>30</v>
      </c>
      <c r="T717">
        <v>444</v>
      </c>
      <c r="U717" t="s">
        <v>58</v>
      </c>
      <c r="V717" t="s">
        <v>39</v>
      </c>
      <c r="W717" t="s">
        <v>93</v>
      </c>
    </row>
    <row r="718" spans="1:23">
      <c r="A718">
        <v>3164</v>
      </c>
      <c r="B718" t="s">
        <v>325</v>
      </c>
      <c r="C718" s="1" t="s">
        <v>113</v>
      </c>
      <c r="D718" s="1" t="s">
        <v>25</v>
      </c>
      <c r="E718">
        <v>15.99</v>
      </c>
      <c r="F718">
        <v>371</v>
      </c>
      <c r="G718" t="s">
        <v>73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43</v>
      </c>
      <c r="N718" t="s">
        <v>75</v>
      </c>
      <c r="O718" t="s">
        <v>29</v>
      </c>
      <c r="P718">
        <v>73</v>
      </c>
      <c r="Q718">
        <v>4.9000000000000004</v>
      </c>
      <c r="R718" t="b">
        <v>0</v>
      </c>
      <c r="S718" t="s">
        <v>30</v>
      </c>
      <c r="T718">
        <v>292</v>
      </c>
      <c r="U718" t="s">
        <v>38</v>
      </c>
      <c r="V718" t="s">
        <v>39</v>
      </c>
      <c r="W718" t="s">
        <v>60</v>
      </c>
    </row>
    <row r="719" spans="1:23">
      <c r="A719">
        <v>2400</v>
      </c>
      <c r="B719" t="s">
        <v>138</v>
      </c>
      <c r="C719" s="1">
        <v>45180</v>
      </c>
      <c r="D719" s="1">
        <v>45638</v>
      </c>
      <c r="E719">
        <v>15.99</v>
      </c>
      <c r="F719">
        <v>110</v>
      </c>
      <c r="G719" t="s">
        <v>63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49</v>
      </c>
      <c r="N719" t="s">
        <v>28</v>
      </c>
      <c r="O719" t="s">
        <v>78</v>
      </c>
      <c r="P719">
        <v>68</v>
      </c>
      <c r="Q719">
        <v>4</v>
      </c>
      <c r="R719" t="b">
        <v>0</v>
      </c>
      <c r="S719" t="s">
        <v>30</v>
      </c>
      <c r="T719">
        <v>53</v>
      </c>
      <c r="U719" t="s">
        <v>65</v>
      </c>
      <c r="V719" t="s">
        <v>39</v>
      </c>
      <c r="W719" t="s">
        <v>33</v>
      </c>
    </row>
    <row r="720" spans="1:23">
      <c r="A720">
        <v>5499</v>
      </c>
      <c r="B720" t="s">
        <v>404</v>
      </c>
      <c r="C720" s="1" t="s">
        <v>173</v>
      </c>
      <c r="D720" s="1">
        <v>45334</v>
      </c>
      <c r="E720">
        <v>15.99</v>
      </c>
      <c r="F720">
        <v>274</v>
      </c>
      <c r="G720" t="s">
        <v>63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49</v>
      </c>
      <c r="N720" t="s">
        <v>44</v>
      </c>
      <c r="O720" t="s">
        <v>37</v>
      </c>
      <c r="P720">
        <v>96</v>
      </c>
      <c r="Q720">
        <v>3.5</v>
      </c>
      <c r="R720" t="b">
        <v>0</v>
      </c>
      <c r="S720" t="s">
        <v>30</v>
      </c>
      <c r="T720">
        <v>1638</v>
      </c>
      <c r="U720" t="s">
        <v>38</v>
      </c>
      <c r="V720" t="s">
        <v>32</v>
      </c>
      <c r="W720" t="s">
        <v>40</v>
      </c>
    </row>
    <row r="721" spans="1:23">
      <c r="A721">
        <v>7221</v>
      </c>
      <c r="B721" t="s">
        <v>367</v>
      </c>
      <c r="C721" s="1" t="s">
        <v>178</v>
      </c>
      <c r="D721" s="1" t="s">
        <v>87</v>
      </c>
      <c r="E721">
        <v>15.99</v>
      </c>
      <c r="F721">
        <v>412</v>
      </c>
      <c r="G721" t="s">
        <v>48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68</v>
      </c>
      <c r="N721" t="s">
        <v>44</v>
      </c>
      <c r="O721" t="s">
        <v>29</v>
      </c>
      <c r="P721">
        <v>11</v>
      </c>
      <c r="Q721">
        <v>4.4000000000000004</v>
      </c>
      <c r="R721" t="b">
        <v>1</v>
      </c>
      <c r="S721" t="s">
        <v>30</v>
      </c>
      <c r="T721">
        <v>3542</v>
      </c>
      <c r="U721" t="s">
        <v>76</v>
      </c>
      <c r="V721" t="s">
        <v>39</v>
      </c>
      <c r="W721" t="s">
        <v>33</v>
      </c>
    </row>
    <row r="722" spans="1:23">
      <c r="A722">
        <v>4556</v>
      </c>
      <c r="B722" t="s">
        <v>120</v>
      </c>
      <c r="C722" s="1">
        <v>45201</v>
      </c>
      <c r="D722" s="1" t="s">
        <v>168</v>
      </c>
      <c r="E722">
        <v>11.99</v>
      </c>
      <c r="F722">
        <v>341</v>
      </c>
      <c r="G722" t="s">
        <v>100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68</v>
      </c>
      <c r="N722" t="s">
        <v>28</v>
      </c>
      <c r="O722" t="s">
        <v>64</v>
      </c>
      <c r="P722">
        <v>75</v>
      </c>
      <c r="Q722">
        <v>4.4000000000000004</v>
      </c>
      <c r="R722" t="b">
        <v>0</v>
      </c>
      <c r="S722" t="s">
        <v>30</v>
      </c>
      <c r="T722">
        <v>4935</v>
      </c>
      <c r="U722" t="s">
        <v>58</v>
      </c>
      <c r="V722" t="s">
        <v>32</v>
      </c>
      <c r="W722" t="s">
        <v>60</v>
      </c>
    </row>
    <row r="723" spans="1:23">
      <c r="A723">
        <v>7175</v>
      </c>
      <c r="B723" t="s">
        <v>517</v>
      </c>
      <c r="C723" s="1" t="s">
        <v>639</v>
      </c>
      <c r="D723" s="1" t="s">
        <v>35</v>
      </c>
      <c r="E723">
        <v>11.99</v>
      </c>
      <c r="F723">
        <v>388</v>
      </c>
      <c r="G723" t="s">
        <v>100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43</v>
      </c>
      <c r="N723" t="s">
        <v>44</v>
      </c>
      <c r="O723" t="s">
        <v>37</v>
      </c>
      <c r="P723">
        <v>66</v>
      </c>
      <c r="Q723">
        <v>3.2</v>
      </c>
      <c r="R723" t="b">
        <v>1</v>
      </c>
      <c r="S723" t="s">
        <v>30</v>
      </c>
      <c r="T723">
        <v>1216</v>
      </c>
      <c r="U723" t="s">
        <v>65</v>
      </c>
      <c r="V723" t="s">
        <v>79</v>
      </c>
      <c r="W723" t="s">
        <v>93</v>
      </c>
    </row>
    <row r="724" spans="1:23">
      <c r="A724">
        <v>7072</v>
      </c>
      <c r="B724" t="s">
        <v>592</v>
      </c>
      <c r="C724" s="1">
        <v>45109</v>
      </c>
      <c r="D724" s="1" t="s">
        <v>54</v>
      </c>
      <c r="E724">
        <v>15.99</v>
      </c>
      <c r="F724">
        <v>446</v>
      </c>
      <c r="G724" t="s">
        <v>48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74</v>
      </c>
      <c r="N724" t="s">
        <v>28</v>
      </c>
      <c r="O724" t="s">
        <v>64</v>
      </c>
      <c r="P724">
        <v>14</v>
      </c>
      <c r="Q724">
        <v>3.5</v>
      </c>
      <c r="R724" t="b">
        <v>1</v>
      </c>
      <c r="S724" t="s">
        <v>30</v>
      </c>
      <c r="T724">
        <v>4409</v>
      </c>
      <c r="U724" t="s">
        <v>38</v>
      </c>
      <c r="V724" t="s">
        <v>39</v>
      </c>
      <c r="W724" t="s">
        <v>33</v>
      </c>
    </row>
    <row r="725" spans="1:23">
      <c r="A725">
        <v>4320</v>
      </c>
      <c r="B725" t="s">
        <v>307</v>
      </c>
      <c r="C725" s="1">
        <v>45292</v>
      </c>
      <c r="D725" s="1" t="s">
        <v>72</v>
      </c>
      <c r="E725">
        <v>15.99</v>
      </c>
      <c r="F725">
        <v>223</v>
      </c>
      <c r="G725" t="s">
        <v>26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43</v>
      </c>
      <c r="N725" t="s">
        <v>28</v>
      </c>
      <c r="O725" t="s">
        <v>37</v>
      </c>
      <c r="P725">
        <v>78</v>
      </c>
      <c r="Q725">
        <v>4.7</v>
      </c>
      <c r="R725" t="b">
        <v>1</v>
      </c>
      <c r="S725" t="s">
        <v>30</v>
      </c>
      <c r="T725">
        <v>2853</v>
      </c>
      <c r="U725" t="s">
        <v>65</v>
      </c>
      <c r="V725" t="s">
        <v>69</v>
      </c>
      <c r="W725" t="s">
        <v>60</v>
      </c>
    </row>
    <row r="726" spans="1:23">
      <c r="A726">
        <v>3558</v>
      </c>
      <c r="B726" t="s">
        <v>640</v>
      </c>
      <c r="C726" s="1">
        <v>45292</v>
      </c>
      <c r="D726" s="1" t="s">
        <v>129</v>
      </c>
      <c r="E726">
        <v>15.99</v>
      </c>
      <c r="F726">
        <v>417</v>
      </c>
      <c r="G726" t="s">
        <v>48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43</v>
      </c>
      <c r="N726" t="s">
        <v>56</v>
      </c>
      <c r="O726" t="s">
        <v>45</v>
      </c>
      <c r="P726">
        <v>84</v>
      </c>
      <c r="Q726">
        <v>4.5</v>
      </c>
      <c r="R726" t="b">
        <v>0</v>
      </c>
      <c r="S726" t="s">
        <v>30</v>
      </c>
      <c r="T726">
        <v>1252</v>
      </c>
      <c r="U726" t="s">
        <v>58</v>
      </c>
      <c r="V726" t="s">
        <v>32</v>
      </c>
      <c r="W726" t="s">
        <v>40</v>
      </c>
    </row>
    <row r="727" spans="1:23">
      <c r="A727">
        <v>8581</v>
      </c>
      <c r="B727" t="s">
        <v>196</v>
      </c>
      <c r="C727" s="1" t="s">
        <v>641</v>
      </c>
      <c r="D727" s="1" t="s">
        <v>84</v>
      </c>
      <c r="E727">
        <v>11.99</v>
      </c>
      <c r="F727">
        <v>390</v>
      </c>
      <c r="G727" t="s">
        <v>100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27</v>
      </c>
      <c r="N727" t="s">
        <v>28</v>
      </c>
      <c r="O727" t="s">
        <v>29</v>
      </c>
      <c r="P727">
        <v>60</v>
      </c>
      <c r="Q727">
        <v>4.5</v>
      </c>
      <c r="R727" t="b">
        <v>1</v>
      </c>
      <c r="S727" t="s">
        <v>30</v>
      </c>
      <c r="T727">
        <v>3027</v>
      </c>
      <c r="U727" t="s">
        <v>58</v>
      </c>
      <c r="V727" t="s">
        <v>79</v>
      </c>
      <c r="W727" t="s">
        <v>33</v>
      </c>
    </row>
    <row r="728" spans="1:23">
      <c r="A728">
        <v>5827</v>
      </c>
      <c r="B728" t="s">
        <v>224</v>
      </c>
      <c r="C728" s="1" t="s">
        <v>642</v>
      </c>
      <c r="D728" s="1">
        <v>45334</v>
      </c>
      <c r="E728">
        <v>15.99</v>
      </c>
      <c r="F728">
        <v>33</v>
      </c>
      <c r="G728" t="s">
        <v>73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49</v>
      </c>
      <c r="N728" t="s">
        <v>56</v>
      </c>
      <c r="O728" t="s">
        <v>37</v>
      </c>
      <c r="P728">
        <v>44</v>
      </c>
      <c r="Q728">
        <v>4.5</v>
      </c>
      <c r="R728" t="b">
        <v>1</v>
      </c>
      <c r="S728" t="s">
        <v>30</v>
      </c>
      <c r="T728">
        <v>1228</v>
      </c>
      <c r="U728" t="s">
        <v>65</v>
      </c>
      <c r="V728" t="s">
        <v>69</v>
      </c>
      <c r="W728" t="s">
        <v>40</v>
      </c>
    </row>
    <row r="729" spans="1:23">
      <c r="A729">
        <v>6929</v>
      </c>
      <c r="B729" t="s">
        <v>114</v>
      </c>
      <c r="C729" s="1" t="s">
        <v>418</v>
      </c>
      <c r="D729" s="1">
        <v>45424</v>
      </c>
      <c r="E729">
        <v>11.99</v>
      </c>
      <c r="F729">
        <v>302</v>
      </c>
      <c r="G729" t="s">
        <v>26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55</v>
      </c>
      <c r="N729" t="s">
        <v>56</v>
      </c>
      <c r="O729" t="s">
        <v>29</v>
      </c>
      <c r="P729">
        <v>74</v>
      </c>
      <c r="Q729">
        <v>4.5999999999999996</v>
      </c>
      <c r="R729" t="b">
        <v>0</v>
      </c>
      <c r="S729" t="s">
        <v>30</v>
      </c>
      <c r="T729">
        <v>3616</v>
      </c>
      <c r="U729" t="s">
        <v>38</v>
      </c>
      <c r="V729" t="s">
        <v>59</v>
      </c>
      <c r="W729" t="s">
        <v>40</v>
      </c>
    </row>
    <row r="730" spans="1:23">
      <c r="A730">
        <v>9179</v>
      </c>
      <c r="B730" t="s">
        <v>643</v>
      </c>
      <c r="C730" s="1">
        <v>45608</v>
      </c>
      <c r="D730" s="1" t="s">
        <v>99</v>
      </c>
      <c r="E730">
        <v>15.99</v>
      </c>
      <c r="F730">
        <v>121</v>
      </c>
      <c r="G730" t="s">
        <v>63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68</v>
      </c>
      <c r="N730" t="s">
        <v>28</v>
      </c>
      <c r="O730" t="s">
        <v>29</v>
      </c>
      <c r="P730">
        <v>54</v>
      </c>
      <c r="Q730">
        <v>3.1</v>
      </c>
      <c r="R730" t="b">
        <v>1</v>
      </c>
      <c r="S730" t="s">
        <v>30</v>
      </c>
      <c r="T730">
        <v>3913</v>
      </c>
      <c r="U730" t="s">
        <v>65</v>
      </c>
      <c r="V730" t="s">
        <v>32</v>
      </c>
      <c r="W730" t="s">
        <v>60</v>
      </c>
    </row>
    <row r="731" spans="1:23">
      <c r="A731">
        <v>7580</v>
      </c>
      <c r="B731" t="s">
        <v>52</v>
      </c>
      <c r="C731" s="1">
        <v>45140</v>
      </c>
      <c r="D731" s="1" t="s">
        <v>134</v>
      </c>
      <c r="E731">
        <v>7.99</v>
      </c>
      <c r="F731">
        <v>112</v>
      </c>
      <c r="G731" t="s">
        <v>63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49</v>
      </c>
      <c r="N731" t="s">
        <v>75</v>
      </c>
      <c r="O731" t="s">
        <v>64</v>
      </c>
      <c r="P731">
        <v>89</v>
      </c>
      <c r="Q731">
        <v>3.1</v>
      </c>
      <c r="R731" t="b">
        <v>1</v>
      </c>
      <c r="S731" t="s">
        <v>30</v>
      </c>
      <c r="T731">
        <v>775</v>
      </c>
      <c r="U731" t="s">
        <v>38</v>
      </c>
      <c r="V731" t="s">
        <v>59</v>
      </c>
      <c r="W731" t="s">
        <v>40</v>
      </c>
    </row>
    <row r="732" spans="1:23">
      <c r="A732">
        <v>3858</v>
      </c>
      <c r="B732" t="s">
        <v>179</v>
      </c>
      <c r="C732" s="1" t="s">
        <v>644</v>
      </c>
      <c r="D732" s="1">
        <v>45424</v>
      </c>
      <c r="E732">
        <v>15.99</v>
      </c>
      <c r="F732">
        <v>375</v>
      </c>
      <c r="G732" t="s">
        <v>100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92</v>
      </c>
      <c r="N732" t="s">
        <v>28</v>
      </c>
      <c r="O732" t="s">
        <v>29</v>
      </c>
      <c r="P732">
        <v>33</v>
      </c>
      <c r="Q732">
        <v>3.2</v>
      </c>
      <c r="R732" t="b">
        <v>1</v>
      </c>
      <c r="S732" t="s">
        <v>30</v>
      </c>
      <c r="T732">
        <v>2536</v>
      </c>
      <c r="U732" t="s">
        <v>38</v>
      </c>
      <c r="V732" t="s">
        <v>79</v>
      </c>
      <c r="W732" t="s">
        <v>40</v>
      </c>
    </row>
    <row r="733" spans="1:23">
      <c r="A733">
        <v>8627</v>
      </c>
      <c r="B733" t="s">
        <v>238</v>
      </c>
      <c r="C733" s="1" t="s">
        <v>144</v>
      </c>
      <c r="D733" s="1">
        <v>45303</v>
      </c>
      <c r="E733">
        <v>11.99</v>
      </c>
      <c r="F733">
        <v>97</v>
      </c>
      <c r="G733" t="s">
        <v>73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92</v>
      </c>
      <c r="N733" t="s">
        <v>28</v>
      </c>
      <c r="O733" t="s">
        <v>64</v>
      </c>
      <c r="P733">
        <v>9</v>
      </c>
      <c r="Q733">
        <v>4.9000000000000004</v>
      </c>
      <c r="R733" t="b">
        <v>0</v>
      </c>
      <c r="S733" t="s">
        <v>30</v>
      </c>
      <c r="T733">
        <v>2331</v>
      </c>
      <c r="U733" t="s">
        <v>65</v>
      </c>
      <c r="V733" t="s">
        <v>39</v>
      </c>
      <c r="W733" t="s">
        <v>40</v>
      </c>
    </row>
    <row r="734" spans="1:23">
      <c r="A734">
        <v>7552</v>
      </c>
      <c r="B734" t="s">
        <v>645</v>
      </c>
      <c r="C734" s="1">
        <v>45510</v>
      </c>
      <c r="D734" s="1">
        <v>45394</v>
      </c>
      <c r="E734">
        <v>15.99</v>
      </c>
      <c r="F734">
        <v>306</v>
      </c>
      <c r="G734" t="s">
        <v>51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74</v>
      </c>
      <c r="N734" t="s">
        <v>75</v>
      </c>
      <c r="O734" t="s">
        <v>45</v>
      </c>
      <c r="P734">
        <v>86</v>
      </c>
      <c r="Q734">
        <v>3.1</v>
      </c>
      <c r="R734" t="b">
        <v>0</v>
      </c>
      <c r="S734" t="s">
        <v>30</v>
      </c>
      <c r="T734">
        <v>2953</v>
      </c>
      <c r="U734" t="s">
        <v>38</v>
      </c>
      <c r="V734" t="s">
        <v>79</v>
      </c>
      <c r="W734" t="s">
        <v>93</v>
      </c>
    </row>
    <row r="735" spans="1:23">
      <c r="A735">
        <v>6020</v>
      </c>
      <c r="B735" t="s">
        <v>640</v>
      </c>
      <c r="C735" s="1" t="s">
        <v>646</v>
      </c>
      <c r="D735" s="1" t="s">
        <v>134</v>
      </c>
      <c r="E735">
        <v>11.99</v>
      </c>
      <c r="F735">
        <v>136</v>
      </c>
      <c r="G735" t="s">
        <v>63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92</v>
      </c>
      <c r="N735" t="s">
        <v>56</v>
      </c>
      <c r="O735" t="s">
        <v>37</v>
      </c>
      <c r="P735">
        <v>92</v>
      </c>
      <c r="Q735">
        <v>3.6</v>
      </c>
      <c r="R735" t="b">
        <v>1</v>
      </c>
      <c r="S735" t="s">
        <v>30</v>
      </c>
      <c r="T735">
        <v>868</v>
      </c>
      <c r="U735" t="s">
        <v>38</v>
      </c>
      <c r="V735" t="s">
        <v>69</v>
      </c>
      <c r="W735" t="s">
        <v>93</v>
      </c>
    </row>
    <row r="736" spans="1:23">
      <c r="A736">
        <v>9408</v>
      </c>
      <c r="B736" t="s">
        <v>291</v>
      </c>
      <c r="C736" s="1">
        <v>45265</v>
      </c>
      <c r="D736" s="1" t="s">
        <v>214</v>
      </c>
      <c r="E736">
        <v>7.99</v>
      </c>
      <c r="F736">
        <v>12</v>
      </c>
      <c r="G736" t="s">
        <v>73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68</v>
      </c>
      <c r="N736" t="s">
        <v>75</v>
      </c>
      <c r="O736" t="s">
        <v>29</v>
      </c>
      <c r="P736">
        <v>70</v>
      </c>
      <c r="Q736">
        <v>3.5</v>
      </c>
      <c r="R736" t="b">
        <v>1</v>
      </c>
      <c r="S736" t="s">
        <v>30</v>
      </c>
      <c r="T736">
        <v>4808</v>
      </c>
      <c r="U736" t="s">
        <v>76</v>
      </c>
      <c r="V736" t="s">
        <v>69</v>
      </c>
      <c r="W736" t="s">
        <v>33</v>
      </c>
    </row>
    <row r="737" spans="1:23">
      <c r="A737">
        <v>9990</v>
      </c>
      <c r="B737" t="s">
        <v>647</v>
      </c>
      <c r="C737" s="1" t="s">
        <v>479</v>
      </c>
      <c r="D737" s="1">
        <v>45424</v>
      </c>
      <c r="E737">
        <v>15.99</v>
      </c>
      <c r="F737">
        <v>379</v>
      </c>
      <c r="G737" t="s">
        <v>51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74</v>
      </c>
      <c r="N737" t="s">
        <v>28</v>
      </c>
      <c r="O737" t="s">
        <v>45</v>
      </c>
      <c r="P737">
        <v>39</v>
      </c>
      <c r="Q737">
        <v>3.5</v>
      </c>
      <c r="R737" t="b">
        <v>1</v>
      </c>
      <c r="S737" t="s">
        <v>30</v>
      </c>
      <c r="T737">
        <v>4177</v>
      </c>
      <c r="U737" t="s">
        <v>38</v>
      </c>
      <c r="V737" t="s">
        <v>59</v>
      </c>
      <c r="W737" t="s">
        <v>33</v>
      </c>
    </row>
    <row r="738" spans="1:23">
      <c r="A738">
        <v>3687</v>
      </c>
      <c r="B738" t="s">
        <v>307</v>
      </c>
      <c r="C738" s="1">
        <v>45027</v>
      </c>
      <c r="D738" s="1" t="s">
        <v>103</v>
      </c>
      <c r="E738">
        <v>15.99</v>
      </c>
      <c r="F738">
        <v>205</v>
      </c>
      <c r="G738" t="s">
        <v>63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92</v>
      </c>
      <c r="N738" t="s">
        <v>44</v>
      </c>
      <c r="O738" t="s">
        <v>57</v>
      </c>
      <c r="P738">
        <v>61</v>
      </c>
      <c r="Q738">
        <v>4.8</v>
      </c>
      <c r="R738" t="b">
        <v>0</v>
      </c>
      <c r="S738" t="s">
        <v>30</v>
      </c>
      <c r="T738">
        <v>564</v>
      </c>
      <c r="U738" t="s">
        <v>38</v>
      </c>
      <c r="V738" t="s">
        <v>69</v>
      </c>
      <c r="W738" t="s">
        <v>93</v>
      </c>
    </row>
    <row r="739" spans="1:23">
      <c r="A739">
        <v>4540</v>
      </c>
      <c r="B739" t="s">
        <v>648</v>
      </c>
      <c r="C739" s="1">
        <v>45116</v>
      </c>
      <c r="D739" s="1" t="s">
        <v>87</v>
      </c>
      <c r="E739">
        <v>15.99</v>
      </c>
      <c r="F739">
        <v>335</v>
      </c>
      <c r="G739" t="s">
        <v>26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49</v>
      </c>
      <c r="N739" t="s">
        <v>28</v>
      </c>
      <c r="O739" t="s">
        <v>29</v>
      </c>
      <c r="P739">
        <v>73</v>
      </c>
      <c r="Q739">
        <v>3.9</v>
      </c>
      <c r="R739" t="b">
        <v>1</v>
      </c>
      <c r="S739" t="s">
        <v>30</v>
      </c>
      <c r="T739">
        <v>1702</v>
      </c>
      <c r="U739" t="s">
        <v>38</v>
      </c>
      <c r="V739" t="s">
        <v>59</v>
      </c>
      <c r="W739" t="s">
        <v>40</v>
      </c>
    </row>
    <row r="740" spans="1:23">
      <c r="A740">
        <v>8264</v>
      </c>
      <c r="B740" t="s">
        <v>349</v>
      </c>
      <c r="C740" s="1" t="s">
        <v>649</v>
      </c>
      <c r="D740" s="1" t="s">
        <v>82</v>
      </c>
      <c r="E740">
        <v>15.99</v>
      </c>
      <c r="F740">
        <v>449</v>
      </c>
      <c r="G740" t="s">
        <v>63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74</v>
      </c>
      <c r="N740" t="s">
        <v>44</v>
      </c>
      <c r="O740" t="s">
        <v>45</v>
      </c>
      <c r="P740">
        <v>25</v>
      </c>
      <c r="Q740">
        <v>4.2</v>
      </c>
      <c r="R740" t="b">
        <v>1</v>
      </c>
      <c r="S740" t="s">
        <v>30</v>
      </c>
      <c r="T740">
        <v>249</v>
      </c>
      <c r="U740" t="s">
        <v>65</v>
      </c>
      <c r="V740" t="s">
        <v>39</v>
      </c>
      <c r="W740" t="s">
        <v>93</v>
      </c>
    </row>
    <row r="741" spans="1:23">
      <c r="A741">
        <v>7448</v>
      </c>
      <c r="B741" t="s">
        <v>88</v>
      </c>
      <c r="C741" s="1">
        <v>45203</v>
      </c>
      <c r="D741" s="1">
        <v>45485</v>
      </c>
      <c r="E741">
        <v>7.99</v>
      </c>
      <c r="F741">
        <v>453</v>
      </c>
      <c r="G741" t="s">
        <v>51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55</v>
      </c>
      <c r="N741" t="s">
        <v>75</v>
      </c>
      <c r="O741" t="s">
        <v>45</v>
      </c>
      <c r="P741">
        <v>41</v>
      </c>
      <c r="Q741">
        <v>4.5</v>
      </c>
      <c r="R741" t="b">
        <v>1</v>
      </c>
      <c r="S741" t="s">
        <v>30</v>
      </c>
      <c r="T741">
        <v>30</v>
      </c>
      <c r="U741" t="s">
        <v>31</v>
      </c>
      <c r="V741" t="s">
        <v>59</v>
      </c>
      <c r="W741" t="s">
        <v>40</v>
      </c>
    </row>
    <row r="742" spans="1:23">
      <c r="A742">
        <v>1123</v>
      </c>
      <c r="B742" t="s">
        <v>650</v>
      </c>
      <c r="C742" s="1" t="s">
        <v>651</v>
      </c>
      <c r="D742" s="1" t="s">
        <v>134</v>
      </c>
      <c r="E742">
        <v>7.99</v>
      </c>
      <c r="F742">
        <v>252</v>
      </c>
      <c r="G742" t="s">
        <v>26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55</v>
      </c>
      <c r="N742" t="s">
        <v>44</v>
      </c>
      <c r="O742" t="s">
        <v>29</v>
      </c>
      <c r="P742">
        <v>46</v>
      </c>
      <c r="Q742">
        <v>4</v>
      </c>
      <c r="R742" t="b">
        <v>0</v>
      </c>
      <c r="S742" t="s">
        <v>30</v>
      </c>
      <c r="T742">
        <v>3842</v>
      </c>
      <c r="U742" t="s">
        <v>76</v>
      </c>
      <c r="V742" t="s">
        <v>59</v>
      </c>
      <c r="W742" t="s">
        <v>93</v>
      </c>
    </row>
    <row r="743" spans="1:23">
      <c r="A743">
        <v>4103</v>
      </c>
      <c r="B743" t="s">
        <v>257</v>
      </c>
      <c r="C743" s="1" t="s">
        <v>235</v>
      </c>
      <c r="D743" s="1" t="s">
        <v>87</v>
      </c>
      <c r="E743">
        <v>11.99</v>
      </c>
      <c r="F743">
        <v>379</v>
      </c>
      <c r="G743" t="s">
        <v>63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27</v>
      </c>
      <c r="N743" t="s">
        <v>56</v>
      </c>
      <c r="O743" t="s">
        <v>57</v>
      </c>
      <c r="P743">
        <v>29</v>
      </c>
      <c r="Q743">
        <v>3.2</v>
      </c>
      <c r="R743" t="b">
        <v>1</v>
      </c>
      <c r="S743" t="s">
        <v>30</v>
      </c>
      <c r="T743">
        <v>1299</v>
      </c>
      <c r="U743" t="s">
        <v>38</v>
      </c>
      <c r="V743" t="s">
        <v>39</v>
      </c>
      <c r="W743" t="s">
        <v>93</v>
      </c>
    </row>
    <row r="744" spans="1:23">
      <c r="A744">
        <v>2904</v>
      </c>
      <c r="B744" t="s">
        <v>458</v>
      </c>
      <c r="C744" s="1" t="s">
        <v>632</v>
      </c>
      <c r="D744" s="1">
        <v>45303</v>
      </c>
      <c r="E744">
        <v>7.99</v>
      </c>
      <c r="F744">
        <v>280</v>
      </c>
      <c r="G744" t="s">
        <v>100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74</v>
      </c>
      <c r="N744" t="s">
        <v>75</v>
      </c>
      <c r="O744" t="s">
        <v>64</v>
      </c>
      <c r="P744">
        <v>80</v>
      </c>
      <c r="Q744">
        <v>4.8</v>
      </c>
      <c r="R744" t="b">
        <v>0</v>
      </c>
      <c r="S744" t="s">
        <v>30</v>
      </c>
      <c r="T744">
        <v>2346</v>
      </c>
      <c r="U744" t="s">
        <v>58</v>
      </c>
      <c r="V744" t="s">
        <v>79</v>
      </c>
      <c r="W744" t="s">
        <v>60</v>
      </c>
    </row>
    <row r="745" spans="1:23">
      <c r="A745">
        <v>5634</v>
      </c>
      <c r="B745" t="s">
        <v>176</v>
      </c>
      <c r="C745" s="1">
        <v>45447</v>
      </c>
      <c r="D745" s="1" t="s">
        <v>156</v>
      </c>
      <c r="E745">
        <v>7.99</v>
      </c>
      <c r="F745">
        <v>187</v>
      </c>
      <c r="G745" t="s">
        <v>63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68</v>
      </c>
      <c r="N745" t="s">
        <v>28</v>
      </c>
      <c r="O745" t="s">
        <v>57</v>
      </c>
      <c r="P745">
        <v>24</v>
      </c>
      <c r="Q745">
        <v>4.7</v>
      </c>
      <c r="R745" t="b">
        <v>0</v>
      </c>
      <c r="S745" t="s">
        <v>30</v>
      </c>
      <c r="T745">
        <v>215</v>
      </c>
      <c r="U745" t="s">
        <v>38</v>
      </c>
      <c r="V745" t="s">
        <v>79</v>
      </c>
      <c r="W745" t="s">
        <v>40</v>
      </c>
    </row>
    <row r="746" spans="1:23">
      <c r="A746">
        <v>5360</v>
      </c>
      <c r="B746" t="s">
        <v>147</v>
      </c>
      <c r="C746" s="1" t="s">
        <v>616</v>
      </c>
      <c r="D746" s="1">
        <v>45334</v>
      </c>
      <c r="E746">
        <v>7.99</v>
      </c>
      <c r="F746">
        <v>373</v>
      </c>
      <c r="G746" t="s">
        <v>26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49</v>
      </c>
      <c r="N746" t="s">
        <v>28</v>
      </c>
      <c r="O746" t="s">
        <v>29</v>
      </c>
      <c r="P746">
        <v>22</v>
      </c>
      <c r="Q746">
        <v>4.2</v>
      </c>
      <c r="R746" t="b">
        <v>1</v>
      </c>
      <c r="S746" t="s">
        <v>30</v>
      </c>
      <c r="T746">
        <v>3062</v>
      </c>
      <c r="U746" t="s">
        <v>65</v>
      </c>
      <c r="V746" t="s">
        <v>32</v>
      </c>
      <c r="W746" t="s">
        <v>60</v>
      </c>
    </row>
    <row r="747" spans="1:23">
      <c r="A747">
        <v>8571</v>
      </c>
      <c r="B747" t="s">
        <v>345</v>
      </c>
      <c r="C747" s="1" t="s">
        <v>652</v>
      </c>
      <c r="D747" s="1" t="s">
        <v>35</v>
      </c>
      <c r="E747">
        <v>15.99</v>
      </c>
      <c r="F747">
        <v>482</v>
      </c>
      <c r="G747" t="s">
        <v>26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43</v>
      </c>
      <c r="N747" t="s">
        <v>44</v>
      </c>
      <c r="O747" t="s">
        <v>78</v>
      </c>
      <c r="P747">
        <v>39</v>
      </c>
      <c r="Q747">
        <v>4.8</v>
      </c>
      <c r="R747" t="b">
        <v>0</v>
      </c>
      <c r="S747" t="s">
        <v>30</v>
      </c>
      <c r="T747">
        <v>2978</v>
      </c>
      <c r="U747" t="s">
        <v>76</v>
      </c>
      <c r="V747" t="s">
        <v>69</v>
      </c>
      <c r="W747" t="s">
        <v>60</v>
      </c>
    </row>
    <row r="748" spans="1:23">
      <c r="A748">
        <v>9439</v>
      </c>
      <c r="B748" t="s">
        <v>653</v>
      </c>
      <c r="C748" s="1" t="s">
        <v>654</v>
      </c>
      <c r="D748" s="1">
        <v>45608</v>
      </c>
      <c r="E748">
        <v>11.99</v>
      </c>
      <c r="F748">
        <v>360</v>
      </c>
      <c r="G748" t="s">
        <v>48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43</v>
      </c>
      <c r="N748" t="s">
        <v>56</v>
      </c>
      <c r="O748" t="s">
        <v>45</v>
      </c>
      <c r="P748">
        <v>31</v>
      </c>
      <c r="Q748">
        <v>3.7</v>
      </c>
      <c r="R748" t="b">
        <v>0</v>
      </c>
      <c r="S748" t="s">
        <v>30</v>
      </c>
      <c r="T748">
        <v>1984</v>
      </c>
      <c r="U748" t="s">
        <v>76</v>
      </c>
      <c r="V748" t="s">
        <v>39</v>
      </c>
      <c r="W748" t="s">
        <v>40</v>
      </c>
    </row>
    <row r="749" spans="1:23">
      <c r="A749">
        <v>8356</v>
      </c>
      <c r="B749" t="s">
        <v>546</v>
      </c>
      <c r="C749" s="1" t="s">
        <v>655</v>
      </c>
      <c r="D749" s="1" t="s">
        <v>42</v>
      </c>
      <c r="E749">
        <v>15.99</v>
      </c>
      <c r="F749">
        <v>463</v>
      </c>
      <c r="G749" t="s">
        <v>73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49</v>
      </c>
      <c r="N749" t="s">
        <v>75</v>
      </c>
      <c r="O749" t="s">
        <v>64</v>
      </c>
      <c r="P749">
        <v>15</v>
      </c>
      <c r="Q749">
        <v>3.6</v>
      </c>
      <c r="R749" t="b">
        <v>1</v>
      </c>
      <c r="S749" t="s">
        <v>30</v>
      </c>
      <c r="T749">
        <v>945</v>
      </c>
      <c r="U749" t="s">
        <v>31</v>
      </c>
      <c r="V749" t="s">
        <v>79</v>
      </c>
      <c r="W749" t="s">
        <v>93</v>
      </c>
    </row>
    <row r="750" spans="1:23">
      <c r="A750">
        <v>2039</v>
      </c>
      <c r="B750" t="s">
        <v>656</v>
      </c>
      <c r="C750" s="1">
        <v>44958</v>
      </c>
      <c r="D750" s="1">
        <v>45334</v>
      </c>
      <c r="E750">
        <v>15.99</v>
      </c>
      <c r="F750">
        <v>13</v>
      </c>
      <c r="G750" t="s">
        <v>100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55</v>
      </c>
      <c r="N750" t="s">
        <v>56</v>
      </c>
      <c r="O750" t="s">
        <v>37</v>
      </c>
      <c r="P750">
        <v>3</v>
      </c>
      <c r="Q750">
        <v>4.2</v>
      </c>
      <c r="R750" t="b">
        <v>0</v>
      </c>
      <c r="S750" t="s">
        <v>30</v>
      </c>
      <c r="T750">
        <v>4134</v>
      </c>
      <c r="U750" t="s">
        <v>38</v>
      </c>
      <c r="V750" t="s">
        <v>39</v>
      </c>
      <c r="W750" t="s">
        <v>33</v>
      </c>
    </row>
    <row r="751" spans="1:23">
      <c r="A751">
        <v>2613</v>
      </c>
      <c r="B751" t="s">
        <v>657</v>
      </c>
      <c r="C751" s="1">
        <v>45109</v>
      </c>
      <c r="D751" s="1" t="s">
        <v>129</v>
      </c>
      <c r="E751">
        <v>7.99</v>
      </c>
      <c r="F751">
        <v>129</v>
      </c>
      <c r="G751" t="s">
        <v>51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49</v>
      </c>
      <c r="N751" t="s">
        <v>56</v>
      </c>
      <c r="O751" t="s">
        <v>78</v>
      </c>
      <c r="P751">
        <v>11</v>
      </c>
      <c r="Q751">
        <v>3.7</v>
      </c>
      <c r="R751" t="b">
        <v>0</v>
      </c>
      <c r="S751" t="s">
        <v>30</v>
      </c>
      <c r="T751">
        <v>3741</v>
      </c>
      <c r="U751" t="s">
        <v>76</v>
      </c>
      <c r="V751" t="s">
        <v>32</v>
      </c>
      <c r="W751" t="s">
        <v>60</v>
      </c>
    </row>
    <row r="752" spans="1:23">
      <c r="A752">
        <v>8226</v>
      </c>
      <c r="B752" t="s">
        <v>138</v>
      </c>
      <c r="C752" s="1">
        <v>45327</v>
      </c>
      <c r="D752" s="1" t="s">
        <v>109</v>
      </c>
      <c r="E752">
        <v>7.99</v>
      </c>
      <c r="F752">
        <v>290</v>
      </c>
      <c r="G752" t="s">
        <v>36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43</v>
      </c>
      <c r="N752" t="s">
        <v>44</v>
      </c>
      <c r="O752" t="s">
        <v>29</v>
      </c>
      <c r="P752">
        <v>91</v>
      </c>
      <c r="Q752">
        <v>3.1</v>
      </c>
      <c r="R752" t="b">
        <v>1</v>
      </c>
      <c r="S752" t="s">
        <v>30</v>
      </c>
      <c r="T752">
        <v>1408</v>
      </c>
      <c r="U752" t="s">
        <v>38</v>
      </c>
      <c r="V752" t="s">
        <v>69</v>
      </c>
      <c r="W752" t="s">
        <v>93</v>
      </c>
    </row>
    <row r="753" spans="1:23">
      <c r="A753">
        <v>1425</v>
      </c>
      <c r="B753" t="s">
        <v>658</v>
      </c>
      <c r="C753" s="1">
        <v>45331</v>
      </c>
      <c r="D753" s="1" t="s">
        <v>87</v>
      </c>
      <c r="E753">
        <v>7.99</v>
      </c>
      <c r="F753">
        <v>50</v>
      </c>
      <c r="G753" t="s">
        <v>26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55</v>
      </c>
      <c r="N753" t="s">
        <v>44</v>
      </c>
      <c r="O753" t="s">
        <v>29</v>
      </c>
      <c r="P753">
        <v>96</v>
      </c>
      <c r="Q753">
        <v>4.4000000000000004</v>
      </c>
      <c r="R753" t="b">
        <v>1</v>
      </c>
      <c r="S753" t="s">
        <v>30</v>
      </c>
      <c r="T753">
        <v>1917</v>
      </c>
      <c r="U753" t="s">
        <v>76</v>
      </c>
      <c r="V753" t="s">
        <v>79</v>
      </c>
      <c r="W753" t="s">
        <v>93</v>
      </c>
    </row>
    <row r="754" spans="1:23">
      <c r="A754">
        <v>4479</v>
      </c>
      <c r="B754" t="s">
        <v>23</v>
      </c>
      <c r="C754" s="1">
        <v>45454</v>
      </c>
      <c r="D754" s="1">
        <v>45455</v>
      </c>
      <c r="E754">
        <v>15.99</v>
      </c>
      <c r="F754">
        <v>241</v>
      </c>
      <c r="G754" t="s">
        <v>100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55</v>
      </c>
      <c r="N754" t="s">
        <v>44</v>
      </c>
      <c r="O754" t="s">
        <v>45</v>
      </c>
      <c r="P754">
        <v>96</v>
      </c>
      <c r="Q754">
        <v>3.1</v>
      </c>
      <c r="R754" t="b">
        <v>1</v>
      </c>
      <c r="S754" t="s">
        <v>30</v>
      </c>
      <c r="T754">
        <v>1986</v>
      </c>
      <c r="U754" t="s">
        <v>31</v>
      </c>
      <c r="V754" t="s">
        <v>39</v>
      </c>
      <c r="W754" t="s">
        <v>60</v>
      </c>
    </row>
    <row r="755" spans="1:23">
      <c r="A755">
        <v>3393</v>
      </c>
      <c r="B755" t="s">
        <v>101</v>
      </c>
      <c r="C755" s="1" t="s">
        <v>320</v>
      </c>
      <c r="D755" s="1" t="s">
        <v>105</v>
      </c>
      <c r="E755">
        <v>7.99</v>
      </c>
      <c r="F755">
        <v>383</v>
      </c>
      <c r="G755" t="s">
        <v>63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92</v>
      </c>
      <c r="N755" t="s">
        <v>56</v>
      </c>
      <c r="O755" t="s">
        <v>78</v>
      </c>
      <c r="P755">
        <v>13</v>
      </c>
      <c r="Q755">
        <v>3.8</v>
      </c>
      <c r="R755" t="b">
        <v>1</v>
      </c>
      <c r="S755" t="s">
        <v>30</v>
      </c>
      <c r="T755">
        <v>3254</v>
      </c>
      <c r="U755" t="s">
        <v>31</v>
      </c>
      <c r="V755" t="s">
        <v>59</v>
      </c>
      <c r="W755" t="s">
        <v>93</v>
      </c>
    </row>
    <row r="756" spans="1:23">
      <c r="A756">
        <v>8528</v>
      </c>
      <c r="B756" t="s">
        <v>283</v>
      </c>
      <c r="C756" s="1" t="s">
        <v>317</v>
      </c>
      <c r="D756" s="1" t="s">
        <v>168</v>
      </c>
      <c r="E756">
        <v>7.99</v>
      </c>
      <c r="F756">
        <v>384</v>
      </c>
      <c r="G756" t="s">
        <v>48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92</v>
      </c>
      <c r="N756" t="s">
        <v>56</v>
      </c>
      <c r="O756" t="s">
        <v>45</v>
      </c>
      <c r="P756">
        <v>61</v>
      </c>
      <c r="Q756">
        <v>4.7</v>
      </c>
      <c r="R756" t="b">
        <v>1</v>
      </c>
      <c r="S756" t="s">
        <v>30</v>
      </c>
      <c r="T756">
        <v>3648</v>
      </c>
      <c r="U756" t="s">
        <v>31</v>
      </c>
      <c r="V756" t="s">
        <v>69</v>
      </c>
      <c r="W756" t="s">
        <v>60</v>
      </c>
    </row>
    <row r="757" spans="1:23">
      <c r="A757">
        <v>9372</v>
      </c>
      <c r="B757" t="s">
        <v>138</v>
      </c>
      <c r="C757" s="1" t="s">
        <v>243</v>
      </c>
      <c r="D757" s="1">
        <v>45394</v>
      </c>
      <c r="E757">
        <v>7.99</v>
      </c>
      <c r="F757">
        <v>302</v>
      </c>
      <c r="G757" t="s">
        <v>63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92</v>
      </c>
      <c r="N757" t="s">
        <v>75</v>
      </c>
      <c r="O757" t="s">
        <v>64</v>
      </c>
      <c r="P757">
        <v>47</v>
      </c>
      <c r="Q757">
        <v>4.4000000000000004</v>
      </c>
      <c r="R757" t="b">
        <v>0</v>
      </c>
      <c r="S757" t="s">
        <v>30</v>
      </c>
      <c r="T757">
        <v>3552</v>
      </c>
      <c r="U757" t="s">
        <v>58</v>
      </c>
      <c r="V757" t="s">
        <v>79</v>
      </c>
      <c r="W757" t="s">
        <v>40</v>
      </c>
    </row>
    <row r="758" spans="1:23">
      <c r="A758">
        <v>5469</v>
      </c>
      <c r="B758" t="s">
        <v>196</v>
      </c>
      <c r="C758" s="1" t="s">
        <v>487</v>
      </c>
      <c r="D758" s="1">
        <v>45424</v>
      </c>
      <c r="E758">
        <v>15.99</v>
      </c>
      <c r="F758">
        <v>24</v>
      </c>
      <c r="G758" t="s">
        <v>48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27</v>
      </c>
      <c r="N758" t="s">
        <v>56</v>
      </c>
      <c r="O758" t="s">
        <v>78</v>
      </c>
      <c r="P758">
        <v>57</v>
      </c>
      <c r="Q758">
        <v>3</v>
      </c>
      <c r="R758" t="b">
        <v>0</v>
      </c>
      <c r="S758" t="s">
        <v>30</v>
      </c>
      <c r="T758">
        <v>150</v>
      </c>
      <c r="U758" t="s">
        <v>58</v>
      </c>
      <c r="V758" t="s">
        <v>59</v>
      </c>
      <c r="W758" t="s">
        <v>60</v>
      </c>
    </row>
    <row r="759" spans="1:23">
      <c r="A759">
        <v>2603</v>
      </c>
      <c r="B759" t="s">
        <v>659</v>
      </c>
      <c r="C759" s="1" t="s">
        <v>95</v>
      </c>
      <c r="D759" s="1" t="s">
        <v>84</v>
      </c>
      <c r="E759">
        <v>11.99</v>
      </c>
      <c r="F759">
        <v>416</v>
      </c>
      <c r="G759" t="s">
        <v>100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27</v>
      </c>
      <c r="N759" t="s">
        <v>56</v>
      </c>
      <c r="O759" t="s">
        <v>57</v>
      </c>
      <c r="P759">
        <v>89</v>
      </c>
      <c r="Q759">
        <v>4.3</v>
      </c>
      <c r="R759" t="b">
        <v>1</v>
      </c>
      <c r="S759" t="s">
        <v>30</v>
      </c>
      <c r="T759">
        <v>786</v>
      </c>
      <c r="U759" t="s">
        <v>58</v>
      </c>
      <c r="V759" t="s">
        <v>59</v>
      </c>
      <c r="W759" t="s">
        <v>93</v>
      </c>
    </row>
    <row r="760" spans="1:23">
      <c r="A760">
        <v>5306</v>
      </c>
      <c r="B760" t="s">
        <v>369</v>
      </c>
      <c r="C760" s="1">
        <v>45208</v>
      </c>
      <c r="D760" s="1">
        <v>45547</v>
      </c>
      <c r="E760">
        <v>15.99</v>
      </c>
      <c r="F760">
        <v>272</v>
      </c>
      <c r="G760" t="s">
        <v>73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74</v>
      </c>
      <c r="N760" t="s">
        <v>56</v>
      </c>
      <c r="O760" t="s">
        <v>64</v>
      </c>
      <c r="P760">
        <v>90</v>
      </c>
      <c r="Q760">
        <v>3.8</v>
      </c>
      <c r="R760" t="b">
        <v>1</v>
      </c>
      <c r="S760" t="s">
        <v>30</v>
      </c>
      <c r="T760">
        <v>1808</v>
      </c>
      <c r="U760" t="s">
        <v>76</v>
      </c>
      <c r="V760" t="s">
        <v>39</v>
      </c>
      <c r="W760" t="s">
        <v>33</v>
      </c>
    </row>
    <row r="761" spans="1:23">
      <c r="A761">
        <v>7869</v>
      </c>
      <c r="B761" t="s">
        <v>283</v>
      </c>
      <c r="C761" s="1" t="s">
        <v>660</v>
      </c>
      <c r="D761" s="1">
        <v>45303</v>
      </c>
      <c r="E761">
        <v>15.99</v>
      </c>
      <c r="F761">
        <v>294</v>
      </c>
      <c r="G761" t="s">
        <v>36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74</v>
      </c>
      <c r="N761" t="s">
        <v>75</v>
      </c>
      <c r="O761" t="s">
        <v>57</v>
      </c>
      <c r="P761">
        <v>39</v>
      </c>
      <c r="Q761">
        <v>3.2</v>
      </c>
      <c r="R761" t="b">
        <v>1</v>
      </c>
      <c r="S761" t="s">
        <v>30</v>
      </c>
      <c r="T761">
        <v>3091</v>
      </c>
      <c r="U761" t="s">
        <v>65</v>
      </c>
      <c r="V761" t="s">
        <v>69</v>
      </c>
      <c r="W761" t="s">
        <v>40</v>
      </c>
    </row>
    <row r="762" spans="1:23">
      <c r="A762">
        <v>1699</v>
      </c>
      <c r="B762" t="s">
        <v>224</v>
      </c>
      <c r="C762" s="1" t="s">
        <v>570</v>
      </c>
      <c r="D762" s="1">
        <v>45608</v>
      </c>
      <c r="E762">
        <v>15.99</v>
      </c>
      <c r="F762">
        <v>18</v>
      </c>
      <c r="G762" t="s">
        <v>51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92</v>
      </c>
      <c r="N762" t="s">
        <v>56</v>
      </c>
      <c r="O762" t="s">
        <v>57</v>
      </c>
      <c r="P762">
        <v>100</v>
      </c>
      <c r="Q762">
        <v>4.7</v>
      </c>
      <c r="R762" t="b">
        <v>1</v>
      </c>
      <c r="S762" t="s">
        <v>30</v>
      </c>
      <c r="T762">
        <v>3697</v>
      </c>
      <c r="U762" t="s">
        <v>38</v>
      </c>
      <c r="V762" t="s">
        <v>39</v>
      </c>
      <c r="W762" t="s">
        <v>40</v>
      </c>
    </row>
    <row r="763" spans="1:23">
      <c r="A763">
        <v>3214</v>
      </c>
      <c r="B763" t="s">
        <v>114</v>
      </c>
      <c r="C763" s="1" t="s">
        <v>661</v>
      </c>
      <c r="D763" s="1">
        <v>45638</v>
      </c>
      <c r="E763">
        <v>15.99</v>
      </c>
      <c r="F763">
        <v>409</v>
      </c>
      <c r="G763" t="s">
        <v>26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74</v>
      </c>
      <c r="N763" t="s">
        <v>75</v>
      </c>
      <c r="O763" t="s">
        <v>78</v>
      </c>
      <c r="P763">
        <v>95</v>
      </c>
      <c r="Q763">
        <v>4.3</v>
      </c>
      <c r="R763" t="b">
        <v>1</v>
      </c>
      <c r="S763" t="s">
        <v>30</v>
      </c>
      <c r="T763">
        <v>4835</v>
      </c>
      <c r="U763" t="s">
        <v>65</v>
      </c>
      <c r="V763" t="s">
        <v>59</v>
      </c>
      <c r="W763" t="s">
        <v>93</v>
      </c>
    </row>
    <row r="764" spans="1:23">
      <c r="A764">
        <v>1050</v>
      </c>
      <c r="B764" t="s">
        <v>52</v>
      </c>
      <c r="C764" s="1" t="s">
        <v>447</v>
      </c>
      <c r="D764" s="1" t="s">
        <v>168</v>
      </c>
      <c r="E764">
        <v>11.99</v>
      </c>
      <c r="F764">
        <v>290</v>
      </c>
      <c r="G764" t="s">
        <v>100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27</v>
      </c>
      <c r="N764" t="s">
        <v>28</v>
      </c>
      <c r="O764" t="s">
        <v>57</v>
      </c>
      <c r="P764">
        <v>57</v>
      </c>
      <c r="Q764">
        <v>4.5</v>
      </c>
      <c r="R764" t="b">
        <v>0</v>
      </c>
      <c r="S764" t="s">
        <v>30</v>
      </c>
      <c r="T764">
        <v>2023</v>
      </c>
      <c r="U764" t="s">
        <v>38</v>
      </c>
      <c r="V764" t="s">
        <v>69</v>
      </c>
      <c r="W764" t="s">
        <v>60</v>
      </c>
    </row>
    <row r="765" spans="1:23">
      <c r="A765">
        <v>3325</v>
      </c>
      <c r="B765" t="s">
        <v>104</v>
      </c>
      <c r="C765" s="1">
        <v>45575</v>
      </c>
      <c r="D765" s="1" t="s">
        <v>90</v>
      </c>
      <c r="E765">
        <v>15.99</v>
      </c>
      <c r="F765">
        <v>102</v>
      </c>
      <c r="G765" t="s">
        <v>36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74</v>
      </c>
      <c r="N765" t="s">
        <v>44</v>
      </c>
      <c r="O765" t="s">
        <v>78</v>
      </c>
      <c r="P765">
        <v>32</v>
      </c>
      <c r="Q765">
        <v>4.9000000000000004</v>
      </c>
      <c r="R765" t="b">
        <v>1</v>
      </c>
      <c r="S765" t="s">
        <v>30</v>
      </c>
      <c r="T765">
        <v>1005</v>
      </c>
      <c r="U765" t="s">
        <v>76</v>
      </c>
      <c r="V765" t="s">
        <v>39</v>
      </c>
      <c r="W765" t="s">
        <v>40</v>
      </c>
    </row>
    <row r="766" spans="1:23">
      <c r="A766">
        <v>1970</v>
      </c>
      <c r="B766" t="s">
        <v>157</v>
      </c>
      <c r="C766" s="1" t="s">
        <v>662</v>
      </c>
      <c r="D766" s="1">
        <v>45334</v>
      </c>
      <c r="E766">
        <v>15.99</v>
      </c>
      <c r="F766">
        <v>119</v>
      </c>
      <c r="G766" t="s">
        <v>48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68</v>
      </c>
      <c r="N766" t="s">
        <v>75</v>
      </c>
      <c r="O766" t="s">
        <v>64</v>
      </c>
      <c r="P766">
        <v>87</v>
      </c>
      <c r="Q766">
        <v>3.3</v>
      </c>
      <c r="R766" t="b">
        <v>0</v>
      </c>
      <c r="S766" t="s">
        <v>30</v>
      </c>
      <c r="T766">
        <v>876</v>
      </c>
      <c r="U766" t="s">
        <v>76</v>
      </c>
      <c r="V766" t="s">
        <v>32</v>
      </c>
      <c r="W766" t="s">
        <v>93</v>
      </c>
    </row>
    <row r="767" spans="1:23">
      <c r="A767">
        <v>6272</v>
      </c>
      <c r="B767" t="s">
        <v>558</v>
      </c>
      <c r="C767" s="1" t="s">
        <v>663</v>
      </c>
      <c r="D767" s="1" t="s">
        <v>103</v>
      </c>
      <c r="E767">
        <v>11.99</v>
      </c>
      <c r="F767">
        <v>87</v>
      </c>
      <c r="G767" t="s">
        <v>26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43</v>
      </c>
      <c r="N767" t="s">
        <v>44</v>
      </c>
      <c r="O767" t="s">
        <v>45</v>
      </c>
      <c r="P767">
        <v>84</v>
      </c>
      <c r="Q767">
        <v>4.7</v>
      </c>
      <c r="R767" t="b">
        <v>0</v>
      </c>
      <c r="S767" t="s">
        <v>30</v>
      </c>
      <c r="T767">
        <v>2089</v>
      </c>
      <c r="U767" t="s">
        <v>76</v>
      </c>
      <c r="V767" t="s">
        <v>39</v>
      </c>
      <c r="W767" t="s">
        <v>93</v>
      </c>
    </row>
    <row r="768" spans="1:23">
      <c r="A768">
        <v>4745</v>
      </c>
      <c r="B768" t="s">
        <v>98</v>
      </c>
      <c r="C768" s="1">
        <v>44992</v>
      </c>
      <c r="D768" s="1" t="s">
        <v>90</v>
      </c>
      <c r="E768">
        <v>7.99</v>
      </c>
      <c r="F768">
        <v>273</v>
      </c>
      <c r="G768" t="s">
        <v>36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27</v>
      </c>
      <c r="N768" t="s">
        <v>75</v>
      </c>
      <c r="O768" t="s">
        <v>78</v>
      </c>
      <c r="P768">
        <v>37</v>
      </c>
      <c r="Q768">
        <v>3.7</v>
      </c>
      <c r="R768" t="b">
        <v>1</v>
      </c>
      <c r="S768" t="s">
        <v>30</v>
      </c>
      <c r="T768">
        <v>772</v>
      </c>
      <c r="U768" t="s">
        <v>31</v>
      </c>
      <c r="V768" t="s">
        <v>79</v>
      </c>
      <c r="W768" t="s">
        <v>40</v>
      </c>
    </row>
    <row r="769" spans="1:23">
      <c r="A769">
        <v>8867</v>
      </c>
      <c r="B769" t="s">
        <v>223</v>
      </c>
      <c r="C769" s="1">
        <v>44991</v>
      </c>
      <c r="D769" s="1" t="s">
        <v>134</v>
      </c>
      <c r="E769">
        <v>15.99</v>
      </c>
      <c r="F769">
        <v>281</v>
      </c>
      <c r="G769" t="s">
        <v>73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92</v>
      </c>
      <c r="N769" t="s">
        <v>56</v>
      </c>
      <c r="O769" t="s">
        <v>37</v>
      </c>
      <c r="P769">
        <v>92</v>
      </c>
      <c r="Q769">
        <v>4.5</v>
      </c>
      <c r="R769" t="b">
        <v>0</v>
      </c>
      <c r="S769" t="s">
        <v>30</v>
      </c>
      <c r="T769">
        <v>373</v>
      </c>
      <c r="U769" t="s">
        <v>58</v>
      </c>
      <c r="V769" t="s">
        <v>69</v>
      </c>
      <c r="W769" t="s">
        <v>60</v>
      </c>
    </row>
    <row r="770" spans="1:23">
      <c r="A770">
        <v>4901</v>
      </c>
      <c r="B770" t="s">
        <v>226</v>
      </c>
      <c r="C770" s="1">
        <v>45261</v>
      </c>
      <c r="D770" s="1" t="s">
        <v>103</v>
      </c>
      <c r="E770">
        <v>7.99</v>
      </c>
      <c r="F770">
        <v>115</v>
      </c>
      <c r="G770" t="s">
        <v>51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92</v>
      </c>
      <c r="N770" t="s">
        <v>28</v>
      </c>
      <c r="O770" t="s">
        <v>45</v>
      </c>
      <c r="P770">
        <v>6</v>
      </c>
      <c r="Q770">
        <v>3.3</v>
      </c>
      <c r="R770" t="b">
        <v>1</v>
      </c>
      <c r="S770" t="s">
        <v>30</v>
      </c>
      <c r="T770">
        <v>3425</v>
      </c>
      <c r="U770" t="s">
        <v>76</v>
      </c>
      <c r="V770" t="s">
        <v>39</v>
      </c>
      <c r="W770" t="s">
        <v>60</v>
      </c>
    </row>
    <row r="771" spans="1:23">
      <c r="A771">
        <v>9575</v>
      </c>
      <c r="B771" t="s">
        <v>224</v>
      </c>
      <c r="C771" s="1" t="s">
        <v>308</v>
      </c>
      <c r="D771" s="1" t="s">
        <v>25</v>
      </c>
      <c r="E771">
        <v>11.99</v>
      </c>
      <c r="F771">
        <v>483</v>
      </c>
      <c r="G771" t="s">
        <v>63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68</v>
      </c>
      <c r="N771" t="s">
        <v>28</v>
      </c>
      <c r="O771" t="s">
        <v>78</v>
      </c>
      <c r="P771">
        <v>95</v>
      </c>
      <c r="Q771">
        <v>4.5999999999999996</v>
      </c>
      <c r="R771" t="b">
        <v>1</v>
      </c>
      <c r="S771" t="s">
        <v>30</v>
      </c>
      <c r="T771">
        <v>4422</v>
      </c>
      <c r="U771" t="s">
        <v>38</v>
      </c>
      <c r="V771" t="s">
        <v>79</v>
      </c>
      <c r="W771" t="s">
        <v>33</v>
      </c>
    </row>
    <row r="772" spans="1:23">
      <c r="A772">
        <v>4471</v>
      </c>
      <c r="B772" t="s">
        <v>399</v>
      </c>
      <c r="C772" s="1" t="s">
        <v>568</v>
      </c>
      <c r="D772" s="1">
        <v>45608</v>
      </c>
      <c r="E772">
        <v>11.99</v>
      </c>
      <c r="F772">
        <v>129</v>
      </c>
      <c r="G772" t="s">
        <v>36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55</v>
      </c>
      <c r="N772" t="s">
        <v>56</v>
      </c>
      <c r="O772" t="s">
        <v>45</v>
      </c>
      <c r="P772">
        <v>51</v>
      </c>
      <c r="Q772">
        <v>3.8</v>
      </c>
      <c r="R772" t="b">
        <v>0</v>
      </c>
      <c r="S772" t="s">
        <v>30</v>
      </c>
      <c r="T772">
        <v>4980</v>
      </c>
      <c r="U772" t="s">
        <v>76</v>
      </c>
      <c r="V772" t="s">
        <v>39</v>
      </c>
      <c r="W772" t="s">
        <v>60</v>
      </c>
    </row>
    <row r="773" spans="1:23">
      <c r="A773">
        <v>1385</v>
      </c>
      <c r="B773" t="s">
        <v>664</v>
      </c>
      <c r="C773" s="1">
        <v>45361</v>
      </c>
      <c r="D773" s="1">
        <v>45577</v>
      </c>
      <c r="E773">
        <v>11.99</v>
      </c>
      <c r="F773">
        <v>292</v>
      </c>
      <c r="G773" t="s">
        <v>36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43</v>
      </c>
      <c r="N773" t="s">
        <v>56</v>
      </c>
      <c r="O773" t="s">
        <v>64</v>
      </c>
      <c r="P773">
        <v>55</v>
      </c>
      <c r="Q773">
        <v>4.9000000000000004</v>
      </c>
      <c r="R773" t="b">
        <v>1</v>
      </c>
      <c r="S773" t="s">
        <v>30</v>
      </c>
      <c r="T773">
        <v>1367</v>
      </c>
      <c r="U773" t="s">
        <v>76</v>
      </c>
      <c r="V773" t="s">
        <v>32</v>
      </c>
      <c r="W773" t="s">
        <v>33</v>
      </c>
    </row>
    <row r="774" spans="1:23">
      <c r="A774">
        <v>4302</v>
      </c>
      <c r="B774" t="s">
        <v>164</v>
      </c>
      <c r="C774" s="1" t="s">
        <v>665</v>
      </c>
      <c r="D774" s="1">
        <v>45577</v>
      </c>
      <c r="E774">
        <v>11.99</v>
      </c>
      <c r="F774">
        <v>307</v>
      </c>
      <c r="G774" t="s">
        <v>63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55</v>
      </c>
      <c r="N774" t="s">
        <v>44</v>
      </c>
      <c r="O774" t="s">
        <v>64</v>
      </c>
      <c r="P774">
        <v>22</v>
      </c>
      <c r="Q774">
        <v>4</v>
      </c>
      <c r="R774" t="b">
        <v>1</v>
      </c>
      <c r="S774" t="s">
        <v>30</v>
      </c>
      <c r="T774">
        <v>2728</v>
      </c>
      <c r="U774" t="s">
        <v>38</v>
      </c>
      <c r="V774" t="s">
        <v>32</v>
      </c>
      <c r="W774" t="s">
        <v>33</v>
      </c>
    </row>
    <row r="775" spans="1:23">
      <c r="A775">
        <v>4738</v>
      </c>
      <c r="B775" t="s">
        <v>666</v>
      </c>
      <c r="C775" s="1">
        <v>45057</v>
      </c>
      <c r="D775" s="1">
        <v>45394</v>
      </c>
      <c r="E775">
        <v>15.99</v>
      </c>
      <c r="F775">
        <v>306</v>
      </c>
      <c r="G775" t="s">
        <v>36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49</v>
      </c>
      <c r="N775" t="s">
        <v>44</v>
      </c>
      <c r="O775" t="s">
        <v>29</v>
      </c>
      <c r="P775">
        <v>56</v>
      </c>
      <c r="Q775">
        <v>4.7</v>
      </c>
      <c r="R775" t="b">
        <v>0</v>
      </c>
      <c r="S775" t="s">
        <v>30</v>
      </c>
      <c r="T775">
        <v>1556</v>
      </c>
      <c r="U775" t="s">
        <v>76</v>
      </c>
      <c r="V775" t="s">
        <v>32</v>
      </c>
      <c r="W775" t="s">
        <v>40</v>
      </c>
    </row>
    <row r="776" spans="1:23">
      <c r="A776">
        <v>2441</v>
      </c>
      <c r="B776" t="s">
        <v>283</v>
      </c>
      <c r="C776" s="1" t="s">
        <v>652</v>
      </c>
      <c r="D776" s="1" t="s">
        <v>42</v>
      </c>
      <c r="E776">
        <v>11.99</v>
      </c>
      <c r="F776">
        <v>71</v>
      </c>
      <c r="G776" t="s">
        <v>48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68</v>
      </c>
      <c r="N776" t="s">
        <v>28</v>
      </c>
      <c r="O776" t="s">
        <v>45</v>
      </c>
      <c r="P776">
        <v>66</v>
      </c>
      <c r="Q776">
        <v>3.9</v>
      </c>
      <c r="R776" t="b">
        <v>0</v>
      </c>
      <c r="S776" t="s">
        <v>30</v>
      </c>
      <c r="T776">
        <v>4566</v>
      </c>
      <c r="U776" t="s">
        <v>76</v>
      </c>
      <c r="V776" t="s">
        <v>39</v>
      </c>
      <c r="W776" t="s">
        <v>33</v>
      </c>
    </row>
    <row r="777" spans="1:23">
      <c r="A777">
        <v>6546</v>
      </c>
      <c r="B777" t="s">
        <v>667</v>
      </c>
      <c r="C777" s="1" t="s">
        <v>370</v>
      </c>
      <c r="D777" s="1">
        <v>45516</v>
      </c>
      <c r="E777">
        <v>15.99</v>
      </c>
      <c r="F777">
        <v>253</v>
      </c>
      <c r="G777" t="s">
        <v>48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27</v>
      </c>
      <c r="N777" t="s">
        <v>28</v>
      </c>
      <c r="O777" t="s">
        <v>29</v>
      </c>
      <c r="P777">
        <v>43</v>
      </c>
      <c r="Q777">
        <v>4.0999999999999996</v>
      </c>
      <c r="R777" t="b">
        <v>1</v>
      </c>
      <c r="S777" t="s">
        <v>30</v>
      </c>
      <c r="T777">
        <v>2969</v>
      </c>
      <c r="U777" t="s">
        <v>65</v>
      </c>
      <c r="V777" t="s">
        <v>32</v>
      </c>
      <c r="W777" t="s">
        <v>40</v>
      </c>
    </row>
    <row r="778" spans="1:23">
      <c r="A778">
        <v>5459</v>
      </c>
      <c r="B778" t="s">
        <v>344</v>
      </c>
      <c r="C778" s="1" t="s">
        <v>447</v>
      </c>
      <c r="D778" s="1" t="s">
        <v>25</v>
      </c>
      <c r="E778">
        <v>15.99</v>
      </c>
      <c r="F778">
        <v>68</v>
      </c>
      <c r="G778" t="s">
        <v>63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74</v>
      </c>
      <c r="N778" t="s">
        <v>75</v>
      </c>
      <c r="O778" t="s">
        <v>78</v>
      </c>
      <c r="P778">
        <v>8</v>
      </c>
      <c r="Q778">
        <v>4.5999999999999996</v>
      </c>
      <c r="R778" t="b">
        <v>0</v>
      </c>
      <c r="S778" t="s">
        <v>30</v>
      </c>
      <c r="T778">
        <v>3421</v>
      </c>
      <c r="U778" t="s">
        <v>58</v>
      </c>
      <c r="V778" t="s">
        <v>69</v>
      </c>
      <c r="W778" t="s">
        <v>33</v>
      </c>
    </row>
    <row r="779" spans="1:23">
      <c r="A779">
        <v>7051</v>
      </c>
      <c r="B779" t="s">
        <v>23</v>
      </c>
      <c r="C779" s="1" t="s">
        <v>333</v>
      </c>
      <c r="D779" s="1" t="s">
        <v>129</v>
      </c>
      <c r="E779">
        <v>7.99</v>
      </c>
      <c r="F779">
        <v>366</v>
      </c>
      <c r="G779" t="s">
        <v>36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74</v>
      </c>
      <c r="N779" t="s">
        <v>44</v>
      </c>
      <c r="O779" t="s">
        <v>78</v>
      </c>
      <c r="P779">
        <v>7</v>
      </c>
      <c r="Q779">
        <v>4.5</v>
      </c>
      <c r="R779" t="b">
        <v>1</v>
      </c>
      <c r="S779" t="s">
        <v>30</v>
      </c>
      <c r="T779">
        <v>2535</v>
      </c>
      <c r="U779" t="s">
        <v>76</v>
      </c>
      <c r="V779" t="s">
        <v>39</v>
      </c>
      <c r="W779" t="s">
        <v>40</v>
      </c>
    </row>
    <row r="780" spans="1:23">
      <c r="A780">
        <v>6671</v>
      </c>
      <c r="B780" t="s">
        <v>41</v>
      </c>
      <c r="C780" s="1" t="s">
        <v>668</v>
      </c>
      <c r="D780" s="1">
        <v>45608</v>
      </c>
      <c r="E780">
        <v>15.99</v>
      </c>
      <c r="F780">
        <v>166</v>
      </c>
      <c r="G780" t="s">
        <v>100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74</v>
      </c>
      <c r="N780" t="s">
        <v>28</v>
      </c>
      <c r="O780" t="s">
        <v>57</v>
      </c>
      <c r="P780">
        <v>53</v>
      </c>
      <c r="Q780">
        <v>5</v>
      </c>
      <c r="R780" t="b">
        <v>1</v>
      </c>
      <c r="S780" t="s">
        <v>30</v>
      </c>
      <c r="T780">
        <v>290</v>
      </c>
      <c r="U780" t="s">
        <v>31</v>
      </c>
      <c r="V780" t="s">
        <v>32</v>
      </c>
      <c r="W780" t="s">
        <v>40</v>
      </c>
    </row>
    <row r="781" spans="1:23">
      <c r="A781">
        <v>6013</v>
      </c>
      <c r="B781" t="s">
        <v>116</v>
      </c>
      <c r="C781" s="1" t="s">
        <v>669</v>
      </c>
      <c r="D781" s="1">
        <v>45363</v>
      </c>
      <c r="E781">
        <v>15.99</v>
      </c>
      <c r="F781">
        <v>136</v>
      </c>
      <c r="G781" t="s">
        <v>73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43</v>
      </c>
      <c r="N781" t="s">
        <v>44</v>
      </c>
      <c r="O781" t="s">
        <v>45</v>
      </c>
      <c r="P781">
        <v>70</v>
      </c>
      <c r="Q781">
        <v>4.4000000000000004</v>
      </c>
      <c r="R781" t="b">
        <v>0</v>
      </c>
      <c r="S781" t="s">
        <v>30</v>
      </c>
      <c r="T781">
        <v>756</v>
      </c>
      <c r="U781" t="s">
        <v>76</v>
      </c>
      <c r="V781" t="s">
        <v>39</v>
      </c>
      <c r="W781" t="s">
        <v>93</v>
      </c>
    </row>
    <row r="782" spans="1:23">
      <c r="A782">
        <v>9996</v>
      </c>
      <c r="B782" t="s">
        <v>521</v>
      </c>
      <c r="C782" s="1" t="s">
        <v>451</v>
      </c>
      <c r="D782" s="1">
        <v>45547</v>
      </c>
      <c r="E782">
        <v>7.99</v>
      </c>
      <c r="F782">
        <v>358</v>
      </c>
      <c r="G782" t="s">
        <v>73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49</v>
      </c>
      <c r="N782" t="s">
        <v>56</v>
      </c>
      <c r="O782" t="s">
        <v>29</v>
      </c>
      <c r="P782">
        <v>70</v>
      </c>
      <c r="Q782">
        <v>3.3</v>
      </c>
      <c r="R782" t="b">
        <v>1</v>
      </c>
      <c r="S782" t="s">
        <v>30</v>
      </c>
      <c r="T782">
        <v>947</v>
      </c>
      <c r="U782" t="s">
        <v>58</v>
      </c>
      <c r="V782" t="s">
        <v>59</v>
      </c>
      <c r="W782" t="s">
        <v>33</v>
      </c>
    </row>
    <row r="783" spans="1:23">
      <c r="A783">
        <v>4851</v>
      </c>
      <c r="B783" t="s">
        <v>186</v>
      </c>
      <c r="C783" s="1">
        <v>45202</v>
      </c>
      <c r="D783" s="1" t="s">
        <v>129</v>
      </c>
      <c r="E783">
        <v>15.99</v>
      </c>
      <c r="F783">
        <v>399</v>
      </c>
      <c r="G783" t="s">
        <v>36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27</v>
      </c>
      <c r="N783" t="s">
        <v>56</v>
      </c>
      <c r="O783" t="s">
        <v>29</v>
      </c>
      <c r="P783">
        <v>79</v>
      </c>
      <c r="Q783">
        <v>3.4</v>
      </c>
      <c r="R783" t="b">
        <v>1</v>
      </c>
      <c r="S783" t="s">
        <v>30</v>
      </c>
      <c r="T783">
        <v>2138</v>
      </c>
      <c r="U783" t="s">
        <v>38</v>
      </c>
      <c r="V783" t="s">
        <v>69</v>
      </c>
      <c r="W783" t="s">
        <v>33</v>
      </c>
    </row>
    <row r="784" spans="1:23">
      <c r="A784">
        <v>2498</v>
      </c>
      <c r="B784" t="s">
        <v>441</v>
      </c>
      <c r="C784" s="1">
        <v>45270</v>
      </c>
      <c r="D784" s="1">
        <v>45485</v>
      </c>
      <c r="E784">
        <v>11.99</v>
      </c>
      <c r="F784">
        <v>285</v>
      </c>
      <c r="G784" t="s">
        <v>100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27</v>
      </c>
      <c r="N784" t="s">
        <v>75</v>
      </c>
      <c r="O784" t="s">
        <v>37</v>
      </c>
      <c r="P784">
        <v>76</v>
      </c>
      <c r="Q784">
        <v>3.3</v>
      </c>
      <c r="R784" t="b">
        <v>1</v>
      </c>
      <c r="S784" t="s">
        <v>30</v>
      </c>
      <c r="T784">
        <v>3151</v>
      </c>
      <c r="U784" t="s">
        <v>38</v>
      </c>
      <c r="V784" t="s">
        <v>69</v>
      </c>
      <c r="W784" t="s">
        <v>93</v>
      </c>
    </row>
    <row r="785" spans="1:23">
      <c r="A785">
        <v>6208</v>
      </c>
      <c r="B785" t="s">
        <v>253</v>
      </c>
      <c r="C785" s="1" t="s">
        <v>670</v>
      </c>
      <c r="D785" s="1" t="s">
        <v>72</v>
      </c>
      <c r="E785">
        <v>7.99</v>
      </c>
      <c r="F785">
        <v>424</v>
      </c>
      <c r="G785" t="s">
        <v>63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74</v>
      </c>
      <c r="N785" t="s">
        <v>28</v>
      </c>
      <c r="O785" t="s">
        <v>64</v>
      </c>
      <c r="P785">
        <v>95</v>
      </c>
      <c r="Q785">
        <v>4.8</v>
      </c>
      <c r="R785" t="b">
        <v>1</v>
      </c>
      <c r="S785" t="s">
        <v>30</v>
      </c>
      <c r="T785">
        <v>670</v>
      </c>
      <c r="U785" t="s">
        <v>58</v>
      </c>
      <c r="V785" t="s">
        <v>69</v>
      </c>
      <c r="W785" t="s">
        <v>93</v>
      </c>
    </row>
    <row r="786" spans="1:23">
      <c r="A786">
        <v>7171</v>
      </c>
      <c r="B786" t="s">
        <v>70</v>
      </c>
      <c r="C786" s="1" t="s">
        <v>121</v>
      </c>
      <c r="D786" s="1" t="s">
        <v>214</v>
      </c>
      <c r="E786">
        <v>11.99</v>
      </c>
      <c r="F786">
        <v>467</v>
      </c>
      <c r="G786" t="s">
        <v>26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74</v>
      </c>
      <c r="N786" t="s">
        <v>44</v>
      </c>
      <c r="O786" t="s">
        <v>64</v>
      </c>
      <c r="P786">
        <v>1</v>
      </c>
      <c r="Q786">
        <v>3.9</v>
      </c>
      <c r="R786" t="b">
        <v>0</v>
      </c>
      <c r="S786" t="s">
        <v>30</v>
      </c>
      <c r="T786">
        <v>3037</v>
      </c>
      <c r="U786" t="s">
        <v>31</v>
      </c>
      <c r="V786" t="s">
        <v>39</v>
      </c>
      <c r="W786" t="s">
        <v>93</v>
      </c>
    </row>
    <row r="787" spans="1:23">
      <c r="A787">
        <v>7667</v>
      </c>
      <c r="B787" t="s">
        <v>666</v>
      </c>
      <c r="C787" s="1">
        <v>45047</v>
      </c>
      <c r="D787" s="1" t="s">
        <v>72</v>
      </c>
      <c r="E787">
        <v>15.99</v>
      </c>
      <c r="F787">
        <v>443</v>
      </c>
      <c r="G787" t="s">
        <v>100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74</v>
      </c>
      <c r="N787" t="s">
        <v>28</v>
      </c>
      <c r="O787" t="s">
        <v>29</v>
      </c>
      <c r="P787">
        <v>57</v>
      </c>
      <c r="Q787">
        <v>3.9</v>
      </c>
      <c r="R787" t="b">
        <v>0</v>
      </c>
      <c r="S787" t="s">
        <v>30</v>
      </c>
      <c r="T787">
        <v>3712</v>
      </c>
      <c r="U787" t="s">
        <v>38</v>
      </c>
      <c r="V787" t="s">
        <v>32</v>
      </c>
      <c r="W787" t="s">
        <v>33</v>
      </c>
    </row>
    <row r="788" spans="1:23">
      <c r="A788">
        <v>4912</v>
      </c>
      <c r="B788" t="s">
        <v>364</v>
      </c>
      <c r="C788" s="1">
        <v>45026</v>
      </c>
      <c r="D788" s="1">
        <v>45303</v>
      </c>
      <c r="E788">
        <v>15.99</v>
      </c>
      <c r="F788">
        <v>214</v>
      </c>
      <c r="G788" t="s">
        <v>48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49</v>
      </c>
      <c r="N788" t="s">
        <v>75</v>
      </c>
      <c r="O788" t="s">
        <v>37</v>
      </c>
      <c r="P788">
        <v>95</v>
      </c>
      <c r="Q788">
        <v>4.0999999999999996</v>
      </c>
      <c r="R788" t="b">
        <v>1</v>
      </c>
      <c r="S788" t="s">
        <v>30</v>
      </c>
      <c r="T788">
        <v>2029</v>
      </c>
      <c r="U788" t="s">
        <v>31</v>
      </c>
      <c r="V788" t="s">
        <v>69</v>
      </c>
      <c r="W788" t="s">
        <v>33</v>
      </c>
    </row>
    <row r="789" spans="1:23">
      <c r="A789">
        <v>7975</v>
      </c>
      <c r="B789" t="s">
        <v>671</v>
      </c>
      <c r="C789" s="1">
        <v>44995</v>
      </c>
      <c r="D789" s="1" t="s">
        <v>82</v>
      </c>
      <c r="E789">
        <v>15.99</v>
      </c>
      <c r="F789">
        <v>437</v>
      </c>
      <c r="G789" t="s">
        <v>63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92</v>
      </c>
      <c r="N789" t="s">
        <v>44</v>
      </c>
      <c r="O789" t="s">
        <v>64</v>
      </c>
      <c r="P789">
        <v>25</v>
      </c>
      <c r="Q789">
        <v>3.6</v>
      </c>
      <c r="R789" t="b">
        <v>0</v>
      </c>
      <c r="S789" t="s">
        <v>30</v>
      </c>
      <c r="T789">
        <v>2406</v>
      </c>
      <c r="U789" t="s">
        <v>58</v>
      </c>
      <c r="V789" t="s">
        <v>39</v>
      </c>
      <c r="W789" t="s">
        <v>33</v>
      </c>
    </row>
    <row r="790" spans="1:23">
      <c r="A790">
        <v>6804</v>
      </c>
      <c r="B790" t="s">
        <v>657</v>
      </c>
      <c r="C790" s="1">
        <v>45232</v>
      </c>
      <c r="D790" s="1">
        <v>45577</v>
      </c>
      <c r="E790">
        <v>15.99</v>
      </c>
      <c r="F790">
        <v>419</v>
      </c>
      <c r="G790" t="s">
        <v>36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68</v>
      </c>
      <c r="N790" t="s">
        <v>28</v>
      </c>
      <c r="O790" t="s">
        <v>37</v>
      </c>
      <c r="P790">
        <v>26</v>
      </c>
      <c r="Q790">
        <v>3.5</v>
      </c>
      <c r="R790" t="b">
        <v>1</v>
      </c>
      <c r="S790" t="s">
        <v>30</v>
      </c>
      <c r="T790">
        <v>3264</v>
      </c>
      <c r="U790" t="s">
        <v>38</v>
      </c>
      <c r="V790" t="s">
        <v>79</v>
      </c>
      <c r="W790" t="s">
        <v>33</v>
      </c>
    </row>
    <row r="791" spans="1:23">
      <c r="A791">
        <v>3877</v>
      </c>
      <c r="B791" t="s">
        <v>667</v>
      </c>
      <c r="C791" s="1" t="s">
        <v>577</v>
      </c>
      <c r="D791" s="1" t="s">
        <v>156</v>
      </c>
      <c r="E791">
        <v>11.99</v>
      </c>
      <c r="F791">
        <v>129</v>
      </c>
      <c r="G791" t="s">
        <v>26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68</v>
      </c>
      <c r="N791" t="s">
        <v>28</v>
      </c>
      <c r="O791" t="s">
        <v>37</v>
      </c>
      <c r="P791">
        <v>0</v>
      </c>
      <c r="Q791">
        <v>4.5999999999999996</v>
      </c>
      <c r="R791" t="b">
        <v>0</v>
      </c>
      <c r="S791" t="s">
        <v>30</v>
      </c>
      <c r="T791">
        <v>1135</v>
      </c>
      <c r="U791" t="s">
        <v>76</v>
      </c>
      <c r="V791" t="s">
        <v>39</v>
      </c>
      <c r="W791" t="s">
        <v>33</v>
      </c>
    </row>
    <row r="792" spans="1:23">
      <c r="A792">
        <v>8768</v>
      </c>
      <c r="B792" t="s">
        <v>281</v>
      </c>
      <c r="C792" s="1">
        <v>45546</v>
      </c>
      <c r="D792" s="1">
        <v>45303</v>
      </c>
      <c r="E792">
        <v>15.99</v>
      </c>
      <c r="F792">
        <v>75</v>
      </c>
      <c r="G792" t="s">
        <v>48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68</v>
      </c>
      <c r="N792" t="s">
        <v>44</v>
      </c>
      <c r="O792" t="s">
        <v>29</v>
      </c>
      <c r="P792">
        <v>86</v>
      </c>
      <c r="Q792">
        <v>3.5</v>
      </c>
      <c r="R792" t="b">
        <v>0</v>
      </c>
      <c r="S792" t="s">
        <v>30</v>
      </c>
      <c r="T792">
        <v>3761</v>
      </c>
      <c r="U792" t="s">
        <v>76</v>
      </c>
      <c r="V792" t="s">
        <v>39</v>
      </c>
      <c r="W792" t="s">
        <v>40</v>
      </c>
    </row>
    <row r="793" spans="1:23">
      <c r="A793">
        <v>1420</v>
      </c>
      <c r="B793" t="s">
        <v>197</v>
      </c>
      <c r="C793" s="1">
        <v>45361</v>
      </c>
      <c r="D793" s="1">
        <v>45424</v>
      </c>
      <c r="E793">
        <v>7.99</v>
      </c>
      <c r="F793">
        <v>346</v>
      </c>
      <c r="G793" t="s">
        <v>51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92</v>
      </c>
      <c r="N793" t="s">
        <v>28</v>
      </c>
      <c r="O793" t="s">
        <v>78</v>
      </c>
      <c r="P793">
        <v>73</v>
      </c>
      <c r="Q793">
        <v>4.9000000000000004</v>
      </c>
      <c r="R793" t="b">
        <v>0</v>
      </c>
      <c r="S793" t="s">
        <v>30</v>
      </c>
      <c r="T793">
        <v>3633</v>
      </c>
      <c r="U793" t="s">
        <v>76</v>
      </c>
      <c r="V793" t="s">
        <v>79</v>
      </c>
      <c r="W793" t="s">
        <v>33</v>
      </c>
    </row>
    <row r="794" spans="1:23">
      <c r="A794">
        <v>2306</v>
      </c>
      <c r="B794" t="s">
        <v>257</v>
      </c>
      <c r="C794" s="1">
        <v>45235</v>
      </c>
      <c r="D794" s="1">
        <v>45303</v>
      </c>
      <c r="E794">
        <v>11.99</v>
      </c>
      <c r="F794">
        <v>480</v>
      </c>
      <c r="G794" t="s">
        <v>63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43</v>
      </c>
      <c r="N794" t="s">
        <v>56</v>
      </c>
      <c r="O794" t="s">
        <v>64</v>
      </c>
      <c r="P794">
        <v>43</v>
      </c>
      <c r="Q794">
        <v>3.1</v>
      </c>
      <c r="R794" t="b">
        <v>0</v>
      </c>
      <c r="S794" t="s">
        <v>30</v>
      </c>
      <c r="T794">
        <v>3308</v>
      </c>
      <c r="U794" t="s">
        <v>31</v>
      </c>
      <c r="V794" t="s">
        <v>39</v>
      </c>
      <c r="W794" t="s">
        <v>40</v>
      </c>
    </row>
    <row r="795" spans="1:23">
      <c r="A795">
        <v>2079</v>
      </c>
      <c r="B795" t="s">
        <v>387</v>
      </c>
      <c r="C795" s="1" t="s">
        <v>672</v>
      </c>
      <c r="D795" s="1">
        <v>45334</v>
      </c>
      <c r="E795">
        <v>11.99</v>
      </c>
      <c r="F795">
        <v>188</v>
      </c>
      <c r="G795" t="s">
        <v>63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27</v>
      </c>
      <c r="N795" t="s">
        <v>28</v>
      </c>
      <c r="O795" t="s">
        <v>64</v>
      </c>
      <c r="P795">
        <v>50</v>
      </c>
      <c r="Q795">
        <v>3.3</v>
      </c>
      <c r="R795" t="b">
        <v>1</v>
      </c>
      <c r="S795" t="s">
        <v>30</v>
      </c>
      <c r="T795">
        <v>1311</v>
      </c>
      <c r="U795" t="s">
        <v>65</v>
      </c>
      <c r="V795" t="s">
        <v>32</v>
      </c>
      <c r="W795" t="s">
        <v>33</v>
      </c>
    </row>
    <row r="796" spans="1:23">
      <c r="A796">
        <v>3554</v>
      </c>
      <c r="B796" t="s">
        <v>391</v>
      </c>
      <c r="C796" s="1" t="s">
        <v>575</v>
      </c>
      <c r="D796" s="1">
        <v>45394</v>
      </c>
      <c r="E796">
        <v>7.99</v>
      </c>
      <c r="F796">
        <v>420</v>
      </c>
      <c r="G796" t="s">
        <v>36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27</v>
      </c>
      <c r="N796" t="s">
        <v>44</v>
      </c>
      <c r="O796" t="s">
        <v>78</v>
      </c>
      <c r="P796">
        <v>52</v>
      </c>
      <c r="Q796">
        <v>4</v>
      </c>
      <c r="R796" t="b">
        <v>0</v>
      </c>
      <c r="S796" t="s">
        <v>30</v>
      </c>
      <c r="T796">
        <v>4333</v>
      </c>
      <c r="U796" t="s">
        <v>38</v>
      </c>
      <c r="V796" t="s">
        <v>39</v>
      </c>
      <c r="W796" t="s">
        <v>60</v>
      </c>
    </row>
    <row r="797" spans="1:23">
      <c r="A797">
        <v>7616</v>
      </c>
      <c r="B797" t="s">
        <v>280</v>
      </c>
      <c r="C797" s="1">
        <v>45205</v>
      </c>
      <c r="D797" s="1">
        <v>45608</v>
      </c>
      <c r="E797">
        <v>15.99</v>
      </c>
      <c r="F797">
        <v>204</v>
      </c>
      <c r="G797" t="s">
        <v>63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74</v>
      </c>
      <c r="N797" t="s">
        <v>44</v>
      </c>
      <c r="O797" t="s">
        <v>64</v>
      </c>
      <c r="P797">
        <v>60</v>
      </c>
      <c r="Q797">
        <v>3.1</v>
      </c>
      <c r="R797" t="b">
        <v>1</v>
      </c>
      <c r="S797" t="s">
        <v>30</v>
      </c>
      <c r="T797">
        <v>4575</v>
      </c>
      <c r="U797" t="s">
        <v>31</v>
      </c>
      <c r="V797" t="s">
        <v>32</v>
      </c>
      <c r="W797" t="s">
        <v>40</v>
      </c>
    </row>
    <row r="798" spans="1:23">
      <c r="A798">
        <v>5650</v>
      </c>
      <c r="B798" t="s">
        <v>441</v>
      </c>
      <c r="C798" s="1" t="s">
        <v>673</v>
      </c>
      <c r="D798" s="1">
        <v>45516</v>
      </c>
      <c r="E798">
        <v>15.99</v>
      </c>
      <c r="F798">
        <v>355</v>
      </c>
      <c r="G798" t="s">
        <v>63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43</v>
      </c>
      <c r="N798" t="s">
        <v>75</v>
      </c>
      <c r="O798" t="s">
        <v>29</v>
      </c>
      <c r="P798">
        <v>60</v>
      </c>
      <c r="Q798">
        <v>4.8</v>
      </c>
      <c r="R798" t="b">
        <v>0</v>
      </c>
      <c r="S798" t="s">
        <v>30</v>
      </c>
      <c r="T798">
        <v>2448</v>
      </c>
      <c r="U798" t="s">
        <v>38</v>
      </c>
      <c r="V798" t="s">
        <v>59</v>
      </c>
      <c r="W798" t="s">
        <v>93</v>
      </c>
    </row>
    <row r="799" spans="1:23">
      <c r="A799">
        <v>9385</v>
      </c>
      <c r="B799" t="s">
        <v>202</v>
      </c>
      <c r="C799" s="1" t="s">
        <v>674</v>
      </c>
      <c r="D799" s="1">
        <v>45363</v>
      </c>
      <c r="E799">
        <v>7.99</v>
      </c>
      <c r="F799">
        <v>200</v>
      </c>
      <c r="G799" t="s">
        <v>36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43</v>
      </c>
      <c r="N799" t="s">
        <v>28</v>
      </c>
      <c r="O799" t="s">
        <v>64</v>
      </c>
      <c r="P799">
        <v>1</v>
      </c>
      <c r="Q799">
        <v>4.4000000000000004</v>
      </c>
      <c r="R799" t="b">
        <v>1</v>
      </c>
      <c r="S799" t="s">
        <v>30</v>
      </c>
      <c r="T799">
        <v>1072</v>
      </c>
      <c r="U799" t="s">
        <v>76</v>
      </c>
      <c r="V799" t="s">
        <v>79</v>
      </c>
      <c r="W799" t="s">
        <v>60</v>
      </c>
    </row>
    <row r="800" spans="1:23">
      <c r="A800">
        <v>2482</v>
      </c>
      <c r="B800" t="s">
        <v>197</v>
      </c>
      <c r="C800" s="1" t="s">
        <v>154</v>
      </c>
      <c r="D800" s="1" t="s">
        <v>168</v>
      </c>
      <c r="E800">
        <v>7.99</v>
      </c>
      <c r="F800">
        <v>178</v>
      </c>
      <c r="G800" t="s">
        <v>26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55</v>
      </c>
      <c r="N800" t="s">
        <v>56</v>
      </c>
      <c r="O800" t="s">
        <v>29</v>
      </c>
      <c r="P800">
        <v>63</v>
      </c>
      <c r="Q800">
        <v>4.8</v>
      </c>
      <c r="R800" t="b">
        <v>1</v>
      </c>
      <c r="S800" t="s">
        <v>30</v>
      </c>
      <c r="T800">
        <v>1784</v>
      </c>
      <c r="U800" t="s">
        <v>38</v>
      </c>
      <c r="V800" t="s">
        <v>69</v>
      </c>
      <c r="W800" t="s">
        <v>40</v>
      </c>
    </row>
    <row r="801" spans="1:23">
      <c r="A801">
        <v>9017</v>
      </c>
      <c r="B801" t="s">
        <v>510</v>
      </c>
      <c r="C801" s="1" t="s">
        <v>661</v>
      </c>
      <c r="D801" s="1">
        <v>45608</v>
      </c>
      <c r="E801">
        <v>11.99</v>
      </c>
      <c r="F801">
        <v>337</v>
      </c>
      <c r="G801" t="s">
        <v>51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55</v>
      </c>
      <c r="N801" t="s">
        <v>56</v>
      </c>
      <c r="O801" t="s">
        <v>64</v>
      </c>
      <c r="P801">
        <v>100</v>
      </c>
      <c r="Q801">
        <v>4.0999999999999996</v>
      </c>
      <c r="R801" t="b">
        <v>1</v>
      </c>
      <c r="S801" t="s">
        <v>30</v>
      </c>
      <c r="T801">
        <v>3787</v>
      </c>
      <c r="U801" t="s">
        <v>38</v>
      </c>
      <c r="V801" t="s">
        <v>32</v>
      </c>
      <c r="W801" t="s">
        <v>33</v>
      </c>
    </row>
    <row r="802" spans="1:23">
      <c r="A802">
        <v>7001</v>
      </c>
      <c r="B802" t="s">
        <v>164</v>
      </c>
      <c r="C802" s="1">
        <v>45146</v>
      </c>
      <c r="D802" s="1" t="s">
        <v>90</v>
      </c>
      <c r="E802">
        <v>11.99</v>
      </c>
      <c r="F802">
        <v>24</v>
      </c>
      <c r="G802" t="s">
        <v>36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49</v>
      </c>
      <c r="N802" t="s">
        <v>75</v>
      </c>
      <c r="O802" t="s">
        <v>29</v>
      </c>
      <c r="P802">
        <v>98</v>
      </c>
      <c r="Q802">
        <v>3.9</v>
      </c>
      <c r="R802" t="b">
        <v>0</v>
      </c>
      <c r="S802" t="s">
        <v>30</v>
      </c>
      <c r="T802">
        <v>4477</v>
      </c>
      <c r="U802" t="s">
        <v>65</v>
      </c>
      <c r="V802" t="s">
        <v>59</v>
      </c>
      <c r="W802" t="s">
        <v>93</v>
      </c>
    </row>
    <row r="803" spans="1:23">
      <c r="A803">
        <v>2942</v>
      </c>
      <c r="B803" t="s">
        <v>675</v>
      </c>
      <c r="C803" s="1">
        <v>45171</v>
      </c>
      <c r="D803" s="1" t="s">
        <v>90</v>
      </c>
      <c r="E803">
        <v>11.99</v>
      </c>
      <c r="F803">
        <v>167</v>
      </c>
      <c r="G803" t="s">
        <v>48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49</v>
      </c>
      <c r="N803" t="s">
        <v>56</v>
      </c>
      <c r="O803" t="s">
        <v>45</v>
      </c>
      <c r="P803">
        <v>66</v>
      </c>
      <c r="Q803">
        <v>4.7</v>
      </c>
      <c r="R803" t="b">
        <v>1</v>
      </c>
      <c r="S803" t="s">
        <v>30</v>
      </c>
      <c r="T803">
        <v>711</v>
      </c>
      <c r="U803" t="s">
        <v>58</v>
      </c>
      <c r="V803" t="s">
        <v>32</v>
      </c>
      <c r="W803" t="s">
        <v>40</v>
      </c>
    </row>
    <row r="804" spans="1:23">
      <c r="A804">
        <v>8833</v>
      </c>
      <c r="B804" t="s">
        <v>91</v>
      </c>
      <c r="C804" s="1">
        <v>45479</v>
      </c>
      <c r="D804" s="1">
        <v>45608</v>
      </c>
      <c r="E804">
        <v>7.99</v>
      </c>
      <c r="F804">
        <v>289</v>
      </c>
      <c r="G804" t="s">
        <v>36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92</v>
      </c>
      <c r="N804" t="s">
        <v>28</v>
      </c>
      <c r="O804" t="s">
        <v>29</v>
      </c>
      <c r="P804">
        <v>99</v>
      </c>
      <c r="Q804">
        <v>3.7</v>
      </c>
      <c r="R804" t="b">
        <v>1</v>
      </c>
      <c r="S804" t="s">
        <v>30</v>
      </c>
      <c r="T804">
        <v>3711</v>
      </c>
      <c r="U804" t="s">
        <v>58</v>
      </c>
      <c r="V804" t="s">
        <v>79</v>
      </c>
      <c r="W804" t="s">
        <v>33</v>
      </c>
    </row>
    <row r="805" spans="1:23">
      <c r="A805">
        <v>8079</v>
      </c>
      <c r="B805" t="s">
        <v>88</v>
      </c>
      <c r="C805" s="1">
        <v>45114</v>
      </c>
      <c r="D805" s="1" t="s">
        <v>25</v>
      </c>
      <c r="E805">
        <v>7.99</v>
      </c>
      <c r="F805">
        <v>450</v>
      </c>
      <c r="G805" t="s">
        <v>26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43</v>
      </c>
      <c r="N805" t="s">
        <v>44</v>
      </c>
      <c r="O805" t="s">
        <v>29</v>
      </c>
      <c r="P805">
        <v>100</v>
      </c>
      <c r="Q805">
        <v>3.4</v>
      </c>
      <c r="R805" t="b">
        <v>0</v>
      </c>
      <c r="S805" t="s">
        <v>30</v>
      </c>
      <c r="T805">
        <v>2534</v>
      </c>
      <c r="U805" t="s">
        <v>76</v>
      </c>
      <c r="V805" t="s">
        <v>32</v>
      </c>
      <c r="W805" t="s">
        <v>93</v>
      </c>
    </row>
    <row r="806" spans="1:23">
      <c r="A806">
        <v>3797</v>
      </c>
      <c r="B806" t="s">
        <v>88</v>
      </c>
      <c r="C806" s="1">
        <v>45388</v>
      </c>
      <c r="D806" s="1" t="s">
        <v>72</v>
      </c>
      <c r="E806">
        <v>11.99</v>
      </c>
      <c r="F806">
        <v>165</v>
      </c>
      <c r="G806" t="s">
        <v>48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27</v>
      </c>
      <c r="N806" t="s">
        <v>75</v>
      </c>
      <c r="O806" t="s">
        <v>64</v>
      </c>
      <c r="P806">
        <v>96</v>
      </c>
      <c r="Q806">
        <v>4.5</v>
      </c>
      <c r="R806" t="b">
        <v>1</v>
      </c>
      <c r="S806" t="s">
        <v>30</v>
      </c>
      <c r="T806">
        <v>2624</v>
      </c>
      <c r="U806" t="s">
        <v>38</v>
      </c>
      <c r="V806" t="s">
        <v>79</v>
      </c>
      <c r="W806" t="s">
        <v>40</v>
      </c>
    </row>
    <row r="807" spans="1:23">
      <c r="A807">
        <v>7268</v>
      </c>
      <c r="B807" t="s">
        <v>676</v>
      </c>
      <c r="C807" s="1">
        <v>45143</v>
      </c>
      <c r="D807" s="1" t="s">
        <v>72</v>
      </c>
      <c r="E807">
        <v>15.99</v>
      </c>
      <c r="F807">
        <v>391</v>
      </c>
      <c r="G807" t="s">
        <v>26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27</v>
      </c>
      <c r="N807" t="s">
        <v>28</v>
      </c>
      <c r="O807" t="s">
        <v>37</v>
      </c>
      <c r="P807">
        <v>73</v>
      </c>
      <c r="Q807">
        <v>3</v>
      </c>
      <c r="R807" t="b">
        <v>1</v>
      </c>
      <c r="S807" t="s">
        <v>30</v>
      </c>
      <c r="T807">
        <v>3617</v>
      </c>
      <c r="U807" t="s">
        <v>58</v>
      </c>
      <c r="V807" t="s">
        <v>59</v>
      </c>
      <c r="W807" t="s">
        <v>60</v>
      </c>
    </row>
    <row r="808" spans="1:23">
      <c r="A808">
        <v>9803</v>
      </c>
      <c r="B808" t="s">
        <v>405</v>
      </c>
      <c r="C808" s="1" t="s">
        <v>661</v>
      </c>
      <c r="D808" s="1" t="s">
        <v>109</v>
      </c>
      <c r="E808">
        <v>11.99</v>
      </c>
      <c r="F808">
        <v>318</v>
      </c>
      <c r="G808" t="s">
        <v>36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27</v>
      </c>
      <c r="N808" t="s">
        <v>75</v>
      </c>
      <c r="O808" t="s">
        <v>45</v>
      </c>
      <c r="P808">
        <v>42</v>
      </c>
      <c r="Q808">
        <v>3.9</v>
      </c>
      <c r="R808" t="b">
        <v>0</v>
      </c>
      <c r="S808" t="s">
        <v>30</v>
      </c>
      <c r="T808">
        <v>3078</v>
      </c>
      <c r="U808" t="s">
        <v>76</v>
      </c>
      <c r="V808" t="s">
        <v>39</v>
      </c>
      <c r="W808" t="s">
        <v>60</v>
      </c>
    </row>
    <row r="809" spans="1:23">
      <c r="A809">
        <v>2165</v>
      </c>
      <c r="B809" t="s">
        <v>677</v>
      </c>
      <c r="C809" s="1" t="s">
        <v>523</v>
      </c>
      <c r="D809" s="1" t="s">
        <v>168</v>
      </c>
      <c r="E809">
        <v>15.99</v>
      </c>
      <c r="F809">
        <v>157</v>
      </c>
      <c r="G809" t="s">
        <v>51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68</v>
      </c>
      <c r="N809" t="s">
        <v>28</v>
      </c>
      <c r="O809" t="s">
        <v>64</v>
      </c>
      <c r="P809">
        <v>53</v>
      </c>
      <c r="Q809">
        <v>4.2</v>
      </c>
      <c r="R809" t="b">
        <v>0</v>
      </c>
      <c r="S809" t="s">
        <v>30</v>
      </c>
      <c r="T809">
        <v>164</v>
      </c>
      <c r="U809" t="s">
        <v>58</v>
      </c>
      <c r="V809" t="s">
        <v>32</v>
      </c>
      <c r="W809" t="s">
        <v>40</v>
      </c>
    </row>
    <row r="810" spans="1:23">
      <c r="A810">
        <v>1528</v>
      </c>
      <c r="B810" t="s">
        <v>365</v>
      </c>
      <c r="C810" s="1">
        <v>45200</v>
      </c>
      <c r="D810" s="1" t="s">
        <v>54</v>
      </c>
      <c r="E810">
        <v>11.99</v>
      </c>
      <c r="F810">
        <v>25</v>
      </c>
      <c r="G810" t="s">
        <v>36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49</v>
      </c>
      <c r="N810" t="s">
        <v>44</v>
      </c>
      <c r="O810" t="s">
        <v>57</v>
      </c>
      <c r="P810">
        <v>48</v>
      </c>
      <c r="Q810">
        <v>3.2</v>
      </c>
      <c r="R810" t="b">
        <v>0</v>
      </c>
      <c r="S810" t="s">
        <v>30</v>
      </c>
      <c r="T810">
        <v>2805</v>
      </c>
      <c r="U810" t="s">
        <v>58</v>
      </c>
      <c r="V810" t="s">
        <v>59</v>
      </c>
      <c r="W810" t="s">
        <v>60</v>
      </c>
    </row>
    <row r="811" spans="1:23">
      <c r="A811">
        <v>5978</v>
      </c>
      <c r="B811" t="s">
        <v>393</v>
      </c>
      <c r="C811" s="1">
        <v>45264</v>
      </c>
      <c r="D811" s="1">
        <v>45547</v>
      </c>
      <c r="E811">
        <v>11.99</v>
      </c>
      <c r="F811">
        <v>112</v>
      </c>
      <c r="G811" t="s">
        <v>36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49</v>
      </c>
      <c r="N811" t="s">
        <v>28</v>
      </c>
      <c r="O811" t="s">
        <v>64</v>
      </c>
      <c r="P811">
        <v>81</v>
      </c>
      <c r="Q811">
        <v>3.9</v>
      </c>
      <c r="R811" t="b">
        <v>0</v>
      </c>
      <c r="S811" t="s">
        <v>30</v>
      </c>
      <c r="T811">
        <v>3848</v>
      </c>
      <c r="U811" t="s">
        <v>38</v>
      </c>
      <c r="V811" t="s">
        <v>39</v>
      </c>
      <c r="W811" t="s">
        <v>93</v>
      </c>
    </row>
    <row r="812" spans="1:23">
      <c r="A812">
        <v>5967</v>
      </c>
      <c r="B812" t="s">
        <v>382</v>
      </c>
      <c r="C812" s="1">
        <v>45265</v>
      </c>
      <c r="D812" s="1" t="s">
        <v>42</v>
      </c>
      <c r="E812">
        <v>11.99</v>
      </c>
      <c r="F812">
        <v>479</v>
      </c>
      <c r="G812" t="s">
        <v>26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68</v>
      </c>
      <c r="N812" t="s">
        <v>75</v>
      </c>
      <c r="O812" t="s">
        <v>45</v>
      </c>
      <c r="P812">
        <v>93</v>
      </c>
      <c r="Q812">
        <v>3.7</v>
      </c>
      <c r="R812" t="b">
        <v>0</v>
      </c>
      <c r="S812" t="s">
        <v>30</v>
      </c>
      <c r="T812">
        <v>836</v>
      </c>
      <c r="U812" t="s">
        <v>38</v>
      </c>
      <c r="V812" t="s">
        <v>39</v>
      </c>
      <c r="W812" t="s">
        <v>33</v>
      </c>
    </row>
    <row r="813" spans="1:23">
      <c r="A813">
        <v>4254</v>
      </c>
      <c r="B813" t="s">
        <v>153</v>
      </c>
      <c r="C813" s="1" t="s">
        <v>189</v>
      </c>
      <c r="D813" s="1" t="s">
        <v>103</v>
      </c>
      <c r="E813">
        <v>11.99</v>
      </c>
      <c r="F813">
        <v>233</v>
      </c>
      <c r="G813" t="s">
        <v>100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55</v>
      </c>
      <c r="N813" t="s">
        <v>28</v>
      </c>
      <c r="O813" t="s">
        <v>29</v>
      </c>
      <c r="P813">
        <v>82</v>
      </c>
      <c r="Q813">
        <v>4.3</v>
      </c>
      <c r="R813" t="b">
        <v>1</v>
      </c>
      <c r="S813" t="s">
        <v>30</v>
      </c>
      <c r="T813">
        <v>2761</v>
      </c>
      <c r="U813" t="s">
        <v>65</v>
      </c>
      <c r="V813" t="s">
        <v>59</v>
      </c>
      <c r="W813" t="s">
        <v>60</v>
      </c>
    </row>
    <row r="814" spans="1:23">
      <c r="A814">
        <v>2186</v>
      </c>
      <c r="B814" t="s">
        <v>473</v>
      </c>
      <c r="C814" s="1" t="s">
        <v>99</v>
      </c>
      <c r="D814" s="1" t="s">
        <v>103</v>
      </c>
      <c r="E814">
        <v>7.99</v>
      </c>
      <c r="F814">
        <v>44</v>
      </c>
      <c r="G814" t="s">
        <v>36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55</v>
      </c>
      <c r="N814" t="s">
        <v>44</v>
      </c>
      <c r="O814" t="s">
        <v>78</v>
      </c>
      <c r="P814">
        <v>48</v>
      </c>
      <c r="Q814">
        <v>5</v>
      </c>
      <c r="R814" t="b">
        <v>1</v>
      </c>
      <c r="S814" t="s">
        <v>30</v>
      </c>
      <c r="T814">
        <v>4633</v>
      </c>
      <c r="U814" t="s">
        <v>76</v>
      </c>
      <c r="V814" t="s">
        <v>32</v>
      </c>
      <c r="W814" t="s">
        <v>33</v>
      </c>
    </row>
    <row r="815" spans="1:23">
      <c r="A815">
        <v>7644</v>
      </c>
      <c r="B815" t="s">
        <v>678</v>
      </c>
      <c r="C815" s="1">
        <v>45516</v>
      </c>
      <c r="D815" s="1" t="s">
        <v>35</v>
      </c>
      <c r="E815">
        <v>15.99</v>
      </c>
      <c r="F815">
        <v>456</v>
      </c>
      <c r="G815" t="s">
        <v>26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43</v>
      </c>
      <c r="N815" t="s">
        <v>56</v>
      </c>
      <c r="O815" t="s">
        <v>29</v>
      </c>
      <c r="P815">
        <v>76</v>
      </c>
      <c r="Q815">
        <v>4</v>
      </c>
      <c r="R815" t="b">
        <v>0</v>
      </c>
      <c r="S815" t="s">
        <v>30</v>
      </c>
      <c r="T815">
        <v>4260</v>
      </c>
      <c r="U815" t="s">
        <v>58</v>
      </c>
      <c r="V815" t="s">
        <v>59</v>
      </c>
      <c r="W815" t="s">
        <v>33</v>
      </c>
    </row>
    <row r="816" spans="1:23">
      <c r="A816">
        <v>5897</v>
      </c>
      <c r="B816" t="s">
        <v>296</v>
      </c>
      <c r="C816" s="1">
        <v>45269</v>
      </c>
      <c r="D816" s="1">
        <v>45455</v>
      </c>
      <c r="E816">
        <v>7.99</v>
      </c>
      <c r="F816">
        <v>486</v>
      </c>
      <c r="G816" t="s">
        <v>36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74</v>
      </c>
      <c r="N816" t="s">
        <v>56</v>
      </c>
      <c r="O816" t="s">
        <v>37</v>
      </c>
      <c r="P816">
        <v>0</v>
      </c>
      <c r="Q816">
        <v>4.2</v>
      </c>
      <c r="R816" t="b">
        <v>0</v>
      </c>
      <c r="S816" t="s">
        <v>30</v>
      </c>
      <c r="T816">
        <v>447</v>
      </c>
      <c r="U816" t="s">
        <v>76</v>
      </c>
      <c r="V816" t="s">
        <v>59</v>
      </c>
      <c r="W816" t="s">
        <v>60</v>
      </c>
    </row>
    <row r="817" spans="1:23">
      <c r="A817">
        <v>7465</v>
      </c>
      <c r="B817" t="s">
        <v>618</v>
      </c>
      <c r="C817" s="1">
        <v>45607</v>
      </c>
      <c r="D817" s="1">
        <v>45303</v>
      </c>
      <c r="E817">
        <v>11.99</v>
      </c>
      <c r="F817">
        <v>308</v>
      </c>
      <c r="G817" t="s">
        <v>26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68</v>
      </c>
      <c r="N817" t="s">
        <v>56</v>
      </c>
      <c r="O817" t="s">
        <v>57</v>
      </c>
      <c r="P817">
        <v>92</v>
      </c>
      <c r="Q817">
        <v>3.7</v>
      </c>
      <c r="R817" t="b">
        <v>1</v>
      </c>
      <c r="S817" t="s">
        <v>30</v>
      </c>
      <c r="T817">
        <v>1298</v>
      </c>
      <c r="U817" t="s">
        <v>76</v>
      </c>
      <c r="V817" t="s">
        <v>59</v>
      </c>
      <c r="W817" t="s">
        <v>93</v>
      </c>
    </row>
    <row r="818" spans="1:23">
      <c r="A818">
        <v>3724</v>
      </c>
      <c r="B818" t="s">
        <v>118</v>
      </c>
      <c r="C818" s="1" t="s">
        <v>679</v>
      </c>
      <c r="D818" s="1">
        <v>45334</v>
      </c>
      <c r="E818">
        <v>7.99</v>
      </c>
      <c r="F818">
        <v>161</v>
      </c>
      <c r="G818" t="s">
        <v>100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43</v>
      </c>
      <c r="N818" t="s">
        <v>28</v>
      </c>
      <c r="O818" t="s">
        <v>57</v>
      </c>
      <c r="P818">
        <v>32</v>
      </c>
      <c r="Q818">
        <v>3.7</v>
      </c>
      <c r="R818" t="b">
        <v>0</v>
      </c>
      <c r="S818" t="s">
        <v>30</v>
      </c>
      <c r="T818">
        <v>3445</v>
      </c>
      <c r="U818" t="s">
        <v>65</v>
      </c>
      <c r="V818" t="s">
        <v>69</v>
      </c>
      <c r="W818" t="s">
        <v>93</v>
      </c>
    </row>
    <row r="819" spans="1:23">
      <c r="A819">
        <v>2914</v>
      </c>
      <c r="B819" t="s">
        <v>579</v>
      </c>
      <c r="C819" s="1">
        <v>45114</v>
      </c>
      <c r="D819" s="1" t="s">
        <v>42</v>
      </c>
      <c r="E819">
        <v>15.99</v>
      </c>
      <c r="F819">
        <v>316</v>
      </c>
      <c r="G819" t="s">
        <v>73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43</v>
      </c>
      <c r="N819" t="s">
        <v>56</v>
      </c>
      <c r="O819" t="s">
        <v>29</v>
      </c>
      <c r="P819">
        <v>65</v>
      </c>
      <c r="Q819">
        <v>4.5999999999999996</v>
      </c>
      <c r="R819" t="b">
        <v>0</v>
      </c>
      <c r="S819" t="s">
        <v>30</v>
      </c>
      <c r="T819">
        <v>3039</v>
      </c>
      <c r="U819" t="s">
        <v>58</v>
      </c>
      <c r="V819" t="s">
        <v>79</v>
      </c>
      <c r="W819" t="s">
        <v>33</v>
      </c>
    </row>
    <row r="820" spans="1:23">
      <c r="A820">
        <v>4110</v>
      </c>
      <c r="B820" t="s">
        <v>212</v>
      </c>
      <c r="C820" s="1" t="s">
        <v>680</v>
      </c>
      <c r="D820" s="1" t="s">
        <v>214</v>
      </c>
      <c r="E820">
        <v>11.99</v>
      </c>
      <c r="F820">
        <v>133</v>
      </c>
      <c r="G820" t="s">
        <v>36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49</v>
      </c>
      <c r="N820" t="s">
        <v>28</v>
      </c>
      <c r="O820" t="s">
        <v>37</v>
      </c>
      <c r="P820">
        <v>88</v>
      </c>
      <c r="Q820">
        <v>4.4000000000000004</v>
      </c>
      <c r="R820" t="b">
        <v>0</v>
      </c>
      <c r="S820" t="s">
        <v>30</v>
      </c>
      <c r="T820">
        <v>3815</v>
      </c>
      <c r="U820" t="s">
        <v>58</v>
      </c>
      <c r="V820" t="s">
        <v>69</v>
      </c>
      <c r="W820" t="s">
        <v>40</v>
      </c>
    </row>
    <row r="821" spans="1:23">
      <c r="A821">
        <v>6944</v>
      </c>
      <c r="B821" t="s">
        <v>244</v>
      </c>
      <c r="C821" s="1" t="s">
        <v>681</v>
      </c>
      <c r="D821" s="1" t="s">
        <v>90</v>
      </c>
      <c r="E821">
        <v>15.99</v>
      </c>
      <c r="F821">
        <v>270</v>
      </c>
      <c r="G821" t="s">
        <v>73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49</v>
      </c>
      <c r="N821" t="s">
        <v>56</v>
      </c>
      <c r="O821" t="s">
        <v>57</v>
      </c>
      <c r="P821">
        <v>41</v>
      </c>
      <c r="Q821">
        <v>3.5</v>
      </c>
      <c r="R821" t="b">
        <v>0</v>
      </c>
      <c r="S821" t="s">
        <v>30</v>
      </c>
      <c r="T821">
        <v>1135</v>
      </c>
      <c r="U821" t="s">
        <v>65</v>
      </c>
      <c r="V821" t="s">
        <v>59</v>
      </c>
      <c r="W821" t="s">
        <v>33</v>
      </c>
    </row>
    <row r="822" spans="1:23">
      <c r="A822">
        <v>3639</v>
      </c>
      <c r="B822" t="s">
        <v>682</v>
      </c>
      <c r="C822" s="1" t="s">
        <v>416</v>
      </c>
      <c r="D822" s="1" t="s">
        <v>82</v>
      </c>
      <c r="E822">
        <v>11.99</v>
      </c>
      <c r="F822">
        <v>85</v>
      </c>
      <c r="G822" t="s">
        <v>63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27</v>
      </c>
      <c r="N822" t="s">
        <v>75</v>
      </c>
      <c r="O822" t="s">
        <v>78</v>
      </c>
      <c r="P822">
        <v>45</v>
      </c>
      <c r="Q822">
        <v>4.5999999999999996</v>
      </c>
      <c r="R822" t="b">
        <v>0</v>
      </c>
      <c r="S822" t="s">
        <v>30</v>
      </c>
      <c r="T822">
        <v>2706</v>
      </c>
      <c r="U822" t="s">
        <v>76</v>
      </c>
      <c r="V822" t="s">
        <v>32</v>
      </c>
      <c r="W822" t="s">
        <v>40</v>
      </c>
    </row>
    <row r="823" spans="1:23">
      <c r="A823">
        <v>8416</v>
      </c>
      <c r="B823" t="s">
        <v>404</v>
      </c>
      <c r="C823" s="1" t="s">
        <v>683</v>
      </c>
      <c r="D823" s="1" t="s">
        <v>168</v>
      </c>
      <c r="E823">
        <v>11.99</v>
      </c>
      <c r="F823">
        <v>65</v>
      </c>
      <c r="G823" t="s">
        <v>36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49</v>
      </c>
      <c r="N823" t="s">
        <v>28</v>
      </c>
      <c r="O823" t="s">
        <v>29</v>
      </c>
      <c r="P823">
        <v>81</v>
      </c>
      <c r="Q823">
        <v>3.5</v>
      </c>
      <c r="R823" t="b">
        <v>1</v>
      </c>
      <c r="S823" t="s">
        <v>30</v>
      </c>
      <c r="T823">
        <v>3828</v>
      </c>
      <c r="U823" t="s">
        <v>76</v>
      </c>
      <c r="V823" t="s">
        <v>59</v>
      </c>
      <c r="W823" t="s">
        <v>40</v>
      </c>
    </row>
    <row r="824" spans="1:23">
      <c r="A824">
        <v>7753</v>
      </c>
      <c r="B824" t="s">
        <v>179</v>
      </c>
      <c r="C824" s="1">
        <v>45547</v>
      </c>
      <c r="D824" s="1" t="s">
        <v>25</v>
      </c>
      <c r="E824">
        <v>7.99</v>
      </c>
      <c r="F824">
        <v>393</v>
      </c>
      <c r="G824" t="s">
        <v>36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27</v>
      </c>
      <c r="N824" t="s">
        <v>56</v>
      </c>
      <c r="O824" t="s">
        <v>29</v>
      </c>
      <c r="P824">
        <v>65</v>
      </c>
      <c r="Q824">
        <v>4.9000000000000004</v>
      </c>
      <c r="R824" t="b">
        <v>1</v>
      </c>
      <c r="S824" t="s">
        <v>30</v>
      </c>
      <c r="T824">
        <v>4409</v>
      </c>
      <c r="U824" t="s">
        <v>58</v>
      </c>
      <c r="V824" t="s">
        <v>32</v>
      </c>
      <c r="W824" t="s">
        <v>93</v>
      </c>
    </row>
    <row r="825" spans="1:23">
      <c r="A825">
        <v>9528</v>
      </c>
      <c r="B825" t="s">
        <v>684</v>
      </c>
      <c r="C825" s="1" t="s">
        <v>665</v>
      </c>
      <c r="D825" s="1">
        <v>45638</v>
      </c>
      <c r="E825">
        <v>11.99</v>
      </c>
      <c r="F825">
        <v>181</v>
      </c>
      <c r="G825" t="s">
        <v>26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27</v>
      </c>
      <c r="N825" t="s">
        <v>44</v>
      </c>
      <c r="O825" t="s">
        <v>45</v>
      </c>
      <c r="P825">
        <v>3</v>
      </c>
      <c r="Q825">
        <v>4.3</v>
      </c>
      <c r="R825" t="b">
        <v>1</v>
      </c>
      <c r="S825" t="s">
        <v>30</v>
      </c>
      <c r="T825">
        <v>433</v>
      </c>
      <c r="U825" t="s">
        <v>76</v>
      </c>
      <c r="V825" t="s">
        <v>59</v>
      </c>
      <c r="W825" t="s">
        <v>93</v>
      </c>
    </row>
    <row r="826" spans="1:23">
      <c r="A826">
        <v>2960</v>
      </c>
      <c r="B826" t="s">
        <v>153</v>
      </c>
      <c r="C826" s="1">
        <v>44997</v>
      </c>
      <c r="D826" s="1">
        <v>45547</v>
      </c>
      <c r="E826">
        <v>11.99</v>
      </c>
      <c r="F826">
        <v>416</v>
      </c>
      <c r="G826" t="s">
        <v>48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27</v>
      </c>
      <c r="N826" t="s">
        <v>75</v>
      </c>
      <c r="O826" t="s">
        <v>78</v>
      </c>
      <c r="P826">
        <v>6</v>
      </c>
      <c r="Q826">
        <v>3.2</v>
      </c>
      <c r="R826" t="b">
        <v>0</v>
      </c>
      <c r="S826" t="s">
        <v>30</v>
      </c>
      <c r="T826">
        <v>2554</v>
      </c>
      <c r="U826" t="s">
        <v>58</v>
      </c>
      <c r="V826" t="s">
        <v>32</v>
      </c>
      <c r="W826" t="s">
        <v>33</v>
      </c>
    </row>
    <row r="827" spans="1:23">
      <c r="A827">
        <v>1090</v>
      </c>
      <c r="B827" t="s">
        <v>628</v>
      </c>
      <c r="C827" s="1" t="s">
        <v>426</v>
      </c>
      <c r="D827" s="1" t="s">
        <v>168</v>
      </c>
      <c r="E827">
        <v>15.99</v>
      </c>
      <c r="F827">
        <v>243</v>
      </c>
      <c r="G827" t="s">
        <v>48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43</v>
      </c>
      <c r="N827" t="s">
        <v>75</v>
      </c>
      <c r="O827" t="s">
        <v>64</v>
      </c>
      <c r="P827">
        <v>4</v>
      </c>
      <c r="Q827">
        <v>4</v>
      </c>
      <c r="R827" t="b">
        <v>1</v>
      </c>
      <c r="S827" t="s">
        <v>30</v>
      </c>
      <c r="T827">
        <v>1348</v>
      </c>
      <c r="U827" t="s">
        <v>38</v>
      </c>
      <c r="V827" t="s">
        <v>39</v>
      </c>
      <c r="W827" t="s">
        <v>60</v>
      </c>
    </row>
    <row r="828" spans="1:23">
      <c r="A828">
        <v>2410</v>
      </c>
      <c r="B828" t="s">
        <v>88</v>
      </c>
      <c r="C828" s="1">
        <v>45608</v>
      </c>
      <c r="D828" s="1">
        <v>45516</v>
      </c>
      <c r="E828">
        <v>11.99</v>
      </c>
      <c r="F828">
        <v>381</v>
      </c>
      <c r="G828" t="s">
        <v>100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74</v>
      </c>
      <c r="N828" t="s">
        <v>44</v>
      </c>
      <c r="O828" t="s">
        <v>45</v>
      </c>
      <c r="P828">
        <v>50</v>
      </c>
      <c r="Q828">
        <v>4.8</v>
      </c>
      <c r="R828" t="b">
        <v>0</v>
      </c>
      <c r="S828" t="s">
        <v>30</v>
      </c>
      <c r="T828">
        <v>1375</v>
      </c>
      <c r="U828" t="s">
        <v>65</v>
      </c>
      <c r="V828" t="s">
        <v>39</v>
      </c>
      <c r="W828" t="s">
        <v>33</v>
      </c>
    </row>
    <row r="829" spans="1:23">
      <c r="A829">
        <v>1575</v>
      </c>
      <c r="B829" t="s">
        <v>153</v>
      </c>
      <c r="C829" s="1">
        <v>45026</v>
      </c>
      <c r="D829" s="1">
        <v>45608</v>
      </c>
      <c r="E829">
        <v>11.99</v>
      </c>
      <c r="F829">
        <v>71</v>
      </c>
      <c r="G829" t="s">
        <v>73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68</v>
      </c>
      <c r="N829" t="s">
        <v>56</v>
      </c>
      <c r="O829" t="s">
        <v>45</v>
      </c>
      <c r="P829">
        <v>97</v>
      </c>
      <c r="Q829">
        <v>3.1</v>
      </c>
      <c r="R829" t="b">
        <v>0</v>
      </c>
      <c r="S829" t="s">
        <v>30</v>
      </c>
      <c r="T829">
        <v>3630</v>
      </c>
      <c r="U829" t="s">
        <v>38</v>
      </c>
      <c r="V829" t="s">
        <v>69</v>
      </c>
      <c r="W829" t="s">
        <v>33</v>
      </c>
    </row>
    <row r="830" spans="1:23">
      <c r="A830">
        <v>9259</v>
      </c>
      <c r="B830" t="s">
        <v>241</v>
      </c>
      <c r="C830" s="1" t="s">
        <v>685</v>
      </c>
      <c r="D830" s="1">
        <v>45485</v>
      </c>
      <c r="E830">
        <v>11.99</v>
      </c>
      <c r="F830">
        <v>219</v>
      </c>
      <c r="G830" t="s">
        <v>63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92</v>
      </c>
      <c r="N830" t="s">
        <v>75</v>
      </c>
      <c r="O830" t="s">
        <v>57</v>
      </c>
      <c r="P830">
        <v>69</v>
      </c>
      <c r="Q830">
        <v>3.9</v>
      </c>
      <c r="R830" t="b">
        <v>1</v>
      </c>
      <c r="S830" t="s">
        <v>30</v>
      </c>
      <c r="T830">
        <v>1457</v>
      </c>
      <c r="U830" t="s">
        <v>65</v>
      </c>
      <c r="V830" t="s">
        <v>69</v>
      </c>
      <c r="W830" t="s">
        <v>33</v>
      </c>
    </row>
    <row r="831" spans="1:23">
      <c r="A831">
        <v>2170</v>
      </c>
      <c r="B831" t="s">
        <v>148</v>
      </c>
      <c r="C831" s="1">
        <v>45118</v>
      </c>
      <c r="D831" s="1" t="s">
        <v>35</v>
      </c>
      <c r="E831">
        <v>15.99</v>
      </c>
      <c r="F831">
        <v>335</v>
      </c>
      <c r="G831" t="s">
        <v>26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43</v>
      </c>
      <c r="N831" t="s">
        <v>28</v>
      </c>
      <c r="O831" t="s">
        <v>29</v>
      </c>
      <c r="P831">
        <v>81</v>
      </c>
      <c r="Q831">
        <v>4.7</v>
      </c>
      <c r="R831" t="b">
        <v>1</v>
      </c>
      <c r="S831" t="s">
        <v>30</v>
      </c>
      <c r="T831">
        <v>3332</v>
      </c>
      <c r="U831" t="s">
        <v>65</v>
      </c>
      <c r="V831" t="s">
        <v>59</v>
      </c>
      <c r="W831" t="s">
        <v>33</v>
      </c>
    </row>
    <row r="832" spans="1:23">
      <c r="A832">
        <v>2237</v>
      </c>
      <c r="B832" t="s">
        <v>248</v>
      </c>
      <c r="C832" s="1">
        <v>45144</v>
      </c>
      <c r="D832" s="1" t="s">
        <v>103</v>
      </c>
      <c r="E832">
        <v>7.99</v>
      </c>
      <c r="F832">
        <v>435</v>
      </c>
      <c r="G832" t="s">
        <v>73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55</v>
      </c>
      <c r="N832" t="s">
        <v>28</v>
      </c>
      <c r="O832" t="s">
        <v>37</v>
      </c>
      <c r="P832">
        <v>24</v>
      </c>
      <c r="Q832">
        <v>4.8</v>
      </c>
      <c r="R832" t="b">
        <v>1</v>
      </c>
      <c r="S832" t="s">
        <v>30</v>
      </c>
      <c r="T832">
        <v>3815</v>
      </c>
      <c r="U832" t="s">
        <v>65</v>
      </c>
      <c r="V832" t="s">
        <v>32</v>
      </c>
      <c r="W832" t="s">
        <v>93</v>
      </c>
    </row>
    <row r="833" spans="1:23">
      <c r="A833">
        <v>2697</v>
      </c>
      <c r="B833" t="s">
        <v>174</v>
      </c>
      <c r="C833" s="1">
        <v>45570</v>
      </c>
      <c r="D833" s="1">
        <v>45547</v>
      </c>
      <c r="E833">
        <v>15.99</v>
      </c>
      <c r="F833">
        <v>423</v>
      </c>
      <c r="G833" t="s">
        <v>36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27</v>
      </c>
      <c r="N833" t="s">
        <v>44</v>
      </c>
      <c r="O833" t="s">
        <v>57</v>
      </c>
      <c r="P833">
        <v>0</v>
      </c>
      <c r="Q833">
        <v>4.5</v>
      </c>
      <c r="R833" t="b">
        <v>0</v>
      </c>
      <c r="S833" t="s">
        <v>30</v>
      </c>
      <c r="T833">
        <v>3859</v>
      </c>
      <c r="U833" t="s">
        <v>31</v>
      </c>
      <c r="V833" t="s">
        <v>79</v>
      </c>
      <c r="W833" t="s">
        <v>33</v>
      </c>
    </row>
    <row r="834" spans="1:23">
      <c r="A834">
        <v>4488</v>
      </c>
      <c r="B834" t="s">
        <v>281</v>
      </c>
      <c r="C834" s="1" t="s">
        <v>652</v>
      </c>
      <c r="D834" s="1">
        <v>45424</v>
      </c>
      <c r="E834">
        <v>7.99</v>
      </c>
      <c r="F834">
        <v>304</v>
      </c>
      <c r="G834" t="s">
        <v>100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43</v>
      </c>
      <c r="N834" t="s">
        <v>28</v>
      </c>
      <c r="O834" t="s">
        <v>64</v>
      </c>
      <c r="P834">
        <v>48</v>
      </c>
      <c r="Q834">
        <v>3.2</v>
      </c>
      <c r="R834" t="b">
        <v>0</v>
      </c>
      <c r="S834" t="s">
        <v>30</v>
      </c>
      <c r="T834">
        <v>3923</v>
      </c>
      <c r="U834" t="s">
        <v>58</v>
      </c>
      <c r="V834" t="s">
        <v>39</v>
      </c>
      <c r="W834" t="s">
        <v>33</v>
      </c>
    </row>
    <row r="835" spans="1:23">
      <c r="A835">
        <v>5291</v>
      </c>
      <c r="B835" t="s">
        <v>686</v>
      </c>
      <c r="C835" s="1" t="s">
        <v>535</v>
      </c>
      <c r="D835" s="1" t="s">
        <v>72</v>
      </c>
      <c r="E835">
        <v>11.99</v>
      </c>
      <c r="F835">
        <v>455</v>
      </c>
      <c r="G835" t="s">
        <v>36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74</v>
      </c>
      <c r="N835" t="s">
        <v>44</v>
      </c>
      <c r="O835" t="s">
        <v>64</v>
      </c>
      <c r="P835">
        <v>37</v>
      </c>
      <c r="Q835">
        <v>4.2</v>
      </c>
      <c r="R835" t="b">
        <v>0</v>
      </c>
      <c r="S835" t="s">
        <v>30</v>
      </c>
      <c r="T835">
        <v>4486</v>
      </c>
      <c r="U835" t="s">
        <v>76</v>
      </c>
      <c r="V835" t="s">
        <v>59</v>
      </c>
      <c r="W835" t="s">
        <v>93</v>
      </c>
    </row>
    <row r="836" spans="1:23">
      <c r="A836">
        <v>6287</v>
      </c>
      <c r="B836" t="s">
        <v>491</v>
      </c>
      <c r="C836" s="1" t="s">
        <v>687</v>
      </c>
      <c r="D836" s="1" t="s">
        <v>90</v>
      </c>
      <c r="E836">
        <v>11.99</v>
      </c>
      <c r="F836">
        <v>449</v>
      </c>
      <c r="G836" t="s">
        <v>51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43</v>
      </c>
      <c r="N836" t="s">
        <v>44</v>
      </c>
      <c r="O836" t="s">
        <v>64</v>
      </c>
      <c r="P836">
        <v>62</v>
      </c>
      <c r="Q836">
        <v>5</v>
      </c>
      <c r="R836" t="b">
        <v>0</v>
      </c>
      <c r="S836" t="s">
        <v>30</v>
      </c>
      <c r="T836">
        <v>993</v>
      </c>
      <c r="U836" t="s">
        <v>38</v>
      </c>
      <c r="V836" t="s">
        <v>39</v>
      </c>
      <c r="W836" t="s">
        <v>40</v>
      </c>
    </row>
    <row r="837" spans="1:23">
      <c r="A837">
        <v>1953</v>
      </c>
      <c r="B837" t="s">
        <v>667</v>
      </c>
      <c r="C837" s="1">
        <v>45180</v>
      </c>
      <c r="D837" s="1" t="s">
        <v>109</v>
      </c>
      <c r="E837">
        <v>15.99</v>
      </c>
      <c r="F837">
        <v>39</v>
      </c>
      <c r="G837" t="s">
        <v>36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74</v>
      </c>
      <c r="N837" t="s">
        <v>56</v>
      </c>
      <c r="O837" t="s">
        <v>57</v>
      </c>
      <c r="P837">
        <v>33</v>
      </c>
      <c r="Q837">
        <v>3.1</v>
      </c>
      <c r="R837" t="b">
        <v>1</v>
      </c>
      <c r="S837" t="s">
        <v>30</v>
      </c>
      <c r="T837">
        <v>631</v>
      </c>
      <c r="U837" t="s">
        <v>58</v>
      </c>
      <c r="V837" t="s">
        <v>39</v>
      </c>
      <c r="W837" t="s">
        <v>60</v>
      </c>
    </row>
    <row r="838" spans="1:23">
      <c r="A838">
        <v>3457</v>
      </c>
      <c r="B838" t="s">
        <v>286</v>
      </c>
      <c r="C838" s="1" t="s">
        <v>651</v>
      </c>
      <c r="D838" s="1" t="s">
        <v>54</v>
      </c>
      <c r="E838">
        <v>15.99</v>
      </c>
      <c r="F838">
        <v>139</v>
      </c>
      <c r="G838" t="s">
        <v>73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68</v>
      </c>
      <c r="N838" t="s">
        <v>44</v>
      </c>
      <c r="O838" t="s">
        <v>64</v>
      </c>
      <c r="P838">
        <v>16</v>
      </c>
      <c r="Q838">
        <v>3.7</v>
      </c>
      <c r="R838" t="b">
        <v>1</v>
      </c>
      <c r="S838" t="s">
        <v>30</v>
      </c>
      <c r="T838">
        <v>214</v>
      </c>
      <c r="U838" t="s">
        <v>58</v>
      </c>
      <c r="V838" t="s">
        <v>39</v>
      </c>
      <c r="W838" t="s">
        <v>33</v>
      </c>
    </row>
    <row r="839" spans="1:23">
      <c r="A839">
        <v>6504</v>
      </c>
      <c r="B839" t="s">
        <v>318</v>
      </c>
      <c r="C839" s="1" t="s">
        <v>111</v>
      </c>
      <c r="D839" s="1" t="s">
        <v>103</v>
      </c>
      <c r="E839">
        <v>7.99</v>
      </c>
      <c r="F839">
        <v>345</v>
      </c>
      <c r="G839" t="s">
        <v>48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43</v>
      </c>
      <c r="N839" t="s">
        <v>44</v>
      </c>
      <c r="O839" t="s">
        <v>45</v>
      </c>
      <c r="P839">
        <v>70</v>
      </c>
      <c r="Q839">
        <v>3.8</v>
      </c>
      <c r="R839" t="b">
        <v>0</v>
      </c>
      <c r="S839" t="s">
        <v>30</v>
      </c>
      <c r="T839">
        <v>2327</v>
      </c>
      <c r="U839" t="s">
        <v>38</v>
      </c>
      <c r="V839" t="s">
        <v>59</v>
      </c>
      <c r="W839" t="s">
        <v>33</v>
      </c>
    </row>
    <row r="840" spans="1:23">
      <c r="A840">
        <v>7463</v>
      </c>
      <c r="B840" t="s">
        <v>389</v>
      </c>
      <c r="C840" s="1" t="s">
        <v>136</v>
      </c>
      <c r="D840" s="1">
        <v>45455</v>
      </c>
      <c r="E840">
        <v>11.99</v>
      </c>
      <c r="F840">
        <v>500</v>
      </c>
      <c r="G840" t="s">
        <v>51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92</v>
      </c>
      <c r="N840" t="s">
        <v>44</v>
      </c>
      <c r="O840" t="s">
        <v>29</v>
      </c>
      <c r="P840">
        <v>100</v>
      </c>
      <c r="Q840">
        <v>4</v>
      </c>
      <c r="R840" t="b">
        <v>0</v>
      </c>
      <c r="S840" t="s">
        <v>30</v>
      </c>
      <c r="T840">
        <v>3679</v>
      </c>
      <c r="U840" t="s">
        <v>58</v>
      </c>
      <c r="V840" t="s">
        <v>79</v>
      </c>
      <c r="W840" t="s">
        <v>40</v>
      </c>
    </row>
    <row r="841" spans="1:23">
      <c r="A841">
        <v>3898</v>
      </c>
      <c r="B841" t="s">
        <v>98</v>
      </c>
      <c r="C841" s="1">
        <v>45476</v>
      </c>
      <c r="D841" s="1" t="s">
        <v>105</v>
      </c>
      <c r="E841">
        <v>11.99</v>
      </c>
      <c r="F841">
        <v>365</v>
      </c>
      <c r="G841" t="s">
        <v>73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49</v>
      </c>
      <c r="N841" t="s">
        <v>28</v>
      </c>
      <c r="O841" t="s">
        <v>37</v>
      </c>
      <c r="P841">
        <v>65</v>
      </c>
      <c r="Q841">
        <v>4.2</v>
      </c>
      <c r="R841" t="b">
        <v>0</v>
      </c>
      <c r="S841" t="s">
        <v>30</v>
      </c>
      <c r="T841">
        <v>2238</v>
      </c>
      <c r="U841" t="s">
        <v>31</v>
      </c>
      <c r="V841" t="s">
        <v>79</v>
      </c>
      <c r="W841" t="s">
        <v>93</v>
      </c>
    </row>
    <row r="842" spans="1:23">
      <c r="A842">
        <v>8481</v>
      </c>
      <c r="B842" t="s">
        <v>130</v>
      </c>
      <c r="C842" s="1" t="s">
        <v>688</v>
      </c>
      <c r="D842" s="1">
        <v>45516</v>
      </c>
      <c r="E842">
        <v>7.99</v>
      </c>
      <c r="F842">
        <v>479</v>
      </c>
      <c r="G842" t="s">
        <v>100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43</v>
      </c>
      <c r="N842" t="s">
        <v>75</v>
      </c>
      <c r="O842" t="s">
        <v>37</v>
      </c>
      <c r="P842">
        <v>7</v>
      </c>
      <c r="Q842">
        <v>4.2</v>
      </c>
      <c r="R842" t="b">
        <v>1</v>
      </c>
      <c r="S842" t="s">
        <v>30</v>
      </c>
      <c r="T842">
        <v>3655</v>
      </c>
      <c r="U842" t="s">
        <v>58</v>
      </c>
      <c r="V842" t="s">
        <v>59</v>
      </c>
      <c r="W842" t="s">
        <v>40</v>
      </c>
    </row>
    <row r="843" spans="1:23">
      <c r="A843">
        <v>7810</v>
      </c>
      <c r="B843" t="s">
        <v>41</v>
      </c>
      <c r="C843" s="1" t="s">
        <v>321</v>
      </c>
      <c r="D843" s="1">
        <v>45485</v>
      </c>
      <c r="E843">
        <v>7.99</v>
      </c>
      <c r="F843">
        <v>63</v>
      </c>
      <c r="G843" t="s">
        <v>63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92</v>
      </c>
      <c r="N843" t="s">
        <v>75</v>
      </c>
      <c r="O843" t="s">
        <v>45</v>
      </c>
      <c r="P843">
        <v>17</v>
      </c>
      <c r="Q843">
        <v>4.9000000000000004</v>
      </c>
      <c r="R843" t="b">
        <v>1</v>
      </c>
      <c r="S843" t="s">
        <v>30</v>
      </c>
      <c r="T843">
        <v>1587</v>
      </c>
      <c r="U843" t="s">
        <v>65</v>
      </c>
      <c r="V843" t="s">
        <v>59</v>
      </c>
      <c r="W843" t="s">
        <v>93</v>
      </c>
    </row>
    <row r="844" spans="1:23">
      <c r="A844">
        <v>6534</v>
      </c>
      <c r="B844" t="s">
        <v>434</v>
      </c>
      <c r="C844" s="1">
        <v>45050</v>
      </c>
      <c r="D844" s="1">
        <v>45608</v>
      </c>
      <c r="E844">
        <v>11.99</v>
      </c>
      <c r="F844">
        <v>104</v>
      </c>
      <c r="G844" t="s">
        <v>51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49</v>
      </c>
      <c r="N844" t="s">
        <v>28</v>
      </c>
      <c r="O844" t="s">
        <v>37</v>
      </c>
      <c r="P844">
        <v>56</v>
      </c>
      <c r="Q844">
        <v>3.9</v>
      </c>
      <c r="R844" t="b">
        <v>1</v>
      </c>
      <c r="S844" t="s">
        <v>30</v>
      </c>
      <c r="T844">
        <v>4501</v>
      </c>
      <c r="U844" t="s">
        <v>38</v>
      </c>
      <c r="V844" t="s">
        <v>32</v>
      </c>
      <c r="W844" t="s">
        <v>33</v>
      </c>
    </row>
    <row r="845" spans="1:23">
      <c r="A845">
        <v>6025</v>
      </c>
      <c r="B845" t="s">
        <v>290</v>
      </c>
      <c r="C845" s="1" t="s">
        <v>565</v>
      </c>
      <c r="D845" s="1" t="s">
        <v>87</v>
      </c>
      <c r="E845">
        <v>15.99</v>
      </c>
      <c r="F845">
        <v>380</v>
      </c>
      <c r="G845" t="s">
        <v>63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68</v>
      </c>
      <c r="N845" t="s">
        <v>75</v>
      </c>
      <c r="O845" t="s">
        <v>45</v>
      </c>
      <c r="P845">
        <v>74</v>
      </c>
      <c r="Q845">
        <v>3.4</v>
      </c>
      <c r="R845" t="b">
        <v>1</v>
      </c>
      <c r="S845" t="s">
        <v>30</v>
      </c>
      <c r="T845">
        <v>1910</v>
      </c>
      <c r="U845" t="s">
        <v>76</v>
      </c>
      <c r="V845" t="s">
        <v>69</v>
      </c>
      <c r="W845" t="s">
        <v>60</v>
      </c>
    </row>
    <row r="846" spans="1:23">
      <c r="A846">
        <v>5825</v>
      </c>
      <c r="B846" t="s">
        <v>689</v>
      </c>
      <c r="C846" s="1">
        <v>45628</v>
      </c>
      <c r="D846" s="1" t="s">
        <v>25</v>
      </c>
      <c r="E846">
        <v>7.99</v>
      </c>
      <c r="F846">
        <v>500</v>
      </c>
      <c r="G846" t="s">
        <v>36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74</v>
      </c>
      <c r="N846" t="s">
        <v>75</v>
      </c>
      <c r="O846" t="s">
        <v>78</v>
      </c>
      <c r="P846">
        <v>11</v>
      </c>
      <c r="Q846">
        <v>3.6</v>
      </c>
      <c r="R846" t="b">
        <v>0</v>
      </c>
      <c r="S846" t="s">
        <v>30</v>
      </c>
      <c r="T846">
        <v>2731</v>
      </c>
      <c r="U846" t="s">
        <v>31</v>
      </c>
      <c r="V846" t="s">
        <v>69</v>
      </c>
      <c r="W846" t="s">
        <v>33</v>
      </c>
    </row>
    <row r="847" spans="1:23">
      <c r="A847">
        <v>1185</v>
      </c>
      <c r="B847" t="s">
        <v>355</v>
      </c>
      <c r="C847" s="1" t="s">
        <v>690</v>
      </c>
      <c r="D847" s="1" t="s">
        <v>35</v>
      </c>
      <c r="E847">
        <v>15.99</v>
      </c>
      <c r="F847">
        <v>247</v>
      </c>
      <c r="G847" t="s">
        <v>100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49</v>
      </c>
      <c r="N847" t="s">
        <v>28</v>
      </c>
      <c r="O847" t="s">
        <v>57</v>
      </c>
      <c r="P847">
        <v>85</v>
      </c>
      <c r="Q847">
        <v>3.5</v>
      </c>
      <c r="R847" t="b">
        <v>1</v>
      </c>
      <c r="S847" t="s">
        <v>30</v>
      </c>
      <c r="T847">
        <v>4517</v>
      </c>
      <c r="U847" t="s">
        <v>31</v>
      </c>
      <c r="V847" t="s">
        <v>32</v>
      </c>
      <c r="W847" t="s">
        <v>40</v>
      </c>
    </row>
    <row r="848" spans="1:23">
      <c r="A848">
        <v>4392</v>
      </c>
      <c r="B848" t="s">
        <v>395</v>
      </c>
      <c r="C848" s="1" t="s">
        <v>182</v>
      </c>
      <c r="D848" s="1">
        <v>45424</v>
      </c>
      <c r="E848">
        <v>11.99</v>
      </c>
      <c r="F848">
        <v>486</v>
      </c>
      <c r="G848" t="s">
        <v>48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27</v>
      </c>
      <c r="N848" t="s">
        <v>56</v>
      </c>
      <c r="O848" t="s">
        <v>37</v>
      </c>
      <c r="P848">
        <v>59</v>
      </c>
      <c r="Q848">
        <v>4.4000000000000004</v>
      </c>
      <c r="R848" t="b">
        <v>0</v>
      </c>
      <c r="S848" t="s">
        <v>30</v>
      </c>
      <c r="T848">
        <v>1238</v>
      </c>
      <c r="U848" t="s">
        <v>65</v>
      </c>
      <c r="V848" t="s">
        <v>32</v>
      </c>
      <c r="W848" t="s">
        <v>60</v>
      </c>
    </row>
    <row r="849" spans="1:23">
      <c r="A849">
        <v>5785</v>
      </c>
      <c r="B849" t="s">
        <v>101</v>
      </c>
      <c r="C849" s="1">
        <v>45568</v>
      </c>
      <c r="D849" s="1" t="s">
        <v>54</v>
      </c>
      <c r="E849">
        <v>7.99</v>
      </c>
      <c r="F849">
        <v>220</v>
      </c>
      <c r="G849" t="s">
        <v>26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55</v>
      </c>
      <c r="N849" t="s">
        <v>44</v>
      </c>
      <c r="O849" t="s">
        <v>64</v>
      </c>
      <c r="P849">
        <v>17</v>
      </c>
      <c r="Q849">
        <v>4.4000000000000004</v>
      </c>
      <c r="R849" t="b">
        <v>0</v>
      </c>
      <c r="S849" t="s">
        <v>30</v>
      </c>
      <c r="T849">
        <v>1786</v>
      </c>
      <c r="U849" t="s">
        <v>58</v>
      </c>
      <c r="V849" t="s">
        <v>79</v>
      </c>
      <c r="W849" t="s">
        <v>60</v>
      </c>
    </row>
    <row r="850" spans="1:23">
      <c r="A850">
        <v>4718</v>
      </c>
      <c r="B850" t="s">
        <v>130</v>
      </c>
      <c r="C850" s="1" t="s">
        <v>662</v>
      </c>
      <c r="D850" s="1" t="s">
        <v>87</v>
      </c>
      <c r="E850">
        <v>15.99</v>
      </c>
      <c r="F850">
        <v>21</v>
      </c>
      <c r="G850" t="s">
        <v>36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55</v>
      </c>
      <c r="N850" t="s">
        <v>56</v>
      </c>
      <c r="O850" t="s">
        <v>29</v>
      </c>
      <c r="P850">
        <v>88</v>
      </c>
      <c r="Q850">
        <v>3.5</v>
      </c>
      <c r="R850" t="b">
        <v>1</v>
      </c>
      <c r="S850" t="s">
        <v>30</v>
      </c>
      <c r="T850">
        <v>1683</v>
      </c>
      <c r="U850" t="s">
        <v>76</v>
      </c>
      <c r="V850" t="s">
        <v>79</v>
      </c>
      <c r="W850" t="s">
        <v>60</v>
      </c>
    </row>
    <row r="851" spans="1:23">
      <c r="A851">
        <v>3992</v>
      </c>
      <c r="B851" t="s">
        <v>224</v>
      </c>
      <c r="C851" s="1" t="s">
        <v>62</v>
      </c>
      <c r="D851" s="1" t="s">
        <v>87</v>
      </c>
      <c r="E851">
        <v>11.99</v>
      </c>
      <c r="F851">
        <v>417</v>
      </c>
      <c r="G851" t="s">
        <v>26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74</v>
      </c>
      <c r="N851" t="s">
        <v>44</v>
      </c>
      <c r="O851" t="s">
        <v>57</v>
      </c>
      <c r="P851">
        <v>91</v>
      </c>
      <c r="Q851">
        <v>3.3</v>
      </c>
      <c r="R851" t="b">
        <v>1</v>
      </c>
      <c r="S851" t="s">
        <v>30</v>
      </c>
      <c r="T851">
        <v>996</v>
      </c>
      <c r="U851" t="s">
        <v>65</v>
      </c>
      <c r="V851" t="s">
        <v>39</v>
      </c>
      <c r="W851" t="s">
        <v>40</v>
      </c>
    </row>
    <row r="852" spans="1:23">
      <c r="A852">
        <v>6100</v>
      </c>
      <c r="B852" t="s">
        <v>517</v>
      </c>
      <c r="C852" s="1" t="s">
        <v>220</v>
      </c>
      <c r="D852" s="1" t="s">
        <v>84</v>
      </c>
      <c r="E852">
        <v>11.99</v>
      </c>
      <c r="F852">
        <v>191</v>
      </c>
      <c r="G852" t="s">
        <v>73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74</v>
      </c>
      <c r="N852" t="s">
        <v>75</v>
      </c>
      <c r="O852" t="s">
        <v>29</v>
      </c>
      <c r="P852">
        <v>37</v>
      </c>
      <c r="Q852">
        <v>4.0999999999999996</v>
      </c>
      <c r="R852" t="b">
        <v>0</v>
      </c>
      <c r="S852" t="s">
        <v>30</v>
      </c>
      <c r="T852">
        <v>608</v>
      </c>
      <c r="U852" t="s">
        <v>31</v>
      </c>
      <c r="V852" t="s">
        <v>59</v>
      </c>
      <c r="W852" t="s">
        <v>40</v>
      </c>
    </row>
    <row r="853" spans="1:23">
      <c r="A853">
        <v>8495</v>
      </c>
      <c r="B853" t="s">
        <v>691</v>
      </c>
      <c r="C853" s="1">
        <v>45536</v>
      </c>
      <c r="D853" s="1" t="s">
        <v>214</v>
      </c>
      <c r="E853">
        <v>7.99</v>
      </c>
      <c r="F853">
        <v>460</v>
      </c>
      <c r="G853" t="s">
        <v>73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92</v>
      </c>
      <c r="N853" t="s">
        <v>56</v>
      </c>
      <c r="O853" t="s">
        <v>37</v>
      </c>
      <c r="P853">
        <v>58</v>
      </c>
      <c r="Q853">
        <v>3.6</v>
      </c>
      <c r="R853" t="b">
        <v>0</v>
      </c>
      <c r="S853" t="s">
        <v>30</v>
      </c>
      <c r="T853">
        <v>4650</v>
      </c>
      <c r="U853" t="s">
        <v>38</v>
      </c>
      <c r="V853" t="s">
        <v>79</v>
      </c>
      <c r="W853" t="s">
        <v>60</v>
      </c>
    </row>
    <row r="854" spans="1:23">
      <c r="A854">
        <v>3083</v>
      </c>
      <c r="B854" t="s">
        <v>631</v>
      </c>
      <c r="C854" s="1">
        <v>45055</v>
      </c>
      <c r="D854" s="1" t="s">
        <v>25</v>
      </c>
      <c r="E854">
        <v>7.99</v>
      </c>
      <c r="F854">
        <v>413</v>
      </c>
      <c r="G854" t="s">
        <v>51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27</v>
      </c>
      <c r="N854" t="s">
        <v>56</v>
      </c>
      <c r="O854" t="s">
        <v>37</v>
      </c>
      <c r="P854">
        <v>87</v>
      </c>
      <c r="Q854">
        <v>3.2</v>
      </c>
      <c r="R854" t="b">
        <v>1</v>
      </c>
      <c r="S854" t="s">
        <v>30</v>
      </c>
      <c r="T854">
        <v>1340</v>
      </c>
      <c r="U854" t="s">
        <v>65</v>
      </c>
      <c r="V854" t="s">
        <v>32</v>
      </c>
      <c r="W854" t="s">
        <v>33</v>
      </c>
    </row>
    <row r="855" spans="1:23">
      <c r="A855">
        <v>9936</v>
      </c>
      <c r="B855" t="s">
        <v>147</v>
      </c>
      <c r="C855" s="1">
        <v>45235</v>
      </c>
      <c r="D855" s="1" t="s">
        <v>72</v>
      </c>
      <c r="E855">
        <v>7.99</v>
      </c>
      <c r="F855">
        <v>484</v>
      </c>
      <c r="G855" t="s">
        <v>26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74</v>
      </c>
      <c r="N855" t="s">
        <v>56</v>
      </c>
      <c r="O855" t="s">
        <v>29</v>
      </c>
      <c r="P855">
        <v>5</v>
      </c>
      <c r="Q855">
        <v>4.5999999999999996</v>
      </c>
      <c r="R855" t="b">
        <v>1</v>
      </c>
      <c r="S855" t="s">
        <v>30</v>
      </c>
      <c r="T855">
        <v>1821</v>
      </c>
      <c r="U855" t="s">
        <v>31</v>
      </c>
      <c r="V855" t="s">
        <v>39</v>
      </c>
      <c r="W855" t="s">
        <v>60</v>
      </c>
    </row>
    <row r="856" spans="1:23">
      <c r="A856">
        <v>2418</v>
      </c>
      <c r="B856" t="s">
        <v>186</v>
      </c>
      <c r="C856" s="1">
        <v>45391</v>
      </c>
      <c r="D856" s="1" t="s">
        <v>54</v>
      </c>
      <c r="E856">
        <v>15.99</v>
      </c>
      <c r="F856">
        <v>227</v>
      </c>
      <c r="G856" t="s">
        <v>100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27</v>
      </c>
      <c r="N856" t="s">
        <v>56</v>
      </c>
      <c r="O856" t="s">
        <v>78</v>
      </c>
      <c r="P856">
        <v>6</v>
      </c>
      <c r="Q856">
        <v>3.4</v>
      </c>
      <c r="R856" t="b">
        <v>1</v>
      </c>
      <c r="S856" t="s">
        <v>30</v>
      </c>
      <c r="T856">
        <v>3020</v>
      </c>
      <c r="U856" t="s">
        <v>65</v>
      </c>
      <c r="V856" t="s">
        <v>69</v>
      </c>
      <c r="W856" t="s">
        <v>40</v>
      </c>
    </row>
    <row r="857" spans="1:23">
      <c r="A857">
        <v>4089</v>
      </c>
      <c r="B857" t="s">
        <v>120</v>
      </c>
      <c r="C857" s="1">
        <v>45516</v>
      </c>
      <c r="D857" s="1" t="s">
        <v>72</v>
      </c>
      <c r="E857">
        <v>11.99</v>
      </c>
      <c r="F857">
        <v>313</v>
      </c>
      <c r="G857" t="s">
        <v>48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43</v>
      </c>
      <c r="N857" t="s">
        <v>44</v>
      </c>
      <c r="O857" t="s">
        <v>78</v>
      </c>
      <c r="P857">
        <v>87</v>
      </c>
      <c r="Q857">
        <v>4.8</v>
      </c>
      <c r="R857" t="b">
        <v>0</v>
      </c>
      <c r="S857" t="s">
        <v>30</v>
      </c>
      <c r="T857">
        <v>1243</v>
      </c>
      <c r="U857" t="s">
        <v>31</v>
      </c>
      <c r="V857" t="s">
        <v>79</v>
      </c>
      <c r="W857" t="s">
        <v>93</v>
      </c>
    </row>
    <row r="858" spans="1:23">
      <c r="A858">
        <v>8876</v>
      </c>
      <c r="B858" t="s">
        <v>692</v>
      </c>
      <c r="C858" s="1" t="s">
        <v>412</v>
      </c>
      <c r="D858" s="1" t="s">
        <v>109</v>
      </c>
      <c r="E858">
        <v>11.99</v>
      </c>
      <c r="F858">
        <v>491</v>
      </c>
      <c r="G858" t="s">
        <v>63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55</v>
      </c>
      <c r="N858" t="s">
        <v>28</v>
      </c>
      <c r="O858" t="s">
        <v>78</v>
      </c>
      <c r="P858">
        <v>44</v>
      </c>
      <c r="Q858">
        <v>4.4000000000000004</v>
      </c>
      <c r="R858" t="b">
        <v>1</v>
      </c>
      <c r="S858" t="s">
        <v>30</v>
      </c>
      <c r="T858">
        <v>540</v>
      </c>
      <c r="U858" t="s">
        <v>31</v>
      </c>
      <c r="V858" t="s">
        <v>39</v>
      </c>
      <c r="W858" t="s">
        <v>93</v>
      </c>
    </row>
    <row r="859" spans="1:23">
      <c r="A859">
        <v>3959</v>
      </c>
      <c r="B859" t="s">
        <v>373</v>
      </c>
      <c r="C859" s="1" t="s">
        <v>370</v>
      </c>
      <c r="D859" s="1" t="s">
        <v>129</v>
      </c>
      <c r="E859">
        <v>15.99</v>
      </c>
      <c r="F859">
        <v>50</v>
      </c>
      <c r="G859" t="s">
        <v>48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27</v>
      </c>
      <c r="N859" t="s">
        <v>44</v>
      </c>
      <c r="O859" t="s">
        <v>37</v>
      </c>
      <c r="P859">
        <v>92</v>
      </c>
      <c r="Q859">
        <v>4.3</v>
      </c>
      <c r="R859" t="b">
        <v>0</v>
      </c>
      <c r="S859" t="s">
        <v>30</v>
      </c>
      <c r="T859">
        <v>2583</v>
      </c>
      <c r="U859" t="s">
        <v>38</v>
      </c>
      <c r="V859" t="s">
        <v>69</v>
      </c>
      <c r="W859" t="s">
        <v>93</v>
      </c>
    </row>
    <row r="860" spans="1:23">
      <c r="A860">
        <v>2011</v>
      </c>
      <c r="B860" t="s">
        <v>693</v>
      </c>
      <c r="C860" s="1" t="s">
        <v>333</v>
      </c>
      <c r="D860" s="1">
        <v>45394</v>
      </c>
      <c r="E860">
        <v>7.99</v>
      </c>
      <c r="F860">
        <v>73</v>
      </c>
      <c r="G860" t="s">
        <v>100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55</v>
      </c>
      <c r="N860" t="s">
        <v>75</v>
      </c>
      <c r="O860" t="s">
        <v>64</v>
      </c>
      <c r="P860">
        <v>41</v>
      </c>
      <c r="Q860">
        <v>4.8</v>
      </c>
      <c r="R860" t="b">
        <v>0</v>
      </c>
      <c r="S860" t="s">
        <v>30</v>
      </c>
      <c r="T860">
        <v>3463</v>
      </c>
      <c r="U860" t="s">
        <v>31</v>
      </c>
      <c r="V860" t="s">
        <v>32</v>
      </c>
      <c r="W860" t="s">
        <v>60</v>
      </c>
    </row>
    <row r="861" spans="1:23">
      <c r="A861">
        <v>7896</v>
      </c>
      <c r="B861" t="s">
        <v>157</v>
      </c>
      <c r="C861" s="1" t="s">
        <v>694</v>
      </c>
      <c r="D861" s="1" t="s">
        <v>168</v>
      </c>
      <c r="E861">
        <v>11.99</v>
      </c>
      <c r="F861">
        <v>139</v>
      </c>
      <c r="G861" t="s">
        <v>48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43</v>
      </c>
      <c r="N861" t="s">
        <v>44</v>
      </c>
      <c r="O861" t="s">
        <v>37</v>
      </c>
      <c r="P861">
        <v>48</v>
      </c>
      <c r="Q861">
        <v>3.8</v>
      </c>
      <c r="R861" t="b">
        <v>1</v>
      </c>
      <c r="S861" t="s">
        <v>30</v>
      </c>
      <c r="T861">
        <v>4130</v>
      </c>
      <c r="U861" t="s">
        <v>38</v>
      </c>
      <c r="V861" t="s">
        <v>32</v>
      </c>
      <c r="W861" t="s">
        <v>93</v>
      </c>
    </row>
    <row r="862" spans="1:23">
      <c r="A862">
        <v>5495</v>
      </c>
      <c r="B862" t="s">
        <v>695</v>
      </c>
      <c r="C862" s="1" t="s">
        <v>585</v>
      </c>
      <c r="D862" s="1" t="s">
        <v>168</v>
      </c>
      <c r="E862">
        <v>11.99</v>
      </c>
      <c r="F862">
        <v>327</v>
      </c>
      <c r="G862" t="s">
        <v>51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27</v>
      </c>
      <c r="N862" t="s">
        <v>44</v>
      </c>
      <c r="O862" t="s">
        <v>78</v>
      </c>
      <c r="P862">
        <v>90</v>
      </c>
      <c r="Q862">
        <v>3.4</v>
      </c>
      <c r="R862" t="b">
        <v>0</v>
      </c>
      <c r="S862" t="s">
        <v>30</v>
      </c>
      <c r="T862">
        <v>3918</v>
      </c>
      <c r="U862" t="s">
        <v>65</v>
      </c>
      <c r="V862" t="s">
        <v>59</v>
      </c>
      <c r="W862" t="s">
        <v>33</v>
      </c>
    </row>
    <row r="863" spans="1:23">
      <c r="A863">
        <v>6219</v>
      </c>
      <c r="B863" t="s">
        <v>318</v>
      </c>
      <c r="C863" s="1" t="s">
        <v>205</v>
      </c>
      <c r="D863" s="1" t="s">
        <v>129</v>
      </c>
      <c r="E863">
        <v>11.99</v>
      </c>
      <c r="F863">
        <v>206</v>
      </c>
      <c r="G863" t="s">
        <v>36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49</v>
      </c>
      <c r="N863" t="s">
        <v>28</v>
      </c>
      <c r="O863" t="s">
        <v>64</v>
      </c>
      <c r="P863">
        <v>41</v>
      </c>
      <c r="Q863">
        <v>4.4000000000000004</v>
      </c>
      <c r="R863" t="b">
        <v>1</v>
      </c>
      <c r="S863" t="s">
        <v>30</v>
      </c>
      <c r="T863">
        <v>4264</v>
      </c>
      <c r="U863" t="s">
        <v>38</v>
      </c>
      <c r="V863" t="s">
        <v>39</v>
      </c>
      <c r="W863" t="s">
        <v>33</v>
      </c>
    </row>
    <row r="864" spans="1:23">
      <c r="A864">
        <v>4458</v>
      </c>
      <c r="B864" t="s">
        <v>696</v>
      </c>
      <c r="C864" s="1" t="s">
        <v>697</v>
      </c>
      <c r="D864" s="1" t="s">
        <v>84</v>
      </c>
      <c r="E864">
        <v>15.99</v>
      </c>
      <c r="F864">
        <v>23</v>
      </c>
      <c r="G864" t="s">
        <v>48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55</v>
      </c>
      <c r="N864" t="s">
        <v>44</v>
      </c>
      <c r="O864" t="s">
        <v>45</v>
      </c>
      <c r="P864">
        <v>54</v>
      </c>
      <c r="Q864">
        <v>4.5</v>
      </c>
      <c r="R864" t="b">
        <v>1</v>
      </c>
      <c r="S864" t="s">
        <v>30</v>
      </c>
      <c r="T864">
        <v>1485</v>
      </c>
      <c r="U864" t="s">
        <v>76</v>
      </c>
      <c r="V864" t="s">
        <v>59</v>
      </c>
      <c r="W864" t="s">
        <v>40</v>
      </c>
    </row>
    <row r="865" spans="1:23">
      <c r="A865">
        <v>4115</v>
      </c>
      <c r="B865" t="s">
        <v>698</v>
      </c>
      <c r="C865" s="1" t="s">
        <v>156</v>
      </c>
      <c r="D865" s="1" t="s">
        <v>156</v>
      </c>
      <c r="E865">
        <v>15.99</v>
      </c>
      <c r="F865">
        <v>158</v>
      </c>
      <c r="G865" t="s">
        <v>73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55</v>
      </c>
      <c r="N865" t="s">
        <v>56</v>
      </c>
      <c r="O865" t="s">
        <v>29</v>
      </c>
      <c r="P865">
        <v>88</v>
      </c>
      <c r="Q865">
        <v>3.3</v>
      </c>
      <c r="R865" t="b">
        <v>0</v>
      </c>
      <c r="S865" t="s">
        <v>30</v>
      </c>
      <c r="T865">
        <v>3508</v>
      </c>
      <c r="U865" t="s">
        <v>58</v>
      </c>
      <c r="V865" t="s">
        <v>79</v>
      </c>
      <c r="W865" t="s">
        <v>93</v>
      </c>
    </row>
    <row r="866" spans="1:23">
      <c r="A866">
        <v>6586</v>
      </c>
      <c r="B866" t="s">
        <v>677</v>
      </c>
      <c r="C866" s="1" t="s">
        <v>457</v>
      </c>
      <c r="D866" s="1" t="s">
        <v>35</v>
      </c>
      <c r="E866">
        <v>15.99</v>
      </c>
      <c r="F866">
        <v>459</v>
      </c>
      <c r="G866" t="s">
        <v>73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92</v>
      </c>
      <c r="N866" t="s">
        <v>28</v>
      </c>
      <c r="O866" t="s">
        <v>29</v>
      </c>
      <c r="P866">
        <v>13</v>
      </c>
      <c r="Q866">
        <v>4.2</v>
      </c>
      <c r="R866" t="b">
        <v>0</v>
      </c>
      <c r="S866" t="s">
        <v>30</v>
      </c>
      <c r="T866">
        <v>3433</v>
      </c>
      <c r="U866" t="s">
        <v>38</v>
      </c>
      <c r="V866" t="s">
        <v>69</v>
      </c>
      <c r="W866" t="s">
        <v>40</v>
      </c>
    </row>
    <row r="867" spans="1:23">
      <c r="A867">
        <v>3985</v>
      </c>
      <c r="B867" t="s">
        <v>290</v>
      </c>
      <c r="C867" s="1">
        <v>45632</v>
      </c>
      <c r="D867" s="1">
        <v>45638</v>
      </c>
      <c r="E867">
        <v>15.99</v>
      </c>
      <c r="F867">
        <v>30</v>
      </c>
      <c r="G867" t="s">
        <v>51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74</v>
      </c>
      <c r="N867" t="s">
        <v>75</v>
      </c>
      <c r="O867" t="s">
        <v>57</v>
      </c>
      <c r="P867">
        <v>71</v>
      </c>
      <c r="Q867">
        <v>4.5999999999999996</v>
      </c>
      <c r="R867" t="b">
        <v>0</v>
      </c>
      <c r="S867" t="s">
        <v>30</v>
      </c>
      <c r="T867">
        <v>3610</v>
      </c>
      <c r="U867" t="s">
        <v>31</v>
      </c>
      <c r="V867" t="s">
        <v>69</v>
      </c>
      <c r="W867" t="s">
        <v>33</v>
      </c>
    </row>
    <row r="868" spans="1:23">
      <c r="A868">
        <v>8501</v>
      </c>
      <c r="B868" t="s">
        <v>106</v>
      </c>
      <c r="C868" s="1">
        <v>45508</v>
      </c>
      <c r="D868" s="1" t="s">
        <v>54</v>
      </c>
      <c r="E868">
        <v>11.99</v>
      </c>
      <c r="F868">
        <v>42</v>
      </c>
      <c r="G868" t="s">
        <v>51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27</v>
      </c>
      <c r="N868" t="s">
        <v>75</v>
      </c>
      <c r="O868" t="s">
        <v>64</v>
      </c>
      <c r="P868">
        <v>88</v>
      </c>
      <c r="Q868">
        <v>4.5999999999999996</v>
      </c>
      <c r="R868" t="b">
        <v>1</v>
      </c>
      <c r="S868" t="s">
        <v>30</v>
      </c>
      <c r="T868">
        <v>3307</v>
      </c>
      <c r="U868" t="s">
        <v>58</v>
      </c>
      <c r="V868" t="s">
        <v>59</v>
      </c>
      <c r="W868" t="s">
        <v>60</v>
      </c>
    </row>
    <row r="869" spans="1:23">
      <c r="A869">
        <v>4048</v>
      </c>
      <c r="B869" t="s">
        <v>186</v>
      </c>
      <c r="C869" s="1">
        <v>45328</v>
      </c>
      <c r="D869" s="1" t="s">
        <v>72</v>
      </c>
      <c r="E869">
        <v>11.99</v>
      </c>
      <c r="F869">
        <v>242</v>
      </c>
      <c r="G869" t="s">
        <v>63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74</v>
      </c>
      <c r="N869" t="s">
        <v>56</v>
      </c>
      <c r="O869" t="s">
        <v>78</v>
      </c>
      <c r="P869">
        <v>34</v>
      </c>
      <c r="Q869">
        <v>4.9000000000000004</v>
      </c>
      <c r="R869" t="b">
        <v>1</v>
      </c>
      <c r="S869" t="s">
        <v>30</v>
      </c>
      <c r="T869">
        <v>868</v>
      </c>
      <c r="U869" t="s">
        <v>58</v>
      </c>
      <c r="V869" t="s">
        <v>59</v>
      </c>
      <c r="W869" t="s">
        <v>60</v>
      </c>
    </row>
    <row r="870" spans="1:23">
      <c r="A870">
        <v>4466</v>
      </c>
      <c r="B870" t="s">
        <v>138</v>
      </c>
      <c r="C870" s="1">
        <v>45453</v>
      </c>
      <c r="D870" s="1" t="s">
        <v>99</v>
      </c>
      <c r="E870">
        <v>11.99</v>
      </c>
      <c r="F870">
        <v>25</v>
      </c>
      <c r="G870" t="s">
        <v>36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74</v>
      </c>
      <c r="N870" t="s">
        <v>44</v>
      </c>
      <c r="O870" t="s">
        <v>64</v>
      </c>
      <c r="P870">
        <v>82</v>
      </c>
      <c r="Q870">
        <v>4.3</v>
      </c>
      <c r="R870" t="b">
        <v>0</v>
      </c>
      <c r="S870" t="s">
        <v>30</v>
      </c>
      <c r="T870">
        <v>4358</v>
      </c>
      <c r="U870" t="s">
        <v>58</v>
      </c>
      <c r="V870" t="s">
        <v>39</v>
      </c>
      <c r="W870" t="s">
        <v>33</v>
      </c>
    </row>
    <row r="871" spans="1:23">
      <c r="A871">
        <v>5479</v>
      </c>
      <c r="B871" t="s">
        <v>179</v>
      </c>
      <c r="C871" s="1">
        <v>45019</v>
      </c>
      <c r="D871" s="1">
        <v>45516</v>
      </c>
      <c r="E871">
        <v>7.99</v>
      </c>
      <c r="F871">
        <v>140</v>
      </c>
      <c r="G871" t="s">
        <v>100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55</v>
      </c>
      <c r="N871" t="s">
        <v>28</v>
      </c>
      <c r="O871" t="s">
        <v>78</v>
      </c>
      <c r="P871">
        <v>86</v>
      </c>
      <c r="Q871">
        <v>3.6</v>
      </c>
      <c r="R871" t="b">
        <v>0</v>
      </c>
      <c r="S871" t="s">
        <v>30</v>
      </c>
      <c r="T871">
        <v>4552</v>
      </c>
      <c r="U871" t="s">
        <v>38</v>
      </c>
      <c r="V871" t="s">
        <v>79</v>
      </c>
      <c r="W871" t="s">
        <v>33</v>
      </c>
    </row>
    <row r="872" spans="1:23">
      <c r="A872">
        <v>2480</v>
      </c>
      <c r="B872" t="s">
        <v>618</v>
      </c>
      <c r="C872" s="1" t="s">
        <v>514</v>
      </c>
      <c r="D872" s="1" t="s">
        <v>72</v>
      </c>
      <c r="E872">
        <v>15.99</v>
      </c>
      <c r="F872">
        <v>192</v>
      </c>
      <c r="G872" t="s">
        <v>73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49</v>
      </c>
      <c r="N872" t="s">
        <v>75</v>
      </c>
      <c r="O872" t="s">
        <v>37</v>
      </c>
      <c r="P872">
        <v>75</v>
      </c>
      <c r="Q872">
        <v>3.3</v>
      </c>
      <c r="R872" t="b">
        <v>1</v>
      </c>
      <c r="S872" t="s">
        <v>30</v>
      </c>
      <c r="T872">
        <v>3003</v>
      </c>
      <c r="U872" t="s">
        <v>38</v>
      </c>
      <c r="V872" t="s">
        <v>59</v>
      </c>
      <c r="W872" t="s">
        <v>60</v>
      </c>
    </row>
    <row r="873" spans="1:23">
      <c r="A873">
        <v>6288</v>
      </c>
      <c r="B873" t="s">
        <v>271</v>
      </c>
      <c r="C873" s="1">
        <v>45326</v>
      </c>
      <c r="D873" s="1">
        <v>45608</v>
      </c>
      <c r="E873">
        <v>15.99</v>
      </c>
      <c r="F873">
        <v>267</v>
      </c>
      <c r="G873" t="s">
        <v>100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68</v>
      </c>
      <c r="N873" t="s">
        <v>28</v>
      </c>
      <c r="O873" t="s">
        <v>78</v>
      </c>
      <c r="P873">
        <v>7</v>
      </c>
      <c r="Q873">
        <v>4.8</v>
      </c>
      <c r="R873" t="b">
        <v>0</v>
      </c>
      <c r="S873" t="s">
        <v>30</v>
      </c>
      <c r="T873">
        <v>783</v>
      </c>
      <c r="U873" t="s">
        <v>58</v>
      </c>
      <c r="V873" t="s">
        <v>39</v>
      </c>
      <c r="W873" t="s">
        <v>40</v>
      </c>
    </row>
    <row r="874" spans="1:23">
      <c r="A874">
        <v>9973</v>
      </c>
      <c r="B874" t="s">
        <v>224</v>
      </c>
      <c r="C874" s="1" t="s">
        <v>600</v>
      </c>
      <c r="D874" s="1" t="s">
        <v>35</v>
      </c>
      <c r="E874">
        <v>11.99</v>
      </c>
      <c r="F874">
        <v>410</v>
      </c>
      <c r="G874" t="s">
        <v>100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43</v>
      </c>
      <c r="N874" t="s">
        <v>44</v>
      </c>
      <c r="O874" t="s">
        <v>78</v>
      </c>
      <c r="P874">
        <v>19</v>
      </c>
      <c r="Q874">
        <v>4.7</v>
      </c>
      <c r="R874" t="b">
        <v>0</v>
      </c>
      <c r="S874" t="s">
        <v>30</v>
      </c>
      <c r="T874">
        <v>3578</v>
      </c>
      <c r="U874" t="s">
        <v>58</v>
      </c>
      <c r="V874" t="s">
        <v>39</v>
      </c>
      <c r="W874" t="s">
        <v>33</v>
      </c>
    </row>
    <row r="875" spans="1:23">
      <c r="A875">
        <v>6078</v>
      </c>
      <c r="B875" t="s">
        <v>606</v>
      </c>
      <c r="C875" s="1" t="s">
        <v>366</v>
      </c>
      <c r="D875" s="1" t="s">
        <v>35</v>
      </c>
      <c r="E875">
        <v>7.99</v>
      </c>
      <c r="F875">
        <v>281</v>
      </c>
      <c r="G875" t="s">
        <v>73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74</v>
      </c>
      <c r="N875" t="s">
        <v>75</v>
      </c>
      <c r="O875" t="s">
        <v>37</v>
      </c>
      <c r="P875">
        <v>70</v>
      </c>
      <c r="Q875">
        <v>4.3</v>
      </c>
      <c r="R875" t="b">
        <v>0</v>
      </c>
      <c r="S875" t="s">
        <v>30</v>
      </c>
      <c r="T875">
        <v>1952</v>
      </c>
      <c r="U875" t="s">
        <v>65</v>
      </c>
      <c r="V875" t="s">
        <v>59</v>
      </c>
      <c r="W875" t="s">
        <v>40</v>
      </c>
    </row>
    <row r="876" spans="1:23">
      <c r="A876">
        <v>5362</v>
      </c>
      <c r="B876" t="s">
        <v>332</v>
      </c>
      <c r="C876" s="1">
        <v>45476</v>
      </c>
      <c r="D876" s="1" t="s">
        <v>99</v>
      </c>
      <c r="E876">
        <v>15.99</v>
      </c>
      <c r="F876">
        <v>478</v>
      </c>
      <c r="G876" t="s">
        <v>73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49</v>
      </c>
      <c r="N876" t="s">
        <v>75</v>
      </c>
      <c r="O876" t="s">
        <v>57</v>
      </c>
      <c r="P876">
        <v>65</v>
      </c>
      <c r="Q876">
        <v>4.5999999999999996</v>
      </c>
      <c r="R876" t="b">
        <v>1</v>
      </c>
      <c r="S876" t="s">
        <v>30</v>
      </c>
      <c r="T876">
        <v>860</v>
      </c>
      <c r="U876" t="s">
        <v>65</v>
      </c>
      <c r="V876" t="s">
        <v>79</v>
      </c>
      <c r="W876" t="s">
        <v>60</v>
      </c>
    </row>
    <row r="877" spans="1:23">
      <c r="A877">
        <v>1687</v>
      </c>
      <c r="B877" t="s">
        <v>126</v>
      </c>
      <c r="C877" s="1" t="s">
        <v>468</v>
      </c>
      <c r="D877" s="1" t="s">
        <v>156</v>
      </c>
      <c r="E877">
        <v>7.99</v>
      </c>
      <c r="F877">
        <v>44</v>
      </c>
      <c r="G877" t="s">
        <v>26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92</v>
      </c>
      <c r="N877" t="s">
        <v>28</v>
      </c>
      <c r="O877" t="s">
        <v>29</v>
      </c>
      <c r="P877">
        <v>13</v>
      </c>
      <c r="Q877">
        <v>3.1</v>
      </c>
      <c r="R877" t="b">
        <v>0</v>
      </c>
      <c r="S877" t="s">
        <v>30</v>
      </c>
      <c r="T877">
        <v>3</v>
      </c>
      <c r="U877" t="s">
        <v>65</v>
      </c>
      <c r="V877" t="s">
        <v>59</v>
      </c>
      <c r="W877" t="s">
        <v>33</v>
      </c>
    </row>
    <row r="878" spans="1:23">
      <c r="A878">
        <v>8986</v>
      </c>
      <c r="B878" t="s">
        <v>409</v>
      </c>
      <c r="C878" s="1">
        <v>45303</v>
      </c>
      <c r="D878" s="1" t="s">
        <v>129</v>
      </c>
      <c r="E878">
        <v>15.99</v>
      </c>
      <c r="F878">
        <v>250</v>
      </c>
      <c r="G878" t="s">
        <v>26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43</v>
      </c>
      <c r="N878" t="s">
        <v>56</v>
      </c>
      <c r="O878" t="s">
        <v>37</v>
      </c>
      <c r="P878">
        <v>13</v>
      </c>
      <c r="Q878">
        <v>3.3</v>
      </c>
      <c r="R878" t="b">
        <v>1</v>
      </c>
      <c r="S878" t="s">
        <v>30</v>
      </c>
      <c r="T878">
        <v>1836</v>
      </c>
      <c r="U878" t="s">
        <v>58</v>
      </c>
      <c r="V878" t="s">
        <v>39</v>
      </c>
      <c r="W878" t="s">
        <v>40</v>
      </c>
    </row>
    <row r="879" spans="1:23">
      <c r="A879">
        <v>5994</v>
      </c>
      <c r="B879" t="s">
        <v>492</v>
      </c>
      <c r="C879" s="1" t="s">
        <v>221</v>
      </c>
      <c r="D879" s="1">
        <v>45394</v>
      </c>
      <c r="E879">
        <v>7.99</v>
      </c>
      <c r="F879">
        <v>225</v>
      </c>
      <c r="G879" t="s">
        <v>36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49</v>
      </c>
      <c r="N879" t="s">
        <v>56</v>
      </c>
      <c r="O879" t="s">
        <v>37</v>
      </c>
      <c r="P879">
        <v>45</v>
      </c>
      <c r="Q879">
        <v>3.9</v>
      </c>
      <c r="R879" t="b">
        <v>0</v>
      </c>
      <c r="S879" t="s">
        <v>30</v>
      </c>
      <c r="T879">
        <v>808</v>
      </c>
      <c r="U879" t="s">
        <v>31</v>
      </c>
      <c r="V879" t="s">
        <v>32</v>
      </c>
      <c r="W879" t="s">
        <v>93</v>
      </c>
    </row>
    <row r="880" spans="1:23">
      <c r="A880">
        <v>6293</v>
      </c>
      <c r="B880" t="s">
        <v>224</v>
      </c>
      <c r="C880" s="1" t="s">
        <v>454</v>
      </c>
      <c r="D880" s="1" t="s">
        <v>134</v>
      </c>
      <c r="E880">
        <v>15.99</v>
      </c>
      <c r="F880">
        <v>473</v>
      </c>
      <c r="G880" t="s">
        <v>48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74</v>
      </c>
      <c r="N880" t="s">
        <v>44</v>
      </c>
      <c r="O880" t="s">
        <v>45</v>
      </c>
      <c r="P880">
        <v>13</v>
      </c>
      <c r="Q880">
        <v>4.8</v>
      </c>
      <c r="R880" t="b">
        <v>0</v>
      </c>
      <c r="S880" t="s">
        <v>30</v>
      </c>
      <c r="T880">
        <v>2141</v>
      </c>
      <c r="U880" t="s">
        <v>38</v>
      </c>
      <c r="V880" t="s">
        <v>32</v>
      </c>
      <c r="W880" t="s">
        <v>33</v>
      </c>
    </row>
    <row r="881" spans="1:23">
      <c r="A881">
        <v>7558</v>
      </c>
      <c r="B881" t="s">
        <v>369</v>
      </c>
      <c r="C881" s="1" t="s">
        <v>639</v>
      </c>
      <c r="D881" s="1">
        <v>45516</v>
      </c>
      <c r="E881">
        <v>11.99</v>
      </c>
      <c r="F881">
        <v>236</v>
      </c>
      <c r="G881" t="s">
        <v>48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74</v>
      </c>
      <c r="N881" t="s">
        <v>44</v>
      </c>
      <c r="O881" t="s">
        <v>64</v>
      </c>
      <c r="P881">
        <v>61</v>
      </c>
      <c r="Q881">
        <v>3.7</v>
      </c>
      <c r="R881" t="b">
        <v>0</v>
      </c>
      <c r="S881" t="s">
        <v>30</v>
      </c>
      <c r="T881">
        <v>1254</v>
      </c>
      <c r="U881" t="s">
        <v>65</v>
      </c>
      <c r="V881" t="s">
        <v>32</v>
      </c>
      <c r="W881" t="s">
        <v>40</v>
      </c>
    </row>
    <row r="882" spans="1:23">
      <c r="A882">
        <v>1805</v>
      </c>
      <c r="B882" t="s">
        <v>88</v>
      </c>
      <c r="C882" s="1">
        <v>45018</v>
      </c>
      <c r="D882" s="1" t="s">
        <v>90</v>
      </c>
      <c r="E882">
        <v>11.99</v>
      </c>
      <c r="F882">
        <v>349</v>
      </c>
      <c r="G882" t="s">
        <v>73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27</v>
      </c>
      <c r="N882" t="s">
        <v>75</v>
      </c>
      <c r="O882" t="s">
        <v>37</v>
      </c>
      <c r="P882">
        <v>59</v>
      </c>
      <c r="Q882">
        <v>4.5999999999999996</v>
      </c>
      <c r="R882" t="b">
        <v>0</v>
      </c>
      <c r="S882" t="s">
        <v>30</v>
      </c>
      <c r="T882">
        <v>2864</v>
      </c>
      <c r="U882" t="s">
        <v>65</v>
      </c>
      <c r="V882" t="s">
        <v>32</v>
      </c>
      <c r="W882" t="s">
        <v>33</v>
      </c>
    </row>
    <row r="883" spans="1:23">
      <c r="A883">
        <v>1661</v>
      </c>
      <c r="B883" t="s">
        <v>374</v>
      </c>
      <c r="C883" s="1" t="s">
        <v>699</v>
      </c>
      <c r="D883" s="1">
        <v>45516</v>
      </c>
      <c r="E883">
        <v>15.99</v>
      </c>
      <c r="F883">
        <v>139</v>
      </c>
      <c r="G883" t="s">
        <v>73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43</v>
      </c>
      <c r="N883" t="s">
        <v>56</v>
      </c>
      <c r="O883" t="s">
        <v>29</v>
      </c>
      <c r="P883">
        <v>91</v>
      </c>
      <c r="Q883">
        <v>4.7</v>
      </c>
      <c r="R883" t="b">
        <v>1</v>
      </c>
      <c r="S883" t="s">
        <v>30</v>
      </c>
      <c r="T883">
        <v>4589</v>
      </c>
      <c r="U883" t="s">
        <v>31</v>
      </c>
      <c r="V883" t="s">
        <v>79</v>
      </c>
      <c r="W883" t="s">
        <v>40</v>
      </c>
    </row>
    <row r="884" spans="1:23">
      <c r="A884">
        <v>8960</v>
      </c>
      <c r="B884" t="s">
        <v>631</v>
      </c>
      <c r="C884" s="1" t="s">
        <v>455</v>
      </c>
      <c r="D884" s="1">
        <v>45334</v>
      </c>
      <c r="E884">
        <v>15.99</v>
      </c>
      <c r="F884">
        <v>278</v>
      </c>
      <c r="G884" t="s">
        <v>100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49</v>
      </c>
      <c r="N884" t="s">
        <v>28</v>
      </c>
      <c r="O884" t="s">
        <v>78</v>
      </c>
      <c r="P884">
        <v>72</v>
      </c>
      <c r="Q884">
        <v>4.4000000000000004</v>
      </c>
      <c r="R884" t="b">
        <v>0</v>
      </c>
      <c r="S884" t="s">
        <v>30</v>
      </c>
      <c r="T884">
        <v>2932</v>
      </c>
      <c r="U884" t="s">
        <v>31</v>
      </c>
      <c r="V884" t="s">
        <v>79</v>
      </c>
      <c r="W884" t="s">
        <v>93</v>
      </c>
    </row>
    <row r="885" spans="1:23">
      <c r="A885">
        <v>6131</v>
      </c>
      <c r="B885" t="s">
        <v>80</v>
      </c>
      <c r="C885" s="1" t="s">
        <v>470</v>
      </c>
      <c r="D885" s="1" t="s">
        <v>72</v>
      </c>
      <c r="E885">
        <v>7.99</v>
      </c>
      <c r="F885">
        <v>242</v>
      </c>
      <c r="G885" t="s">
        <v>63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92</v>
      </c>
      <c r="N885" t="s">
        <v>75</v>
      </c>
      <c r="O885" t="s">
        <v>29</v>
      </c>
      <c r="P885">
        <v>53</v>
      </c>
      <c r="Q885">
        <v>5</v>
      </c>
      <c r="R885" t="b">
        <v>0</v>
      </c>
      <c r="S885" t="s">
        <v>30</v>
      </c>
      <c r="T885">
        <v>1697</v>
      </c>
      <c r="U885" t="s">
        <v>76</v>
      </c>
      <c r="V885" t="s">
        <v>59</v>
      </c>
      <c r="W885" t="s">
        <v>33</v>
      </c>
    </row>
    <row r="886" spans="1:23">
      <c r="A886">
        <v>4114</v>
      </c>
      <c r="B886" t="s">
        <v>344</v>
      </c>
      <c r="C886" s="1" t="s">
        <v>462</v>
      </c>
      <c r="D886" s="1" t="s">
        <v>42</v>
      </c>
      <c r="E886">
        <v>11.99</v>
      </c>
      <c r="F886">
        <v>251</v>
      </c>
      <c r="G886" t="s">
        <v>63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55</v>
      </c>
      <c r="N886" t="s">
        <v>44</v>
      </c>
      <c r="O886" t="s">
        <v>64</v>
      </c>
      <c r="P886">
        <v>88</v>
      </c>
      <c r="Q886">
        <v>4.5</v>
      </c>
      <c r="R886" t="b">
        <v>0</v>
      </c>
      <c r="S886" t="s">
        <v>30</v>
      </c>
      <c r="T886">
        <v>1411</v>
      </c>
      <c r="U886" t="s">
        <v>76</v>
      </c>
      <c r="V886" t="s">
        <v>59</v>
      </c>
      <c r="W886" t="s">
        <v>40</v>
      </c>
    </row>
    <row r="887" spans="1:23">
      <c r="A887">
        <v>4833</v>
      </c>
      <c r="B887" t="s">
        <v>137</v>
      </c>
      <c r="C887" s="1" t="s">
        <v>447</v>
      </c>
      <c r="D887" s="1">
        <v>45577</v>
      </c>
      <c r="E887">
        <v>7.99</v>
      </c>
      <c r="F887">
        <v>268</v>
      </c>
      <c r="G887" t="s">
        <v>36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43</v>
      </c>
      <c r="N887" t="s">
        <v>56</v>
      </c>
      <c r="O887" t="s">
        <v>29</v>
      </c>
      <c r="P887">
        <v>12</v>
      </c>
      <c r="Q887">
        <v>3.8</v>
      </c>
      <c r="R887" t="b">
        <v>1</v>
      </c>
      <c r="S887" t="s">
        <v>30</v>
      </c>
      <c r="T887">
        <v>3437</v>
      </c>
      <c r="U887" t="s">
        <v>65</v>
      </c>
      <c r="V887" t="s">
        <v>39</v>
      </c>
      <c r="W887" t="s">
        <v>40</v>
      </c>
    </row>
    <row r="888" spans="1:23">
      <c r="A888">
        <v>2401</v>
      </c>
      <c r="B888" t="s">
        <v>404</v>
      </c>
      <c r="C888" s="1">
        <v>45453</v>
      </c>
      <c r="D888" s="1">
        <v>45334</v>
      </c>
      <c r="E888">
        <v>7.99</v>
      </c>
      <c r="F888">
        <v>322</v>
      </c>
      <c r="G888" t="s">
        <v>73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74</v>
      </c>
      <c r="N888" t="s">
        <v>28</v>
      </c>
      <c r="O888" t="s">
        <v>57</v>
      </c>
      <c r="P888">
        <v>22</v>
      </c>
      <c r="Q888">
        <v>4.9000000000000004</v>
      </c>
      <c r="R888" t="b">
        <v>1</v>
      </c>
      <c r="S888" t="s">
        <v>30</v>
      </c>
      <c r="T888">
        <v>4509</v>
      </c>
      <c r="U888" t="s">
        <v>58</v>
      </c>
      <c r="V888" t="s">
        <v>32</v>
      </c>
      <c r="W888" t="s">
        <v>40</v>
      </c>
    </row>
    <row r="889" spans="1:23">
      <c r="A889">
        <v>1037</v>
      </c>
      <c r="B889" t="s">
        <v>150</v>
      </c>
      <c r="C889" s="1" t="s">
        <v>700</v>
      </c>
      <c r="D889" s="1" t="s">
        <v>90</v>
      </c>
      <c r="E889">
        <v>7.99</v>
      </c>
      <c r="F889">
        <v>356</v>
      </c>
      <c r="G889" t="s">
        <v>51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43</v>
      </c>
      <c r="N889" t="s">
        <v>56</v>
      </c>
      <c r="O889" t="s">
        <v>45</v>
      </c>
      <c r="P889">
        <v>7</v>
      </c>
      <c r="Q889">
        <v>4.9000000000000004</v>
      </c>
      <c r="R889" t="b">
        <v>1</v>
      </c>
      <c r="S889" t="s">
        <v>30</v>
      </c>
      <c r="T889">
        <v>3165</v>
      </c>
      <c r="U889" t="s">
        <v>58</v>
      </c>
      <c r="V889" t="s">
        <v>39</v>
      </c>
      <c r="W889" t="s">
        <v>60</v>
      </c>
    </row>
    <row r="890" spans="1:23">
      <c r="A890">
        <v>2675</v>
      </c>
      <c r="B890" t="s">
        <v>701</v>
      </c>
      <c r="C890" s="1" t="s">
        <v>702</v>
      </c>
      <c r="D890" s="1">
        <v>45394</v>
      </c>
      <c r="E890">
        <v>15.99</v>
      </c>
      <c r="F890">
        <v>28</v>
      </c>
      <c r="G890" t="s">
        <v>51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92</v>
      </c>
      <c r="N890" t="s">
        <v>28</v>
      </c>
      <c r="O890" t="s">
        <v>37</v>
      </c>
      <c r="P890">
        <v>21</v>
      </c>
      <c r="Q890">
        <v>4.3</v>
      </c>
      <c r="R890" t="b">
        <v>0</v>
      </c>
      <c r="S890" t="s">
        <v>30</v>
      </c>
      <c r="T890">
        <v>2538</v>
      </c>
      <c r="U890" t="s">
        <v>38</v>
      </c>
      <c r="V890" t="s">
        <v>59</v>
      </c>
      <c r="W890" t="s">
        <v>33</v>
      </c>
    </row>
    <row r="891" spans="1:23">
      <c r="A891">
        <v>1665</v>
      </c>
      <c r="B891" t="s">
        <v>128</v>
      </c>
      <c r="C891" s="1" t="s">
        <v>575</v>
      </c>
      <c r="D891" s="1" t="s">
        <v>72</v>
      </c>
      <c r="E891">
        <v>11.99</v>
      </c>
      <c r="F891">
        <v>43</v>
      </c>
      <c r="G891" t="s">
        <v>73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68</v>
      </c>
      <c r="N891" t="s">
        <v>75</v>
      </c>
      <c r="O891" t="s">
        <v>37</v>
      </c>
      <c r="P891">
        <v>58</v>
      </c>
      <c r="Q891">
        <v>3</v>
      </c>
      <c r="R891" t="b">
        <v>1</v>
      </c>
      <c r="S891" t="s">
        <v>30</v>
      </c>
      <c r="T891">
        <v>245</v>
      </c>
      <c r="U891" t="s">
        <v>38</v>
      </c>
      <c r="V891" t="s">
        <v>32</v>
      </c>
      <c r="W891" t="s">
        <v>93</v>
      </c>
    </row>
    <row r="892" spans="1:23">
      <c r="A892">
        <v>5671</v>
      </c>
      <c r="B892" t="s">
        <v>274</v>
      </c>
      <c r="C892" s="1" t="s">
        <v>557</v>
      </c>
      <c r="D892" s="1" t="s">
        <v>168</v>
      </c>
      <c r="E892">
        <v>11.99</v>
      </c>
      <c r="F892">
        <v>391</v>
      </c>
      <c r="G892" t="s">
        <v>36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27</v>
      </c>
      <c r="N892" t="s">
        <v>28</v>
      </c>
      <c r="O892" t="s">
        <v>78</v>
      </c>
      <c r="P892">
        <v>17</v>
      </c>
      <c r="Q892">
        <v>4.2</v>
      </c>
      <c r="R892" t="b">
        <v>0</v>
      </c>
      <c r="S892" t="s">
        <v>30</v>
      </c>
      <c r="T892">
        <v>1364</v>
      </c>
      <c r="U892" t="s">
        <v>58</v>
      </c>
      <c r="V892" t="s">
        <v>32</v>
      </c>
      <c r="W892" t="s">
        <v>60</v>
      </c>
    </row>
    <row r="893" spans="1:23">
      <c r="A893">
        <v>5153</v>
      </c>
      <c r="B893" t="s">
        <v>254</v>
      </c>
      <c r="C893" s="1" t="s">
        <v>601</v>
      </c>
      <c r="D893" s="1" t="s">
        <v>103</v>
      </c>
      <c r="E893">
        <v>7.99</v>
      </c>
      <c r="F893">
        <v>300</v>
      </c>
      <c r="G893" t="s">
        <v>48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43</v>
      </c>
      <c r="N893" t="s">
        <v>28</v>
      </c>
      <c r="O893" t="s">
        <v>78</v>
      </c>
      <c r="P893">
        <v>64</v>
      </c>
      <c r="Q893">
        <v>4.0999999999999996</v>
      </c>
      <c r="R893" t="b">
        <v>0</v>
      </c>
      <c r="S893" t="s">
        <v>30</v>
      </c>
      <c r="T893">
        <v>732</v>
      </c>
      <c r="U893" t="s">
        <v>38</v>
      </c>
      <c r="V893" t="s">
        <v>79</v>
      </c>
      <c r="W893" t="s">
        <v>40</v>
      </c>
    </row>
    <row r="894" spans="1:23">
      <c r="A894">
        <v>1114</v>
      </c>
      <c r="B894" t="s">
        <v>325</v>
      </c>
      <c r="C894" s="1">
        <v>44958</v>
      </c>
      <c r="D894" s="1" t="s">
        <v>35</v>
      </c>
      <c r="E894">
        <v>11.99</v>
      </c>
      <c r="F894">
        <v>75</v>
      </c>
      <c r="G894" t="s">
        <v>63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27</v>
      </c>
      <c r="N894" t="s">
        <v>44</v>
      </c>
      <c r="O894" t="s">
        <v>37</v>
      </c>
      <c r="P894">
        <v>18</v>
      </c>
      <c r="Q894">
        <v>3.3</v>
      </c>
      <c r="R894" t="b">
        <v>0</v>
      </c>
      <c r="S894" t="s">
        <v>30</v>
      </c>
      <c r="T894">
        <v>4976</v>
      </c>
      <c r="U894" t="s">
        <v>76</v>
      </c>
      <c r="V894" t="s">
        <v>69</v>
      </c>
      <c r="W894" t="s">
        <v>40</v>
      </c>
    </row>
    <row r="895" spans="1:23">
      <c r="A895">
        <v>6180</v>
      </c>
      <c r="B895" t="s">
        <v>701</v>
      </c>
      <c r="C895" s="1">
        <v>45543</v>
      </c>
      <c r="D895" s="1">
        <v>45334</v>
      </c>
      <c r="E895">
        <v>11.99</v>
      </c>
      <c r="F895">
        <v>154</v>
      </c>
      <c r="G895" t="s">
        <v>100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74</v>
      </c>
      <c r="N895" t="s">
        <v>56</v>
      </c>
      <c r="O895" t="s">
        <v>37</v>
      </c>
      <c r="P895">
        <v>94</v>
      </c>
      <c r="Q895">
        <v>4.0999999999999996</v>
      </c>
      <c r="R895" t="b">
        <v>0</v>
      </c>
      <c r="S895" t="s">
        <v>30</v>
      </c>
      <c r="T895">
        <v>4176</v>
      </c>
      <c r="U895" t="s">
        <v>76</v>
      </c>
      <c r="V895" t="s">
        <v>59</v>
      </c>
      <c r="W895" t="s">
        <v>33</v>
      </c>
    </row>
    <row r="896" spans="1:23">
      <c r="A896">
        <v>8237</v>
      </c>
      <c r="B896" t="s">
        <v>52</v>
      </c>
      <c r="C896" s="1" t="s">
        <v>582</v>
      </c>
      <c r="D896" s="1">
        <v>45485</v>
      </c>
      <c r="E896">
        <v>7.99</v>
      </c>
      <c r="F896">
        <v>179</v>
      </c>
      <c r="G896" t="s">
        <v>73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27</v>
      </c>
      <c r="N896" t="s">
        <v>56</v>
      </c>
      <c r="O896" t="s">
        <v>64</v>
      </c>
      <c r="P896">
        <v>52</v>
      </c>
      <c r="Q896">
        <v>3.4</v>
      </c>
      <c r="R896" t="b">
        <v>0</v>
      </c>
      <c r="S896" t="s">
        <v>30</v>
      </c>
      <c r="T896">
        <v>2919</v>
      </c>
      <c r="U896" t="s">
        <v>31</v>
      </c>
      <c r="V896" t="s">
        <v>39</v>
      </c>
      <c r="W896" t="s">
        <v>33</v>
      </c>
    </row>
    <row r="897" spans="1:23">
      <c r="A897">
        <v>9500</v>
      </c>
      <c r="B897" t="s">
        <v>703</v>
      </c>
      <c r="C897" s="1" t="s">
        <v>570</v>
      </c>
      <c r="D897" s="1">
        <v>45577</v>
      </c>
      <c r="E897">
        <v>11.99</v>
      </c>
      <c r="F897">
        <v>147</v>
      </c>
      <c r="G897" t="s">
        <v>51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27</v>
      </c>
      <c r="N897" t="s">
        <v>56</v>
      </c>
      <c r="O897" t="s">
        <v>45</v>
      </c>
      <c r="P897">
        <v>21</v>
      </c>
      <c r="Q897">
        <v>4.4000000000000004</v>
      </c>
      <c r="R897" t="b">
        <v>1</v>
      </c>
      <c r="S897" t="s">
        <v>30</v>
      </c>
      <c r="T897">
        <v>3081</v>
      </c>
      <c r="U897" t="s">
        <v>76</v>
      </c>
      <c r="V897" t="s">
        <v>39</v>
      </c>
      <c r="W897" t="s">
        <v>33</v>
      </c>
    </row>
    <row r="898" spans="1:23">
      <c r="A898">
        <v>7476</v>
      </c>
      <c r="B898" t="s">
        <v>34</v>
      </c>
      <c r="C898" s="1" t="s">
        <v>704</v>
      </c>
      <c r="D898" s="1" t="s">
        <v>99</v>
      </c>
      <c r="E898">
        <v>11.99</v>
      </c>
      <c r="F898">
        <v>235</v>
      </c>
      <c r="G898" t="s">
        <v>63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92</v>
      </c>
      <c r="N898" t="s">
        <v>44</v>
      </c>
      <c r="O898" t="s">
        <v>78</v>
      </c>
      <c r="P898">
        <v>18</v>
      </c>
      <c r="Q898">
        <v>3.8</v>
      </c>
      <c r="R898" t="b">
        <v>1</v>
      </c>
      <c r="S898" t="s">
        <v>30</v>
      </c>
      <c r="T898">
        <v>3138</v>
      </c>
      <c r="U898" t="s">
        <v>38</v>
      </c>
      <c r="V898" t="s">
        <v>32</v>
      </c>
      <c r="W898" t="s">
        <v>93</v>
      </c>
    </row>
    <row r="899" spans="1:23">
      <c r="A899">
        <v>9908</v>
      </c>
      <c r="B899" t="s">
        <v>624</v>
      </c>
      <c r="C899" s="1">
        <v>44986</v>
      </c>
      <c r="D899" s="1">
        <v>45394</v>
      </c>
      <c r="E899">
        <v>11.99</v>
      </c>
      <c r="F899">
        <v>390</v>
      </c>
      <c r="G899" t="s">
        <v>100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74</v>
      </c>
      <c r="N899" t="s">
        <v>56</v>
      </c>
      <c r="O899" t="s">
        <v>37</v>
      </c>
      <c r="P899">
        <v>89</v>
      </c>
      <c r="Q899">
        <v>3.2</v>
      </c>
      <c r="R899" t="b">
        <v>1</v>
      </c>
      <c r="S899" t="s">
        <v>30</v>
      </c>
      <c r="T899">
        <v>1180</v>
      </c>
      <c r="U899" t="s">
        <v>58</v>
      </c>
      <c r="V899" t="s">
        <v>69</v>
      </c>
      <c r="W899" t="s">
        <v>40</v>
      </c>
    </row>
    <row r="900" spans="1:23">
      <c r="A900">
        <v>1534</v>
      </c>
      <c r="B900" t="s">
        <v>52</v>
      </c>
      <c r="C900" s="1" t="s">
        <v>205</v>
      </c>
      <c r="D900" s="1" t="s">
        <v>103</v>
      </c>
      <c r="E900">
        <v>7.99</v>
      </c>
      <c r="F900">
        <v>116</v>
      </c>
      <c r="G900" t="s">
        <v>26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27</v>
      </c>
      <c r="N900" t="s">
        <v>56</v>
      </c>
      <c r="O900" t="s">
        <v>45</v>
      </c>
      <c r="P900">
        <v>78</v>
      </c>
      <c r="Q900">
        <v>4.5999999999999996</v>
      </c>
      <c r="R900" t="b">
        <v>1</v>
      </c>
      <c r="S900" t="s">
        <v>30</v>
      </c>
      <c r="T900">
        <v>4518</v>
      </c>
      <c r="U900" t="s">
        <v>38</v>
      </c>
      <c r="V900" t="s">
        <v>79</v>
      </c>
      <c r="W900" t="s">
        <v>40</v>
      </c>
    </row>
    <row r="901" spans="1:23">
      <c r="A901">
        <v>4613</v>
      </c>
      <c r="B901" t="s">
        <v>114</v>
      </c>
      <c r="C901" s="1">
        <v>44988</v>
      </c>
      <c r="D901" s="1">
        <v>45394</v>
      </c>
      <c r="E901">
        <v>15.99</v>
      </c>
      <c r="F901">
        <v>492</v>
      </c>
      <c r="G901" t="s">
        <v>26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68</v>
      </c>
      <c r="N901" t="s">
        <v>75</v>
      </c>
      <c r="O901" t="s">
        <v>45</v>
      </c>
      <c r="P901">
        <v>15</v>
      </c>
      <c r="Q901">
        <v>4.9000000000000004</v>
      </c>
      <c r="R901" t="b">
        <v>1</v>
      </c>
      <c r="S901" t="s">
        <v>30</v>
      </c>
      <c r="T901">
        <v>3843</v>
      </c>
      <c r="U901" t="s">
        <v>31</v>
      </c>
      <c r="V901" t="s">
        <v>32</v>
      </c>
      <c r="W901" t="s">
        <v>40</v>
      </c>
    </row>
    <row r="902" spans="1:23">
      <c r="A902">
        <v>5063</v>
      </c>
      <c r="B902" t="s">
        <v>491</v>
      </c>
      <c r="C902" s="1">
        <v>45388</v>
      </c>
      <c r="D902" s="1" t="s">
        <v>82</v>
      </c>
      <c r="E902">
        <v>7.99</v>
      </c>
      <c r="F902">
        <v>159</v>
      </c>
      <c r="G902" t="s">
        <v>26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74</v>
      </c>
      <c r="N902" t="s">
        <v>44</v>
      </c>
      <c r="O902" t="s">
        <v>29</v>
      </c>
      <c r="P902">
        <v>12</v>
      </c>
      <c r="Q902">
        <v>3.9</v>
      </c>
      <c r="R902" t="b">
        <v>1</v>
      </c>
      <c r="S902" t="s">
        <v>30</v>
      </c>
      <c r="T902">
        <v>3604</v>
      </c>
      <c r="U902" t="s">
        <v>65</v>
      </c>
      <c r="V902" t="s">
        <v>39</v>
      </c>
      <c r="W902" t="s">
        <v>60</v>
      </c>
    </row>
    <row r="903" spans="1:23">
      <c r="A903">
        <v>4548</v>
      </c>
      <c r="B903" t="s">
        <v>244</v>
      </c>
      <c r="C903" s="1">
        <v>45144</v>
      </c>
      <c r="D903" s="1" t="s">
        <v>84</v>
      </c>
      <c r="E903">
        <v>7.99</v>
      </c>
      <c r="F903">
        <v>279</v>
      </c>
      <c r="G903" t="s">
        <v>100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92</v>
      </c>
      <c r="N903" t="s">
        <v>75</v>
      </c>
      <c r="O903" t="s">
        <v>78</v>
      </c>
      <c r="P903">
        <v>32</v>
      </c>
      <c r="Q903">
        <v>3.7</v>
      </c>
      <c r="R903" t="b">
        <v>1</v>
      </c>
      <c r="S903" t="s">
        <v>30</v>
      </c>
      <c r="T903">
        <v>4445</v>
      </c>
      <c r="U903" t="s">
        <v>31</v>
      </c>
      <c r="V903" t="s">
        <v>39</v>
      </c>
      <c r="W903" t="s">
        <v>93</v>
      </c>
    </row>
    <row r="904" spans="1:23">
      <c r="A904">
        <v>7556</v>
      </c>
      <c r="B904" t="s">
        <v>598</v>
      </c>
      <c r="C904" s="1" t="s">
        <v>324</v>
      </c>
      <c r="D904" s="1" t="s">
        <v>214</v>
      </c>
      <c r="E904">
        <v>15.99</v>
      </c>
      <c r="F904">
        <v>386</v>
      </c>
      <c r="G904" t="s">
        <v>26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27</v>
      </c>
      <c r="N904" t="s">
        <v>75</v>
      </c>
      <c r="O904" t="s">
        <v>29</v>
      </c>
      <c r="P904">
        <v>79</v>
      </c>
      <c r="Q904">
        <v>3.7</v>
      </c>
      <c r="R904" t="b">
        <v>0</v>
      </c>
      <c r="S904" t="s">
        <v>30</v>
      </c>
      <c r="T904">
        <v>1587</v>
      </c>
      <c r="U904" t="s">
        <v>76</v>
      </c>
      <c r="V904" t="s">
        <v>32</v>
      </c>
      <c r="W904" t="s">
        <v>93</v>
      </c>
    </row>
    <row r="905" spans="1:23">
      <c r="A905">
        <v>1846</v>
      </c>
      <c r="B905" t="s">
        <v>705</v>
      </c>
      <c r="C905" s="1" t="s">
        <v>392</v>
      </c>
      <c r="D905" s="1">
        <v>45485</v>
      </c>
      <c r="E905">
        <v>15.99</v>
      </c>
      <c r="F905">
        <v>332</v>
      </c>
      <c r="G905" t="s">
        <v>48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68</v>
      </c>
      <c r="N905" t="s">
        <v>56</v>
      </c>
      <c r="O905" t="s">
        <v>64</v>
      </c>
      <c r="P905">
        <v>50</v>
      </c>
      <c r="Q905">
        <v>5</v>
      </c>
      <c r="R905" t="b">
        <v>0</v>
      </c>
      <c r="S905" t="s">
        <v>30</v>
      </c>
      <c r="T905">
        <v>4400</v>
      </c>
      <c r="U905" t="s">
        <v>58</v>
      </c>
      <c r="V905" t="s">
        <v>69</v>
      </c>
      <c r="W905" t="s">
        <v>33</v>
      </c>
    </row>
    <row r="906" spans="1:23">
      <c r="A906">
        <v>7088</v>
      </c>
      <c r="B906" t="s">
        <v>120</v>
      </c>
      <c r="C906" s="1">
        <v>45292</v>
      </c>
      <c r="D906" s="1" t="s">
        <v>134</v>
      </c>
      <c r="E906">
        <v>11.99</v>
      </c>
      <c r="F906">
        <v>176</v>
      </c>
      <c r="G906" t="s">
        <v>51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68</v>
      </c>
      <c r="N906" t="s">
        <v>28</v>
      </c>
      <c r="O906" t="s">
        <v>57</v>
      </c>
      <c r="P906">
        <v>56</v>
      </c>
      <c r="Q906">
        <v>4.7</v>
      </c>
      <c r="R906" t="b">
        <v>0</v>
      </c>
      <c r="S906" t="s">
        <v>30</v>
      </c>
      <c r="T906">
        <v>2891</v>
      </c>
      <c r="U906" t="s">
        <v>31</v>
      </c>
      <c r="V906" t="s">
        <v>59</v>
      </c>
      <c r="W906" t="s">
        <v>60</v>
      </c>
    </row>
    <row r="907" spans="1:23">
      <c r="A907">
        <v>1179</v>
      </c>
      <c r="B907" t="s">
        <v>395</v>
      </c>
      <c r="C907" s="1">
        <v>45479</v>
      </c>
      <c r="D907" s="1" t="s">
        <v>103</v>
      </c>
      <c r="E907">
        <v>11.99</v>
      </c>
      <c r="F907">
        <v>221</v>
      </c>
      <c r="G907" t="s">
        <v>100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74</v>
      </c>
      <c r="N907" t="s">
        <v>75</v>
      </c>
      <c r="O907" t="s">
        <v>29</v>
      </c>
      <c r="P907">
        <v>44</v>
      </c>
      <c r="Q907">
        <v>3.3</v>
      </c>
      <c r="R907" t="b">
        <v>1</v>
      </c>
      <c r="S907" t="s">
        <v>30</v>
      </c>
      <c r="T907">
        <v>1363</v>
      </c>
      <c r="U907" t="s">
        <v>31</v>
      </c>
      <c r="V907" t="s">
        <v>32</v>
      </c>
      <c r="W907" t="s">
        <v>93</v>
      </c>
    </row>
    <row r="908" spans="1:23">
      <c r="A908">
        <v>2190</v>
      </c>
      <c r="B908" t="s">
        <v>682</v>
      </c>
      <c r="C908" s="1" t="s">
        <v>198</v>
      </c>
      <c r="D908" s="1">
        <v>45424</v>
      </c>
      <c r="E908">
        <v>7.99</v>
      </c>
      <c r="F908">
        <v>263</v>
      </c>
      <c r="G908" t="s">
        <v>63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27</v>
      </c>
      <c r="N908" t="s">
        <v>56</v>
      </c>
      <c r="O908" t="s">
        <v>45</v>
      </c>
      <c r="P908">
        <v>32</v>
      </c>
      <c r="Q908">
        <v>3.3</v>
      </c>
      <c r="R908" t="b">
        <v>0</v>
      </c>
      <c r="S908" t="s">
        <v>30</v>
      </c>
      <c r="T908">
        <v>2323</v>
      </c>
      <c r="U908" t="s">
        <v>58</v>
      </c>
      <c r="V908" t="s">
        <v>79</v>
      </c>
      <c r="W908" t="s">
        <v>40</v>
      </c>
    </row>
    <row r="909" spans="1:23">
      <c r="A909">
        <v>2847</v>
      </c>
      <c r="B909" t="s">
        <v>98</v>
      </c>
      <c r="C909" s="1" t="s">
        <v>616</v>
      </c>
      <c r="D909" s="1" t="s">
        <v>99</v>
      </c>
      <c r="E909">
        <v>15.99</v>
      </c>
      <c r="F909">
        <v>222</v>
      </c>
      <c r="G909" t="s">
        <v>51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92</v>
      </c>
      <c r="N909" t="s">
        <v>56</v>
      </c>
      <c r="O909" t="s">
        <v>45</v>
      </c>
      <c r="P909">
        <v>21</v>
      </c>
      <c r="Q909">
        <v>4.8</v>
      </c>
      <c r="R909" t="b">
        <v>1</v>
      </c>
      <c r="S909" t="s">
        <v>30</v>
      </c>
      <c r="T909">
        <v>4291</v>
      </c>
      <c r="U909" t="s">
        <v>58</v>
      </c>
      <c r="V909" t="s">
        <v>69</v>
      </c>
      <c r="W909" t="s">
        <v>60</v>
      </c>
    </row>
    <row r="910" spans="1:23">
      <c r="A910">
        <v>6570</v>
      </c>
      <c r="B910" t="s">
        <v>304</v>
      </c>
      <c r="C910" s="1">
        <v>45516</v>
      </c>
      <c r="D910" s="1">
        <v>45638</v>
      </c>
      <c r="E910">
        <v>11.99</v>
      </c>
      <c r="F910">
        <v>39</v>
      </c>
      <c r="G910" t="s">
        <v>100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43</v>
      </c>
      <c r="N910" t="s">
        <v>56</v>
      </c>
      <c r="O910" t="s">
        <v>78</v>
      </c>
      <c r="P910">
        <v>26</v>
      </c>
      <c r="Q910">
        <v>4.5999999999999996</v>
      </c>
      <c r="R910" t="b">
        <v>1</v>
      </c>
      <c r="S910" t="s">
        <v>30</v>
      </c>
      <c r="T910">
        <v>4938</v>
      </c>
      <c r="U910" t="s">
        <v>31</v>
      </c>
      <c r="V910" t="s">
        <v>79</v>
      </c>
      <c r="W910" t="s">
        <v>40</v>
      </c>
    </row>
    <row r="911" spans="1:23">
      <c r="A911">
        <v>1149</v>
      </c>
      <c r="B911" t="s">
        <v>157</v>
      </c>
      <c r="C911" s="1" t="s">
        <v>397</v>
      </c>
      <c r="D911" s="1" t="s">
        <v>105</v>
      </c>
      <c r="E911">
        <v>11.99</v>
      </c>
      <c r="F911">
        <v>445</v>
      </c>
      <c r="G911" t="s">
        <v>26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27</v>
      </c>
      <c r="N911" t="s">
        <v>44</v>
      </c>
      <c r="O911" t="s">
        <v>78</v>
      </c>
      <c r="P911">
        <v>50</v>
      </c>
      <c r="Q911">
        <v>3.2</v>
      </c>
      <c r="R911" t="b">
        <v>1</v>
      </c>
      <c r="S911" t="s">
        <v>30</v>
      </c>
      <c r="T911">
        <v>913</v>
      </c>
      <c r="U911" t="s">
        <v>38</v>
      </c>
      <c r="V911" t="s">
        <v>69</v>
      </c>
      <c r="W911" t="s">
        <v>33</v>
      </c>
    </row>
    <row r="912" spans="1:23">
      <c r="A912">
        <v>1336</v>
      </c>
      <c r="B912" t="s">
        <v>153</v>
      </c>
      <c r="C912" s="1" t="s">
        <v>371</v>
      </c>
      <c r="D912" s="1">
        <v>45577</v>
      </c>
      <c r="E912">
        <v>11.99</v>
      </c>
      <c r="F912">
        <v>164</v>
      </c>
      <c r="G912" t="s">
        <v>48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43</v>
      </c>
      <c r="N912" t="s">
        <v>28</v>
      </c>
      <c r="O912" t="s">
        <v>78</v>
      </c>
      <c r="P912">
        <v>47</v>
      </c>
      <c r="Q912">
        <v>3.9</v>
      </c>
      <c r="R912" t="b">
        <v>0</v>
      </c>
      <c r="S912" t="s">
        <v>30</v>
      </c>
      <c r="T912">
        <v>3925</v>
      </c>
      <c r="U912" t="s">
        <v>65</v>
      </c>
      <c r="V912" t="s">
        <v>79</v>
      </c>
      <c r="W912" t="s">
        <v>60</v>
      </c>
    </row>
    <row r="913" spans="1:23">
      <c r="A913">
        <v>6956</v>
      </c>
      <c r="B913" t="s">
        <v>291</v>
      </c>
      <c r="C913" s="1" t="s">
        <v>668</v>
      </c>
      <c r="D913" s="1" t="s">
        <v>156</v>
      </c>
      <c r="E913">
        <v>15.99</v>
      </c>
      <c r="F913">
        <v>101</v>
      </c>
      <c r="G913" t="s">
        <v>48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55</v>
      </c>
      <c r="N913" t="s">
        <v>44</v>
      </c>
      <c r="O913" t="s">
        <v>45</v>
      </c>
      <c r="P913">
        <v>44</v>
      </c>
      <c r="Q913">
        <v>3.6</v>
      </c>
      <c r="R913" t="b">
        <v>1</v>
      </c>
      <c r="S913" t="s">
        <v>30</v>
      </c>
      <c r="T913">
        <v>2517</v>
      </c>
      <c r="U913" t="s">
        <v>65</v>
      </c>
      <c r="V913" t="s">
        <v>79</v>
      </c>
      <c r="W913" t="s">
        <v>40</v>
      </c>
    </row>
    <row r="914" spans="1:23">
      <c r="A914">
        <v>7015</v>
      </c>
      <c r="B914" t="s">
        <v>675</v>
      </c>
      <c r="C914" s="1">
        <v>45332</v>
      </c>
      <c r="D914" s="1">
        <v>45547</v>
      </c>
      <c r="E914">
        <v>11.99</v>
      </c>
      <c r="F914">
        <v>424</v>
      </c>
      <c r="G914" t="s">
        <v>36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74</v>
      </c>
      <c r="N914" t="s">
        <v>75</v>
      </c>
      <c r="O914" t="s">
        <v>45</v>
      </c>
      <c r="P914">
        <v>97</v>
      </c>
      <c r="Q914">
        <v>4.5999999999999996</v>
      </c>
      <c r="R914" t="b">
        <v>0</v>
      </c>
      <c r="S914" t="s">
        <v>30</v>
      </c>
      <c r="T914">
        <v>2070</v>
      </c>
      <c r="U914" t="s">
        <v>65</v>
      </c>
      <c r="V914" t="s">
        <v>39</v>
      </c>
      <c r="W914" t="s">
        <v>33</v>
      </c>
    </row>
    <row r="915" spans="1:23">
      <c r="A915">
        <v>4104</v>
      </c>
      <c r="B915" t="s">
        <v>706</v>
      </c>
      <c r="C915" s="1" t="s">
        <v>707</v>
      </c>
      <c r="D915" s="1" t="s">
        <v>84</v>
      </c>
      <c r="E915">
        <v>15.99</v>
      </c>
      <c r="F915">
        <v>182</v>
      </c>
      <c r="G915" t="s">
        <v>48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27</v>
      </c>
      <c r="N915" t="s">
        <v>75</v>
      </c>
      <c r="O915" t="s">
        <v>78</v>
      </c>
      <c r="P915">
        <v>90</v>
      </c>
      <c r="Q915">
        <v>4.7</v>
      </c>
      <c r="R915" t="b">
        <v>0</v>
      </c>
      <c r="S915" t="s">
        <v>30</v>
      </c>
      <c r="T915">
        <v>4726</v>
      </c>
      <c r="U915" t="s">
        <v>65</v>
      </c>
      <c r="V915" t="s">
        <v>32</v>
      </c>
      <c r="W915" t="s">
        <v>40</v>
      </c>
    </row>
    <row r="916" spans="1:23">
      <c r="A916">
        <v>9413</v>
      </c>
      <c r="B916" t="s">
        <v>128</v>
      </c>
      <c r="C916" s="1" t="s">
        <v>708</v>
      </c>
      <c r="D916" s="1">
        <v>45363</v>
      </c>
      <c r="E916">
        <v>15.99</v>
      </c>
      <c r="F916">
        <v>115</v>
      </c>
      <c r="G916" t="s">
        <v>48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27</v>
      </c>
      <c r="N916" t="s">
        <v>75</v>
      </c>
      <c r="O916" t="s">
        <v>29</v>
      </c>
      <c r="P916">
        <v>30</v>
      </c>
      <c r="Q916">
        <v>5</v>
      </c>
      <c r="R916" t="b">
        <v>1</v>
      </c>
      <c r="S916" t="s">
        <v>30</v>
      </c>
      <c r="T916">
        <v>1536</v>
      </c>
      <c r="U916" t="s">
        <v>31</v>
      </c>
      <c r="V916" t="s">
        <v>32</v>
      </c>
      <c r="W916" t="s">
        <v>60</v>
      </c>
    </row>
    <row r="917" spans="1:23">
      <c r="A917">
        <v>8300</v>
      </c>
      <c r="B917" t="s">
        <v>260</v>
      </c>
      <c r="C917" s="1" t="s">
        <v>571</v>
      </c>
      <c r="D917" s="1" t="s">
        <v>25</v>
      </c>
      <c r="E917">
        <v>15.99</v>
      </c>
      <c r="F917">
        <v>33</v>
      </c>
      <c r="G917" t="s">
        <v>51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43</v>
      </c>
      <c r="N917" t="s">
        <v>56</v>
      </c>
      <c r="O917" t="s">
        <v>64</v>
      </c>
      <c r="P917">
        <v>17</v>
      </c>
      <c r="Q917">
        <v>3.5</v>
      </c>
      <c r="R917" t="b">
        <v>0</v>
      </c>
      <c r="S917" t="s">
        <v>30</v>
      </c>
      <c r="T917">
        <v>2113</v>
      </c>
      <c r="U917" t="s">
        <v>38</v>
      </c>
      <c r="V917" t="s">
        <v>79</v>
      </c>
      <c r="W917" t="s">
        <v>93</v>
      </c>
    </row>
    <row r="918" spans="1:23">
      <c r="A918">
        <v>5126</v>
      </c>
      <c r="B918" t="s">
        <v>272</v>
      </c>
      <c r="C918" s="1">
        <v>45448</v>
      </c>
      <c r="D918" s="1">
        <v>45363</v>
      </c>
      <c r="E918">
        <v>7.99</v>
      </c>
      <c r="F918">
        <v>259</v>
      </c>
      <c r="G918" t="s">
        <v>36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49</v>
      </c>
      <c r="N918" t="s">
        <v>28</v>
      </c>
      <c r="O918" t="s">
        <v>78</v>
      </c>
      <c r="P918">
        <v>9</v>
      </c>
      <c r="Q918">
        <v>4.3</v>
      </c>
      <c r="R918" t="b">
        <v>1</v>
      </c>
      <c r="S918" t="s">
        <v>30</v>
      </c>
      <c r="T918">
        <v>428</v>
      </c>
      <c r="U918" t="s">
        <v>76</v>
      </c>
      <c r="V918" t="s">
        <v>39</v>
      </c>
      <c r="W918" t="s">
        <v>93</v>
      </c>
    </row>
    <row r="919" spans="1:23">
      <c r="A919">
        <v>1754</v>
      </c>
      <c r="B919" t="s">
        <v>70</v>
      </c>
      <c r="C919" s="1" t="s">
        <v>108</v>
      </c>
      <c r="D919" s="1" t="s">
        <v>84</v>
      </c>
      <c r="E919">
        <v>15.99</v>
      </c>
      <c r="F919">
        <v>309</v>
      </c>
      <c r="G919" t="s">
        <v>100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92</v>
      </c>
      <c r="N919" t="s">
        <v>56</v>
      </c>
      <c r="O919" t="s">
        <v>78</v>
      </c>
      <c r="P919">
        <v>91</v>
      </c>
      <c r="Q919">
        <v>4.8</v>
      </c>
      <c r="R919" t="b">
        <v>1</v>
      </c>
      <c r="S919" t="s">
        <v>30</v>
      </c>
      <c r="T919">
        <v>2336</v>
      </c>
      <c r="U919" t="s">
        <v>58</v>
      </c>
      <c r="V919" t="s">
        <v>69</v>
      </c>
      <c r="W919" t="s">
        <v>93</v>
      </c>
    </row>
    <row r="920" spans="1:23">
      <c r="A920">
        <v>7089</v>
      </c>
      <c r="B920" t="s">
        <v>357</v>
      </c>
      <c r="C920" s="1">
        <v>44988</v>
      </c>
      <c r="D920" s="1">
        <v>45608</v>
      </c>
      <c r="E920">
        <v>7.99</v>
      </c>
      <c r="F920">
        <v>367</v>
      </c>
      <c r="G920" t="s">
        <v>100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27</v>
      </c>
      <c r="N920" t="s">
        <v>28</v>
      </c>
      <c r="O920" t="s">
        <v>45</v>
      </c>
      <c r="P920">
        <v>70</v>
      </c>
      <c r="Q920">
        <v>3.8</v>
      </c>
      <c r="R920" t="b">
        <v>0</v>
      </c>
      <c r="S920" t="s">
        <v>30</v>
      </c>
      <c r="T920">
        <v>2344</v>
      </c>
      <c r="U920" t="s">
        <v>38</v>
      </c>
      <c r="V920" t="s">
        <v>39</v>
      </c>
      <c r="W920" t="s">
        <v>60</v>
      </c>
    </row>
    <row r="921" spans="1:23">
      <c r="A921">
        <v>1697</v>
      </c>
      <c r="B921" t="s">
        <v>104</v>
      </c>
      <c r="C921" s="1" t="s">
        <v>662</v>
      </c>
      <c r="D921" s="1" t="s">
        <v>99</v>
      </c>
      <c r="E921">
        <v>7.99</v>
      </c>
      <c r="F921">
        <v>472</v>
      </c>
      <c r="G921" t="s">
        <v>26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27</v>
      </c>
      <c r="N921" t="s">
        <v>44</v>
      </c>
      <c r="O921" t="s">
        <v>78</v>
      </c>
      <c r="P921">
        <v>6</v>
      </c>
      <c r="Q921">
        <v>3.1</v>
      </c>
      <c r="R921" t="b">
        <v>1</v>
      </c>
      <c r="S921" t="s">
        <v>30</v>
      </c>
      <c r="T921">
        <v>1351</v>
      </c>
      <c r="U921" t="s">
        <v>65</v>
      </c>
      <c r="V921" t="s">
        <v>79</v>
      </c>
      <c r="W921" t="s">
        <v>93</v>
      </c>
    </row>
    <row r="922" spans="1:23">
      <c r="A922">
        <v>4768</v>
      </c>
      <c r="B922" t="s">
        <v>542</v>
      </c>
      <c r="C922" s="1">
        <v>45028</v>
      </c>
      <c r="D922" s="1" t="s">
        <v>109</v>
      </c>
      <c r="E922">
        <v>15.99</v>
      </c>
      <c r="F922">
        <v>449</v>
      </c>
      <c r="G922" t="s">
        <v>51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74</v>
      </c>
      <c r="N922" t="s">
        <v>44</v>
      </c>
      <c r="O922" t="s">
        <v>78</v>
      </c>
      <c r="P922">
        <v>88</v>
      </c>
      <c r="Q922">
        <v>3.7</v>
      </c>
      <c r="R922" t="b">
        <v>1</v>
      </c>
      <c r="S922" t="s">
        <v>30</v>
      </c>
      <c r="T922">
        <v>165</v>
      </c>
      <c r="U922" t="s">
        <v>76</v>
      </c>
      <c r="V922" t="s">
        <v>69</v>
      </c>
      <c r="W922" t="s">
        <v>93</v>
      </c>
    </row>
    <row r="923" spans="1:23">
      <c r="A923">
        <v>4205</v>
      </c>
      <c r="B923" t="s">
        <v>257</v>
      </c>
      <c r="C923" s="1" t="s">
        <v>528</v>
      </c>
      <c r="D923" s="1">
        <v>45455</v>
      </c>
      <c r="E923">
        <v>15.99</v>
      </c>
      <c r="F923">
        <v>302</v>
      </c>
      <c r="G923" t="s">
        <v>73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27</v>
      </c>
      <c r="N923" t="s">
        <v>75</v>
      </c>
      <c r="O923" t="s">
        <v>64</v>
      </c>
      <c r="P923">
        <v>89</v>
      </c>
      <c r="Q923">
        <v>4.3</v>
      </c>
      <c r="R923" t="b">
        <v>0</v>
      </c>
      <c r="S923" t="s">
        <v>30</v>
      </c>
      <c r="T923">
        <v>3411</v>
      </c>
      <c r="U923" t="s">
        <v>38</v>
      </c>
      <c r="V923" t="s">
        <v>79</v>
      </c>
      <c r="W923" t="s">
        <v>40</v>
      </c>
    </row>
    <row r="924" spans="1:23">
      <c r="A924">
        <v>8844</v>
      </c>
      <c r="B924" t="s">
        <v>140</v>
      </c>
      <c r="C924" s="1" t="s">
        <v>394</v>
      </c>
      <c r="D924" s="1" t="s">
        <v>103</v>
      </c>
      <c r="E924">
        <v>7.99</v>
      </c>
      <c r="F924">
        <v>70</v>
      </c>
      <c r="G924" t="s">
        <v>48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27</v>
      </c>
      <c r="N924" t="s">
        <v>44</v>
      </c>
      <c r="O924" t="s">
        <v>37</v>
      </c>
      <c r="P924">
        <v>59</v>
      </c>
      <c r="Q924">
        <v>3.3</v>
      </c>
      <c r="R924" t="b">
        <v>1</v>
      </c>
      <c r="S924" t="s">
        <v>30</v>
      </c>
      <c r="T924">
        <v>615</v>
      </c>
      <c r="U924" t="s">
        <v>65</v>
      </c>
      <c r="V924" t="s">
        <v>69</v>
      </c>
      <c r="W924" t="s">
        <v>33</v>
      </c>
    </row>
    <row r="925" spans="1:23">
      <c r="A925">
        <v>1103</v>
      </c>
      <c r="B925" t="s">
        <v>411</v>
      </c>
      <c r="C925" s="1">
        <v>45143</v>
      </c>
      <c r="D925" s="1">
        <v>45334</v>
      </c>
      <c r="E925">
        <v>7.99</v>
      </c>
      <c r="F925">
        <v>157</v>
      </c>
      <c r="G925" t="s">
        <v>48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43</v>
      </c>
      <c r="N925" t="s">
        <v>56</v>
      </c>
      <c r="O925" t="s">
        <v>57</v>
      </c>
      <c r="P925">
        <v>18</v>
      </c>
      <c r="Q925">
        <v>4.2</v>
      </c>
      <c r="R925" t="b">
        <v>0</v>
      </c>
      <c r="S925" t="s">
        <v>30</v>
      </c>
      <c r="T925">
        <v>1538</v>
      </c>
      <c r="U925" t="s">
        <v>31</v>
      </c>
      <c r="V925" t="s">
        <v>79</v>
      </c>
      <c r="W925" t="s">
        <v>93</v>
      </c>
    </row>
    <row r="926" spans="1:23">
      <c r="A926">
        <v>2180</v>
      </c>
      <c r="B926" t="s">
        <v>709</v>
      </c>
      <c r="C926" s="1" t="s">
        <v>699</v>
      </c>
      <c r="D926" s="1" t="s">
        <v>156</v>
      </c>
      <c r="E926">
        <v>7.99</v>
      </c>
      <c r="F926">
        <v>17</v>
      </c>
      <c r="G926" t="s">
        <v>63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49</v>
      </c>
      <c r="N926" t="s">
        <v>28</v>
      </c>
      <c r="O926" t="s">
        <v>45</v>
      </c>
      <c r="P926">
        <v>67</v>
      </c>
      <c r="Q926">
        <v>3</v>
      </c>
      <c r="R926" t="b">
        <v>1</v>
      </c>
      <c r="S926" t="s">
        <v>30</v>
      </c>
      <c r="T926">
        <v>1835</v>
      </c>
      <c r="U926" t="s">
        <v>58</v>
      </c>
      <c r="V926" t="s">
        <v>32</v>
      </c>
      <c r="W926" t="s">
        <v>33</v>
      </c>
    </row>
    <row r="927" spans="1:23">
      <c r="A927">
        <v>6607</v>
      </c>
      <c r="B927" t="s">
        <v>710</v>
      </c>
      <c r="C927" s="1" t="s">
        <v>711</v>
      </c>
      <c r="D927" s="1">
        <v>45334</v>
      </c>
      <c r="E927">
        <v>15.99</v>
      </c>
      <c r="F927">
        <v>173</v>
      </c>
      <c r="G927" t="s">
        <v>36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92</v>
      </c>
      <c r="N927" t="s">
        <v>44</v>
      </c>
      <c r="O927" t="s">
        <v>78</v>
      </c>
      <c r="P927">
        <v>96</v>
      </c>
      <c r="Q927">
        <v>4.9000000000000004</v>
      </c>
      <c r="R927" t="b">
        <v>1</v>
      </c>
      <c r="S927" t="s">
        <v>30</v>
      </c>
      <c r="T927">
        <v>3515</v>
      </c>
      <c r="U927" t="s">
        <v>58</v>
      </c>
      <c r="V927" t="s">
        <v>32</v>
      </c>
      <c r="W927" t="s">
        <v>33</v>
      </c>
    </row>
    <row r="928" spans="1:23">
      <c r="A928">
        <v>7949</v>
      </c>
      <c r="B928" t="s">
        <v>391</v>
      </c>
      <c r="C928" s="1">
        <v>45231</v>
      </c>
      <c r="D928" s="1" t="s">
        <v>134</v>
      </c>
      <c r="E928">
        <v>11.99</v>
      </c>
      <c r="F928">
        <v>301</v>
      </c>
      <c r="G928" t="s">
        <v>73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68</v>
      </c>
      <c r="N928" t="s">
        <v>56</v>
      </c>
      <c r="O928" t="s">
        <v>29</v>
      </c>
      <c r="P928">
        <v>56</v>
      </c>
      <c r="Q928">
        <v>4.5</v>
      </c>
      <c r="R928" t="b">
        <v>1</v>
      </c>
      <c r="S928" t="s">
        <v>30</v>
      </c>
      <c r="T928">
        <v>1657</v>
      </c>
      <c r="U928" t="s">
        <v>38</v>
      </c>
      <c r="V928" t="s">
        <v>32</v>
      </c>
      <c r="W928" t="s">
        <v>93</v>
      </c>
    </row>
    <row r="929" spans="1:23">
      <c r="A929">
        <v>5337</v>
      </c>
      <c r="B929" t="s">
        <v>508</v>
      </c>
      <c r="C929" s="1" t="s">
        <v>348</v>
      </c>
      <c r="D929" s="1" t="s">
        <v>105</v>
      </c>
      <c r="E929">
        <v>7.99</v>
      </c>
      <c r="F929">
        <v>357</v>
      </c>
      <c r="G929" t="s">
        <v>63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92</v>
      </c>
      <c r="N929" t="s">
        <v>75</v>
      </c>
      <c r="O929" t="s">
        <v>45</v>
      </c>
      <c r="P929">
        <v>71</v>
      </c>
      <c r="Q929">
        <v>4.2</v>
      </c>
      <c r="R929" t="b">
        <v>1</v>
      </c>
      <c r="S929" t="s">
        <v>30</v>
      </c>
      <c r="T929">
        <v>2209</v>
      </c>
      <c r="U929" t="s">
        <v>31</v>
      </c>
      <c r="V929" t="s">
        <v>59</v>
      </c>
      <c r="W929" t="s">
        <v>33</v>
      </c>
    </row>
    <row r="930" spans="1:23">
      <c r="A930">
        <v>8477</v>
      </c>
      <c r="B930" t="s">
        <v>236</v>
      </c>
      <c r="C930" s="1" t="s">
        <v>145</v>
      </c>
      <c r="D930" s="1">
        <v>45334</v>
      </c>
      <c r="E930">
        <v>7.99</v>
      </c>
      <c r="F930">
        <v>48</v>
      </c>
      <c r="G930" t="s">
        <v>36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27</v>
      </c>
      <c r="N930" t="s">
        <v>28</v>
      </c>
      <c r="O930" t="s">
        <v>37</v>
      </c>
      <c r="P930">
        <v>13</v>
      </c>
      <c r="Q930">
        <v>4.8</v>
      </c>
      <c r="R930" t="b">
        <v>1</v>
      </c>
      <c r="S930" t="s">
        <v>30</v>
      </c>
      <c r="T930">
        <v>1327</v>
      </c>
      <c r="U930" t="s">
        <v>58</v>
      </c>
      <c r="V930" t="s">
        <v>69</v>
      </c>
      <c r="W930" t="s">
        <v>60</v>
      </c>
    </row>
    <row r="931" spans="1:23">
      <c r="A931">
        <v>7673</v>
      </c>
      <c r="B931" t="s">
        <v>712</v>
      </c>
      <c r="C931" s="1" t="s">
        <v>139</v>
      </c>
      <c r="D931" s="1" t="s">
        <v>82</v>
      </c>
      <c r="E931">
        <v>7.99</v>
      </c>
      <c r="F931">
        <v>351</v>
      </c>
      <c r="G931" t="s">
        <v>26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74</v>
      </c>
      <c r="N931" t="s">
        <v>75</v>
      </c>
      <c r="O931" t="s">
        <v>57</v>
      </c>
      <c r="P931">
        <v>78</v>
      </c>
      <c r="Q931">
        <v>3.7</v>
      </c>
      <c r="R931" t="b">
        <v>0</v>
      </c>
      <c r="S931" t="s">
        <v>30</v>
      </c>
      <c r="T931">
        <v>4337</v>
      </c>
      <c r="U931" t="s">
        <v>31</v>
      </c>
      <c r="V931" t="s">
        <v>79</v>
      </c>
      <c r="W931" t="s">
        <v>40</v>
      </c>
    </row>
    <row r="932" spans="1:23">
      <c r="A932">
        <v>6113</v>
      </c>
      <c r="B932" t="s">
        <v>713</v>
      </c>
      <c r="C932" s="1">
        <v>45088</v>
      </c>
      <c r="D932" s="1" t="s">
        <v>42</v>
      </c>
      <c r="E932">
        <v>11.99</v>
      </c>
      <c r="F932">
        <v>491</v>
      </c>
      <c r="G932" t="s">
        <v>73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49</v>
      </c>
      <c r="N932" t="s">
        <v>75</v>
      </c>
      <c r="O932" t="s">
        <v>29</v>
      </c>
      <c r="P932">
        <v>85</v>
      </c>
      <c r="Q932">
        <v>4.7</v>
      </c>
      <c r="R932" t="b">
        <v>1</v>
      </c>
      <c r="S932" t="s">
        <v>30</v>
      </c>
      <c r="T932">
        <v>398</v>
      </c>
      <c r="U932" t="s">
        <v>65</v>
      </c>
      <c r="V932" t="s">
        <v>79</v>
      </c>
      <c r="W932" t="s">
        <v>40</v>
      </c>
    </row>
    <row r="933" spans="1:23">
      <c r="A933">
        <v>7457</v>
      </c>
      <c r="B933" t="s">
        <v>498</v>
      </c>
      <c r="C933" s="1">
        <v>45264</v>
      </c>
      <c r="D933" s="1" t="s">
        <v>168</v>
      </c>
      <c r="E933">
        <v>11.99</v>
      </c>
      <c r="F933">
        <v>164</v>
      </c>
      <c r="G933" t="s">
        <v>48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49</v>
      </c>
      <c r="N933" t="s">
        <v>44</v>
      </c>
      <c r="O933" t="s">
        <v>45</v>
      </c>
      <c r="P933">
        <v>7</v>
      </c>
      <c r="Q933">
        <v>3.2</v>
      </c>
      <c r="R933" t="b">
        <v>1</v>
      </c>
      <c r="S933" t="s">
        <v>30</v>
      </c>
      <c r="T933">
        <v>1508</v>
      </c>
      <c r="U933" t="s">
        <v>31</v>
      </c>
      <c r="V933" t="s">
        <v>69</v>
      </c>
      <c r="W933" t="s">
        <v>60</v>
      </c>
    </row>
    <row r="934" spans="1:23">
      <c r="A934">
        <v>6639</v>
      </c>
      <c r="B934" t="s">
        <v>401</v>
      </c>
      <c r="C934" s="1" t="s">
        <v>213</v>
      </c>
      <c r="D934" s="1" t="s">
        <v>103</v>
      </c>
      <c r="E934">
        <v>7.99</v>
      </c>
      <c r="F934">
        <v>304</v>
      </c>
      <c r="G934" t="s">
        <v>26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74</v>
      </c>
      <c r="N934" t="s">
        <v>28</v>
      </c>
      <c r="O934" t="s">
        <v>45</v>
      </c>
      <c r="P934">
        <v>62</v>
      </c>
      <c r="Q934">
        <v>3.9</v>
      </c>
      <c r="R934" t="b">
        <v>1</v>
      </c>
      <c r="S934" t="s">
        <v>30</v>
      </c>
      <c r="T934">
        <v>249</v>
      </c>
      <c r="U934" t="s">
        <v>38</v>
      </c>
      <c r="V934" t="s">
        <v>32</v>
      </c>
      <c r="W934" t="s">
        <v>40</v>
      </c>
    </row>
    <row r="935" spans="1:23">
      <c r="A935">
        <v>5220</v>
      </c>
      <c r="B935" t="s">
        <v>212</v>
      </c>
      <c r="C935" s="1" t="s">
        <v>714</v>
      </c>
      <c r="D935" s="1">
        <v>45516</v>
      </c>
      <c r="E935">
        <v>7.99</v>
      </c>
      <c r="F935">
        <v>166</v>
      </c>
      <c r="G935" t="s">
        <v>63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27</v>
      </c>
      <c r="N935" t="s">
        <v>28</v>
      </c>
      <c r="O935" t="s">
        <v>64</v>
      </c>
      <c r="P935">
        <v>55</v>
      </c>
      <c r="Q935">
        <v>3.4</v>
      </c>
      <c r="R935" t="b">
        <v>1</v>
      </c>
      <c r="S935" t="s">
        <v>30</v>
      </c>
      <c r="T935">
        <v>954</v>
      </c>
      <c r="U935" t="s">
        <v>65</v>
      </c>
      <c r="V935" t="s">
        <v>59</v>
      </c>
      <c r="W935" t="s">
        <v>40</v>
      </c>
    </row>
    <row r="936" spans="1:23">
      <c r="A936">
        <v>6970</v>
      </c>
      <c r="B936" t="s">
        <v>367</v>
      </c>
      <c r="C936" s="1" t="s">
        <v>72</v>
      </c>
      <c r="D936" s="1">
        <v>45424</v>
      </c>
      <c r="E936">
        <v>7.99</v>
      </c>
      <c r="F936">
        <v>225</v>
      </c>
      <c r="G936" t="s">
        <v>100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43</v>
      </c>
      <c r="N936" t="s">
        <v>56</v>
      </c>
      <c r="O936" t="s">
        <v>29</v>
      </c>
      <c r="P936">
        <v>93</v>
      </c>
      <c r="Q936">
        <v>3.2</v>
      </c>
      <c r="R936" t="b">
        <v>1</v>
      </c>
      <c r="S936" t="s">
        <v>30</v>
      </c>
      <c r="T936">
        <v>3313</v>
      </c>
      <c r="U936" t="s">
        <v>58</v>
      </c>
      <c r="V936" t="s">
        <v>32</v>
      </c>
      <c r="W936" t="s">
        <v>60</v>
      </c>
    </row>
    <row r="937" spans="1:23">
      <c r="A937">
        <v>6705</v>
      </c>
      <c r="B937" t="s">
        <v>126</v>
      </c>
      <c r="C937" s="1" t="s">
        <v>715</v>
      </c>
      <c r="D937" s="1">
        <v>45547</v>
      </c>
      <c r="E937">
        <v>7.99</v>
      </c>
      <c r="F937">
        <v>163</v>
      </c>
      <c r="G937" t="s">
        <v>100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74</v>
      </c>
      <c r="N937" t="s">
        <v>44</v>
      </c>
      <c r="O937" t="s">
        <v>29</v>
      </c>
      <c r="P937">
        <v>63</v>
      </c>
      <c r="Q937">
        <v>3.5</v>
      </c>
      <c r="R937" t="b">
        <v>1</v>
      </c>
      <c r="S937" t="s">
        <v>30</v>
      </c>
      <c r="T937">
        <v>1790</v>
      </c>
      <c r="U937" t="s">
        <v>38</v>
      </c>
      <c r="V937" t="s">
        <v>32</v>
      </c>
      <c r="W937" t="s">
        <v>40</v>
      </c>
    </row>
    <row r="938" spans="1:23">
      <c r="A938">
        <v>2477</v>
      </c>
      <c r="B938" t="s">
        <v>365</v>
      </c>
      <c r="C938" s="1" t="s">
        <v>306</v>
      </c>
      <c r="D938" s="1" t="s">
        <v>214</v>
      </c>
      <c r="E938">
        <v>15.99</v>
      </c>
      <c r="F938">
        <v>419</v>
      </c>
      <c r="G938" t="s">
        <v>48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27</v>
      </c>
      <c r="N938" t="s">
        <v>44</v>
      </c>
      <c r="O938" t="s">
        <v>29</v>
      </c>
      <c r="P938">
        <v>94</v>
      </c>
      <c r="Q938">
        <v>3.9</v>
      </c>
      <c r="R938" t="b">
        <v>0</v>
      </c>
      <c r="S938" t="s">
        <v>30</v>
      </c>
      <c r="T938">
        <v>2864</v>
      </c>
      <c r="U938" t="s">
        <v>38</v>
      </c>
      <c r="V938" t="s">
        <v>32</v>
      </c>
      <c r="W938" t="s">
        <v>93</v>
      </c>
    </row>
    <row r="939" spans="1:23">
      <c r="A939">
        <v>6236</v>
      </c>
      <c r="B939" t="s">
        <v>657</v>
      </c>
      <c r="C939" s="1" t="s">
        <v>561</v>
      </c>
      <c r="D939" s="1" t="s">
        <v>82</v>
      </c>
      <c r="E939">
        <v>11.99</v>
      </c>
      <c r="F939">
        <v>293</v>
      </c>
      <c r="G939" t="s">
        <v>26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55</v>
      </c>
      <c r="N939" t="s">
        <v>56</v>
      </c>
      <c r="O939" t="s">
        <v>45</v>
      </c>
      <c r="P939">
        <v>4</v>
      </c>
      <c r="Q939">
        <v>4.7</v>
      </c>
      <c r="R939" t="b">
        <v>0</v>
      </c>
      <c r="S939" t="s">
        <v>30</v>
      </c>
      <c r="T939">
        <v>1872</v>
      </c>
      <c r="U939" t="s">
        <v>76</v>
      </c>
      <c r="V939" t="s">
        <v>39</v>
      </c>
      <c r="W939" t="s">
        <v>33</v>
      </c>
    </row>
    <row r="940" spans="1:23">
      <c r="A940">
        <v>4079</v>
      </c>
      <c r="B940" t="s">
        <v>716</v>
      </c>
      <c r="C940" s="1" t="s">
        <v>655</v>
      </c>
      <c r="D940" s="1" t="s">
        <v>35</v>
      </c>
      <c r="E940">
        <v>7.99</v>
      </c>
      <c r="F940">
        <v>171</v>
      </c>
      <c r="G940" t="s">
        <v>63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74</v>
      </c>
      <c r="N940" t="s">
        <v>44</v>
      </c>
      <c r="O940" t="s">
        <v>37</v>
      </c>
      <c r="P940">
        <v>21</v>
      </c>
      <c r="Q940">
        <v>4.5</v>
      </c>
      <c r="R940" t="b">
        <v>1</v>
      </c>
      <c r="S940" t="s">
        <v>30</v>
      </c>
      <c r="T940">
        <v>2521</v>
      </c>
      <c r="U940" t="s">
        <v>31</v>
      </c>
      <c r="V940" t="s">
        <v>69</v>
      </c>
      <c r="W940" t="s">
        <v>93</v>
      </c>
    </row>
    <row r="941" spans="1:23">
      <c r="A941">
        <v>7927</v>
      </c>
      <c r="B941" t="s">
        <v>592</v>
      </c>
      <c r="C941" s="1">
        <v>45231</v>
      </c>
      <c r="D941" s="1" t="s">
        <v>84</v>
      </c>
      <c r="E941">
        <v>7.99</v>
      </c>
      <c r="F941">
        <v>438</v>
      </c>
      <c r="G941" t="s">
        <v>51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74</v>
      </c>
      <c r="N941" t="s">
        <v>56</v>
      </c>
      <c r="O941" t="s">
        <v>57</v>
      </c>
      <c r="P941">
        <v>78</v>
      </c>
      <c r="Q941">
        <v>4.5999999999999996</v>
      </c>
      <c r="R941" t="b">
        <v>1</v>
      </c>
      <c r="S941" t="s">
        <v>30</v>
      </c>
      <c r="T941">
        <v>4426</v>
      </c>
      <c r="U941" t="s">
        <v>76</v>
      </c>
      <c r="V941" t="s">
        <v>79</v>
      </c>
      <c r="W941" t="s">
        <v>33</v>
      </c>
    </row>
    <row r="942" spans="1:23">
      <c r="A942">
        <v>5059</v>
      </c>
      <c r="B942" t="s">
        <v>41</v>
      </c>
      <c r="C942" s="1">
        <v>45360</v>
      </c>
      <c r="D942" s="1" t="s">
        <v>99</v>
      </c>
      <c r="E942">
        <v>11.99</v>
      </c>
      <c r="F942">
        <v>247</v>
      </c>
      <c r="G942" t="s">
        <v>73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68</v>
      </c>
      <c r="N942" t="s">
        <v>44</v>
      </c>
      <c r="O942" t="s">
        <v>45</v>
      </c>
      <c r="P942">
        <v>99</v>
      </c>
      <c r="Q942">
        <v>3.5</v>
      </c>
      <c r="R942" t="b">
        <v>0</v>
      </c>
      <c r="S942" t="s">
        <v>30</v>
      </c>
      <c r="T942">
        <v>3100</v>
      </c>
      <c r="U942" t="s">
        <v>58</v>
      </c>
      <c r="V942" t="s">
        <v>69</v>
      </c>
      <c r="W942" t="s">
        <v>93</v>
      </c>
    </row>
    <row r="943" spans="1:23">
      <c r="A943">
        <v>4210</v>
      </c>
      <c r="B943" t="s">
        <v>284</v>
      </c>
      <c r="C943" s="1" t="s">
        <v>717</v>
      </c>
      <c r="D943" s="1" t="s">
        <v>214</v>
      </c>
      <c r="E943">
        <v>11.99</v>
      </c>
      <c r="F943">
        <v>85</v>
      </c>
      <c r="G943" t="s">
        <v>63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49</v>
      </c>
      <c r="N943" t="s">
        <v>44</v>
      </c>
      <c r="O943" t="s">
        <v>57</v>
      </c>
      <c r="P943">
        <v>99</v>
      </c>
      <c r="Q943">
        <v>4.4000000000000004</v>
      </c>
      <c r="R943" t="b">
        <v>0</v>
      </c>
      <c r="S943" t="s">
        <v>30</v>
      </c>
      <c r="T943">
        <v>4273</v>
      </c>
      <c r="U943" t="s">
        <v>76</v>
      </c>
      <c r="V943" t="s">
        <v>32</v>
      </c>
      <c r="W943" t="s">
        <v>60</v>
      </c>
    </row>
    <row r="944" spans="1:23">
      <c r="A944">
        <v>5054</v>
      </c>
      <c r="B944" t="s">
        <v>41</v>
      </c>
      <c r="C944" s="1">
        <v>45231</v>
      </c>
      <c r="D944" s="1" t="s">
        <v>90</v>
      </c>
      <c r="E944">
        <v>11.99</v>
      </c>
      <c r="F944">
        <v>203</v>
      </c>
      <c r="G944" t="s">
        <v>51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43</v>
      </c>
      <c r="N944" t="s">
        <v>56</v>
      </c>
      <c r="O944" t="s">
        <v>29</v>
      </c>
      <c r="P944">
        <v>76</v>
      </c>
      <c r="Q944">
        <v>4.5999999999999996</v>
      </c>
      <c r="R944" t="b">
        <v>0</v>
      </c>
      <c r="S944" t="s">
        <v>30</v>
      </c>
      <c r="T944">
        <v>1254</v>
      </c>
      <c r="U944" t="s">
        <v>65</v>
      </c>
      <c r="V944" t="s">
        <v>69</v>
      </c>
      <c r="W944" t="s">
        <v>60</v>
      </c>
    </row>
    <row r="945" spans="1:23">
      <c r="A945">
        <v>5836</v>
      </c>
      <c r="B945" t="s">
        <v>504</v>
      </c>
      <c r="C945" s="1">
        <v>45512</v>
      </c>
      <c r="D945" s="1" t="s">
        <v>134</v>
      </c>
      <c r="E945">
        <v>15.99</v>
      </c>
      <c r="F945">
        <v>219</v>
      </c>
      <c r="G945" t="s">
        <v>48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92</v>
      </c>
      <c r="N945" t="s">
        <v>75</v>
      </c>
      <c r="O945" t="s">
        <v>45</v>
      </c>
      <c r="P945">
        <v>64</v>
      </c>
      <c r="Q945">
        <v>4.5999999999999996</v>
      </c>
      <c r="R945" t="b">
        <v>1</v>
      </c>
      <c r="S945" t="s">
        <v>30</v>
      </c>
      <c r="T945">
        <v>4817</v>
      </c>
      <c r="U945" t="s">
        <v>58</v>
      </c>
      <c r="V945" t="s">
        <v>32</v>
      </c>
      <c r="W945" t="s">
        <v>40</v>
      </c>
    </row>
    <row r="946" spans="1:23">
      <c r="A946">
        <v>8612</v>
      </c>
      <c r="B946" t="s">
        <v>304</v>
      </c>
      <c r="C946" s="1" t="s">
        <v>331</v>
      </c>
      <c r="D946" s="1" t="s">
        <v>103</v>
      </c>
      <c r="E946">
        <v>7.99</v>
      </c>
      <c r="F946">
        <v>285</v>
      </c>
      <c r="G946" t="s">
        <v>73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74</v>
      </c>
      <c r="N946" t="s">
        <v>75</v>
      </c>
      <c r="O946" t="s">
        <v>45</v>
      </c>
      <c r="P946">
        <v>76</v>
      </c>
      <c r="Q946">
        <v>4</v>
      </c>
      <c r="R946" t="b">
        <v>0</v>
      </c>
      <c r="S946" t="s">
        <v>30</v>
      </c>
      <c r="T946">
        <v>2330</v>
      </c>
      <c r="U946" t="s">
        <v>31</v>
      </c>
      <c r="V946" t="s">
        <v>39</v>
      </c>
      <c r="W946" t="s">
        <v>60</v>
      </c>
    </row>
    <row r="947" spans="1:23">
      <c r="A947">
        <v>7445</v>
      </c>
      <c r="B947" t="s">
        <v>125</v>
      </c>
      <c r="C947" s="1" t="s">
        <v>111</v>
      </c>
      <c r="D947" s="1" t="s">
        <v>109</v>
      </c>
      <c r="E947">
        <v>15.99</v>
      </c>
      <c r="F947">
        <v>115</v>
      </c>
      <c r="G947" t="s">
        <v>63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27</v>
      </c>
      <c r="N947" t="s">
        <v>56</v>
      </c>
      <c r="O947" t="s">
        <v>64</v>
      </c>
      <c r="P947">
        <v>0</v>
      </c>
      <c r="Q947">
        <v>3.6</v>
      </c>
      <c r="R947" t="b">
        <v>0</v>
      </c>
      <c r="S947" t="s">
        <v>30</v>
      </c>
      <c r="T947">
        <v>244</v>
      </c>
      <c r="U947" t="s">
        <v>38</v>
      </c>
      <c r="V947" t="s">
        <v>32</v>
      </c>
      <c r="W947" t="s">
        <v>33</v>
      </c>
    </row>
    <row r="948" spans="1:23">
      <c r="A948">
        <v>6135</v>
      </c>
      <c r="B948" t="s">
        <v>112</v>
      </c>
      <c r="C948" s="1">
        <v>45575</v>
      </c>
      <c r="D948" s="1" t="s">
        <v>134</v>
      </c>
      <c r="E948">
        <v>7.99</v>
      </c>
      <c r="F948">
        <v>322</v>
      </c>
      <c r="G948" t="s">
        <v>36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68</v>
      </c>
      <c r="N948" t="s">
        <v>56</v>
      </c>
      <c r="O948" t="s">
        <v>64</v>
      </c>
      <c r="P948">
        <v>84</v>
      </c>
      <c r="Q948">
        <v>4.5</v>
      </c>
      <c r="R948" t="b">
        <v>1</v>
      </c>
      <c r="S948" t="s">
        <v>30</v>
      </c>
      <c r="T948">
        <v>1539</v>
      </c>
      <c r="U948" t="s">
        <v>76</v>
      </c>
      <c r="V948" t="s">
        <v>39</v>
      </c>
      <c r="W948" t="s">
        <v>33</v>
      </c>
    </row>
    <row r="949" spans="1:23">
      <c r="A949">
        <v>3168</v>
      </c>
      <c r="B949" t="s">
        <v>373</v>
      </c>
      <c r="C949" s="1">
        <v>45477</v>
      </c>
      <c r="D949" s="1" t="s">
        <v>134</v>
      </c>
      <c r="E949">
        <v>7.99</v>
      </c>
      <c r="F949">
        <v>348</v>
      </c>
      <c r="G949" t="s">
        <v>26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68</v>
      </c>
      <c r="N949" t="s">
        <v>28</v>
      </c>
      <c r="O949" t="s">
        <v>57</v>
      </c>
      <c r="P949">
        <v>12</v>
      </c>
      <c r="Q949">
        <v>5</v>
      </c>
      <c r="R949" t="b">
        <v>1</v>
      </c>
      <c r="S949" t="s">
        <v>30</v>
      </c>
      <c r="T949">
        <v>2657</v>
      </c>
      <c r="U949" t="s">
        <v>58</v>
      </c>
      <c r="V949" t="s">
        <v>69</v>
      </c>
      <c r="W949" t="s">
        <v>60</v>
      </c>
    </row>
    <row r="950" spans="1:23">
      <c r="A950">
        <v>2981</v>
      </c>
      <c r="B950" t="s">
        <v>718</v>
      </c>
      <c r="C950" s="1">
        <v>45478</v>
      </c>
      <c r="D950" s="1">
        <v>45363</v>
      </c>
      <c r="E950">
        <v>11.99</v>
      </c>
      <c r="F950">
        <v>482</v>
      </c>
      <c r="G950" t="s">
        <v>48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92</v>
      </c>
      <c r="N950" t="s">
        <v>44</v>
      </c>
      <c r="O950" t="s">
        <v>57</v>
      </c>
      <c r="P950">
        <v>24</v>
      </c>
      <c r="Q950">
        <v>4.7</v>
      </c>
      <c r="R950" t="b">
        <v>1</v>
      </c>
      <c r="S950" t="s">
        <v>30</v>
      </c>
      <c r="T950">
        <v>4851</v>
      </c>
      <c r="U950" t="s">
        <v>31</v>
      </c>
      <c r="V950" t="s">
        <v>59</v>
      </c>
      <c r="W950" t="s">
        <v>93</v>
      </c>
    </row>
    <row r="951" spans="1:23">
      <c r="A951">
        <v>7739</v>
      </c>
      <c r="B951" t="s">
        <v>254</v>
      </c>
      <c r="C951" s="1">
        <v>45263</v>
      </c>
      <c r="D951" s="1">
        <v>45608</v>
      </c>
      <c r="E951">
        <v>7.99</v>
      </c>
      <c r="F951">
        <v>384</v>
      </c>
      <c r="G951" t="s">
        <v>48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92</v>
      </c>
      <c r="N951" t="s">
        <v>75</v>
      </c>
      <c r="O951" t="s">
        <v>78</v>
      </c>
      <c r="P951">
        <v>78</v>
      </c>
      <c r="Q951">
        <v>3.9</v>
      </c>
      <c r="R951" t="b">
        <v>0</v>
      </c>
      <c r="S951" t="s">
        <v>30</v>
      </c>
      <c r="T951">
        <v>2341</v>
      </c>
      <c r="U951" t="s">
        <v>31</v>
      </c>
      <c r="V951" t="s">
        <v>39</v>
      </c>
      <c r="W951" t="s">
        <v>93</v>
      </c>
    </row>
    <row r="952" spans="1:23">
      <c r="A952">
        <v>5905</v>
      </c>
      <c r="B952" t="s">
        <v>345</v>
      </c>
      <c r="C952" s="1">
        <v>45446</v>
      </c>
      <c r="D952" s="1">
        <v>45547</v>
      </c>
      <c r="E952">
        <v>15.99</v>
      </c>
      <c r="F952">
        <v>178</v>
      </c>
      <c r="G952" t="s">
        <v>73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55</v>
      </c>
      <c r="N952" t="s">
        <v>28</v>
      </c>
      <c r="O952" t="s">
        <v>57</v>
      </c>
      <c r="P952">
        <v>72</v>
      </c>
      <c r="Q952">
        <v>4.5</v>
      </c>
      <c r="R952" t="b">
        <v>0</v>
      </c>
      <c r="S952" t="s">
        <v>30</v>
      </c>
      <c r="T952">
        <v>3356</v>
      </c>
      <c r="U952" t="s">
        <v>76</v>
      </c>
      <c r="V952" t="s">
        <v>79</v>
      </c>
      <c r="W952" t="s">
        <v>33</v>
      </c>
    </row>
    <row r="953" spans="1:23">
      <c r="A953">
        <v>1443</v>
      </c>
      <c r="B953" t="s">
        <v>369</v>
      </c>
      <c r="C953" s="1" t="s">
        <v>719</v>
      </c>
      <c r="D953" s="1" t="s">
        <v>72</v>
      </c>
      <c r="E953">
        <v>11.99</v>
      </c>
      <c r="F953">
        <v>91</v>
      </c>
      <c r="G953" t="s">
        <v>36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27</v>
      </c>
      <c r="N953" t="s">
        <v>56</v>
      </c>
      <c r="O953" t="s">
        <v>37</v>
      </c>
      <c r="P953">
        <v>53</v>
      </c>
      <c r="Q953">
        <v>4.5999999999999996</v>
      </c>
      <c r="R953" t="b">
        <v>0</v>
      </c>
      <c r="S953" t="s">
        <v>30</v>
      </c>
      <c r="T953">
        <v>228</v>
      </c>
      <c r="U953" t="s">
        <v>76</v>
      </c>
      <c r="V953" t="s">
        <v>79</v>
      </c>
      <c r="W953" t="s">
        <v>33</v>
      </c>
    </row>
    <row r="954" spans="1:23">
      <c r="A954">
        <v>6181</v>
      </c>
      <c r="B954" t="s">
        <v>608</v>
      </c>
      <c r="C954" s="1">
        <v>45303</v>
      </c>
      <c r="D954" s="1">
        <v>45424</v>
      </c>
      <c r="E954">
        <v>11.99</v>
      </c>
      <c r="F954">
        <v>175</v>
      </c>
      <c r="G954" t="s">
        <v>63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49</v>
      </c>
      <c r="N954" t="s">
        <v>56</v>
      </c>
      <c r="O954" t="s">
        <v>78</v>
      </c>
      <c r="P954">
        <v>13</v>
      </c>
      <c r="Q954">
        <v>4.7</v>
      </c>
      <c r="R954" t="b">
        <v>1</v>
      </c>
      <c r="S954" t="s">
        <v>30</v>
      </c>
      <c r="T954">
        <v>2821</v>
      </c>
      <c r="U954" t="s">
        <v>58</v>
      </c>
      <c r="V954" t="s">
        <v>32</v>
      </c>
      <c r="W954" t="s">
        <v>40</v>
      </c>
    </row>
    <row r="955" spans="1:23">
      <c r="A955">
        <v>8406</v>
      </c>
      <c r="B955" t="s">
        <v>720</v>
      </c>
      <c r="C955" s="1" t="s">
        <v>111</v>
      </c>
      <c r="D955" s="1" t="s">
        <v>42</v>
      </c>
      <c r="E955">
        <v>11.99</v>
      </c>
      <c r="F955">
        <v>187</v>
      </c>
      <c r="G955" t="s">
        <v>26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49</v>
      </c>
      <c r="N955" t="s">
        <v>28</v>
      </c>
      <c r="O955" t="s">
        <v>78</v>
      </c>
      <c r="P955">
        <v>54</v>
      </c>
      <c r="Q955">
        <v>3.3</v>
      </c>
      <c r="R955" t="b">
        <v>1</v>
      </c>
      <c r="S955" t="s">
        <v>30</v>
      </c>
      <c r="T955">
        <v>4380</v>
      </c>
      <c r="U955" t="s">
        <v>31</v>
      </c>
      <c r="V955" t="s">
        <v>32</v>
      </c>
      <c r="W955" t="s">
        <v>33</v>
      </c>
    </row>
    <row r="956" spans="1:23">
      <c r="A956">
        <v>5389</v>
      </c>
      <c r="B956" t="s">
        <v>721</v>
      </c>
      <c r="C956" s="1" t="s">
        <v>722</v>
      </c>
      <c r="D956" s="1" t="s">
        <v>168</v>
      </c>
      <c r="E956">
        <v>11.99</v>
      </c>
      <c r="F956">
        <v>352</v>
      </c>
      <c r="G956" t="s">
        <v>36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74</v>
      </c>
      <c r="N956" t="s">
        <v>75</v>
      </c>
      <c r="O956" t="s">
        <v>64</v>
      </c>
      <c r="P956">
        <v>59</v>
      </c>
      <c r="Q956">
        <v>4.5999999999999996</v>
      </c>
      <c r="R956" t="b">
        <v>1</v>
      </c>
      <c r="S956" t="s">
        <v>30</v>
      </c>
      <c r="T956">
        <v>2131</v>
      </c>
      <c r="U956" t="s">
        <v>38</v>
      </c>
      <c r="V956" t="s">
        <v>69</v>
      </c>
      <c r="W956" t="s">
        <v>93</v>
      </c>
    </row>
    <row r="957" spans="1:23">
      <c r="A957">
        <v>4586</v>
      </c>
      <c r="B957" t="s">
        <v>723</v>
      </c>
      <c r="C957" s="1" t="s">
        <v>216</v>
      </c>
      <c r="D957" s="1">
        <v>45303</v>
      </c>
      <c r="E957">
        <v>7.99</v>
      </c>
      <c r="F957">
        <v>448</v>
      </c>
      <c r="G957" t="s">
        <v>26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74</v>
      </c>
      <c r="N957" t="s">
        <v>44</v>
      </c>
      <c r="O957" t="s">
        <v>57</v>
      </c>
      <c r="P957">
        <v>79</v>
      </c>
      <c r="Q957">
        <v>4.3</v>
      </c>
      <c r="R957" t="b">
        <v>0</v>
      </c>
      <c r="S957" t="s">
        <v>30</v>
      </c>
      <c r="T957">
        <v>3589</v>
      </c>
      <c r="U957" t="s">
        <v>58</v>
      </c>
      <c r="V957" t="s">
        <v>39</v>
      </c>
      <c r="W957" t="s">
        <v>33</v>
      </c>
    </row>
    <row r="958" spans="1:23">
      <c r="A958">
        <v>4020</v>
      </c>
      <c r="B958" t="s">
        <v>691</v>
      </c>
      <c r="C958" s="1" t="s">
        <v>540</v>
      </c>
      <c r="D958" s="1">
        <v>45334</v>
      </c>
      <c r="E958">
        <v>15.99</v>
      </c>
      <c r="F958">
        <v>81</v>
      </c>
      <c r="G958" t="s">
        <v>48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49</v>
      </c>
      <c r="N958" t="s">
        <v>44</v>
      </c>
      <c r="O958" t="s">
        <v>45</v>
      </c>
      <c r="P958">
        <v>33</v>
      </c>
      <c r="Q958">
        <v>4</v>
      </c>
      <c r="R958" t="b">
        <v>0</v>
      </c>
      <c r="S958" t="s">
        <v>30</v>
      </c>
      <c r="T958">
        <v>4162</v>
      </c>
      <c r="U958" t="s">
        <v>38</v>
      </c>
      <c r="V958" t="s">
        <v>69</v>
      </c>
      <c r="W958" t="s">
        <v>93</v>
      </c>
    </row>
    <row r="959" spans="1:23">
      <c r="A959">
        <v>1635</v>
      </c>
      <c r="B959" t="s">
        <v>434</v>
      </c>
      <c r="C959" s="1" t="s">
        <v>432</v>
      </c>
      <c r="D959" s="1">
        <v>45424</v>
      </c>
      <c r="E959">
        <v>15.99</v>
      </c>
      <c r="F959">
        <v>321</v>
      </c>
      <c r="G959" t="s">
        <v>48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68</v>
      </c>
      <c r="N959" t="s">
        <v>75</v>
      </c>
      <c r="O959" t="s">
        <v>45</v>
      </c>
      <c r="P959">
        <v>52</v>
      </c>
      <c r="Q959">
        <v>4.9000000000000004</v>
      </c>
      <c r="R959" t="b">
        <v>1</v>
      </c>
      <c r="S959" t="s">
        <v>30</v>
      </c>
      <c r="T959">
        <v>1013</v>
      </c>
      <c r="U959" t="s">
        <v>58</v>
      </c>
      <c r="V959" t="s">
        <v>32</v>
      </c>
      <c r="W959" t="s">
        <v>93</v>
      </c>
    </row>
    <row r="960" spans="1:23">
      <c r="A960">
        <v>9257</v>
      </c>
      <c r="B960" t="s">
        <v>177</v>
      </c>
      <c r="C960" s="1">
        <v>45418</v>
      </c>
      <c r="D960" s="1" t="s">
        <v>168</v>
      </c>
      <c r="E960">
        <v>7.99</v>
      </c>
      <c r="F960">
        <v>114</v>
      </c>
      <c r="G960" t="s">
        <v>63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68</v>
      </c>
      <c r="N960" t="s">
        <v>44</v>
      </c>
      <c r="O960" t="s">
        <v>45</v>
      </c>
      <c r="P960">
        <v>60</v>
      </c>
      <c r="Q960">
        <v>3.2</v>
      </c>
      <c r="R960" t="b">
        <v>0</v>
      </c>
      <c r="S960" t="s">
        <v>30</v>
      </c>
      <c r="T960">
        <v>2731</v>
      </c>
      <c r="U960" t="s">
        <v>38</v>
      </c>
      <c r="V960" t="s">
        <v>59</v>
      </c>
      <c r="W960" t="s">
        <v>60</v>
      </c>
    </row>
    <row r="961" spans="1:23">
      <c r="A961">
        <v>6380</v>
      </c>
      <c r="B961" t="s">
        <v>88</v>
      </c>
      <c r="C961" s="1">
        <v>45020</v>
      </c>
      <c r="D961" s="1" t="s">
        <v>42</v>
      </c>
      <c r="E961">
        <v>7.99</v>
      </c>
      <c r="F961">
        <v>493</v>
      </c>
      <c r="G961" t="s">
        <v>36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55</v>
      </c>
      <c r="N961" t="s">
        <v>75</v>
      </c>
      <c r="O961" t="s">
        <v>29</v>
      </c>
      <c r="P961">
        <v>64</v>
      </c>
      <c r="Q961">
        <v>3.4</v>
      </c>
      <c r="R961" t="b">
        <v>0</v>
      </c>
      <c r="S961" t="s">
        <v>30</v>
      </c>
      <c r="T961">
        <v>833</v>
      </c>
      <c r="U961" t="s">
        <v>31</v>
      </c>
      <c r="V961" t="s">
        <v>59</v>
      </c>
      <c r="W961" t="s">
        <v>40</v>
      </c>
    </row>
    <row r="962" spans="1:23">
      <c r="A962">
        <v>6385</v>
      </c>
      <c r="B962" t="s">
        <v>508</v>
      </c>
      <c r="C962" s="1" t="s">
        <v>670</v>
      </c>
      <c r="D962" s="1" t="s">
        <v>105</v>
      </c>
      <c r="E962">
        <v>11.99</v>
      </c>
      <c r="F962">
        <v>475</v>
      </c>
      <c r="G962" t="s">
        <v>51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74</v>
      </c>
      <c r="N962" t="s">
        <v>75</v>
      </c>
      <c r="O962" t="s">
        <v>37</v>
      </c>
      <c r="P962">
        <v>2</v>
      </c>
      <c r="Q962">
        <v>4.8</v>
      </c>
      <c r="R962" t="b">
        <v>0</v>
      </c>
      <c r="S962" t="s">
        <v>30</v>
      </c>
      <c r="T962">
        <v>2428</v>
      </c>
      <c r="U962" t="s">
        <v>31</v>
      </c>
      <c r="V962" t="s">
        <v>59</v>
      </c>
      <c r="W962" t="s">
        <v>33</v>
      </c>
    </row>
    <row r="963" spans="1:23">
      <c r="A963">
        <v>6858</v>
      </c>
      <c r="B963" t="s">
        <v>318</v>
      </c>
      <c r="C963" s="1" t="s">
        <v>724</v>
      </c>
      <c r="D963" s="1">
        <v>45638</v>
      </c>
      <c r="E963">
        <v>11.99</v>
      </c>
      <c r="F963">
        <v>287</v>
      </c>
      <c r="G963" t="s">
        <v>51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55</v>
      </c>
      <c r="N963" t="s">
        <v>44</v>
      </c>
      <c r="O963" t="s">
        <v>37</v>
      </c>
      <c r="P963">
        <v>81</v>
      </c>
      <c r="Q963">
        <v>3.2</v>
      </c>
      <c r="R963" t="b">
        <v>0</v>
      </c>
      <c r="S963" t="s">
        <v>30</v>
      </c>
      <c r="T963">
        <v>4555</v>
      </c>
      <c r="U963" t="s">
        <v>58</v>
      </c>
      <c r="V963" t="s">
        <v>79</v>
      </c>
      <c r="W963" t="s">
        <v>93</v>
      </c>
    </row>
    <row r="964" spans="1:23">
      <c r="A964">
        <v>8875</v>
      </c>
      <c r="B964" t="s">
        <v>434</v>
      </c>
      <c r="C964" s="1" t="s">
        <v>81</v>
      </c>
      <c r="D964" s="1" t="s">
        <v>72</v>
      </c>
      <c r="E964">
        <v>15.99</v>
      </c>
      <c r="F964">
        <v>138</v>
      </c>
      <c r="G964" t="s">
        <v>26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49</v>
      </c>
      <c r="N964" t="s">
        <v>75</v>
      </c>
      <c r="O964" t="s">
        <v>78</v>
      </c>
      <c r="P964">
        <v>83</v>
      </c>
      <c r="Q964">
        <v>4.2</v>
      </c>
      <c r="R964" t="b">
        <v>0</v>
      </c>
      <c r="S964" t="s">
        <v>30</v>
      </c>
      <c r="T964">
        <v>4777</v>
      </c>
      <c r="U964" t="s">
        <v>76</v>
      </c>
      <c r="V964" t="s">
        <v>39</v>
      </c>
      <c r="W964" t="s">
        <v>60</v>
      </c>
    </row>
    <row r="965" spans="1:23">
      <c r="A965">
        <v>3334</v>
      </c>
      <c r="B965" t="s">
        <v>286</v>
      </c>
      <c r="C965" s="1">
        <v>45477</v>
      </c>
      <c r="D965" s="1">
        <v>45424</v>
      </c>
      <c r="E965">
        <v>15.99</v>
      </c>
      <c r="F965">
        <v>198</v>
      </c>
      <c r="G965" t="s">
        <v>26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92</v>
      </c>
      <c r="N965" t="s">
        <v>28</v>
      </c>
      <c r="O965" t="s">
        <v>57</v>
      </c>
      <c r="P965">
        <v>27</v>
      </c>
      <c r="Q965">
        <v>3.6</v>
      </c>
      <c r="R965" t="b">
        <v>1</v>
      </c>
      <c r="S965" t="s">
        <v>30</v>
      </c>
      <c r="T965">
        <v>459</v>
      </c>
      <c r="U965" t="s">
        <v>31</v>
      </c>
      <c r="V965" t="s">
        <v>39</v>
      </c>
      <c r="W965" t="s">
        <v>33</v>
      </c>
    </row>
    <row r="966" spans="1:23">
      <c r="A966">
        <v>5850</v>
      </c>
      <c r="B966" t="s">
        <v>126</v>
      </c>
      <c r="C966" s="1">
        <v>45115</v>
      </c>
      <c r="D966" s="1">
        <v>45608</v>
      </c>
      <c r="E966">
        <v>15.99</v>
      </c>
      <c r="F966">
        <v>164</v>
      </c>
      <c r="G966" t="s">
        <v>26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92</v>
      </c>
      <c r="N966" t="s">
        <v>75</v>
      </c>
      <c r="O966" t="s">
        <v>57</v>
      </c>
      <c r="P966">
        <v>32</v>
      </c>
      <c r="Q966">
        <v>4.9000000000000004</v>
      </c>
      <c r="R966" t="b">
        <v>0</v>
      </c>
      <c r="S966" t="s">
        <v>30</v>
      </c>
      <c r="T966">
        <v>2644</v>
      </c>
      <c r="U966" t="s">
        <v>58</v>
      </c>
      <c r="V966" t="s">
        <v>59</v>
      </c>
      <c r="W966" t="s">
        <v>40</v>
      </c>
    </row>
    <row r="967" spans="1:23">
      <c r="A967">
        <v>8593</v>
      </c>
      <c r="B967" t="s">
        <v>153</v>
      </c>
      <c r="C967" s="1" t="s">
        <v>467</v>
      </c>
      <c r="D967" s="1">
        <v>45577</v>
      </c>
      <c r="E967">
        <v>15.99</v>
      </c>
      <c r="F967">
        <v>65</v>
      </c>
      <c r="G967" t="s">
        <v>63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92</v>
      </c>
      <c r="N967" t="s">
        <v>75</v>
      </c>
      <c r="O967" t="s">
        <v>37</v>
      </c>
      <c r="P967">
        <v>23</v>
      </c>
      <c r="Q967">
        <v>4.7</v>
      </c>
      <c r="R967" t="b">
        <v>0</v>
      </c>
      <c r="S967" t="s">
        <v>30</v>
      </c>
      <c r="T967">
        <v>2678</v>
      </c>
      <c r="U967" t="s">
        <v>58</v>
      </c>
      <c r="V967" t="s">
        <v>69</v>
      </c>
      <c r="W967" t="s">
        <v>40</v>
      </c>
    </row>
    <row r="968" spans="1:23">
      <c r="A968">
        <v>6278</v>
      </c>
      <c r="B968" t="s">
        <v>357</v>
      </c>
      <c r="C968" s="1" t="s">
        <v>314</v>
      </c>
      <c r="D968" s="1" t="s">
        <v>87</v>
      </c>
      <c r="E968">
        <v>7.99</v>
      </c>
      <c r="F968">
        <v>388</v>
      </c>
      <c r="G968" t="s">
        <v>36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27</v>
      </c>
      <c r="N968" t="s">
        <v>44</v>
      </c>
      <c r="O968" t="s">
        <v>29</v>
      </c>
      <c r="P968">
        <v>42</v>
      </c>
      <c r="Q968">
        <v>4.4000000000000004</v>
      </c>
      <c r="R968" t="b">
        <v>0</v>
      </c>
      <c r="S968" t="s">
        <v>30</v>
      </c>
      <c r="T968">
        <v>1129</v>
      </c>
      <c r="U968" t="s">
        <v>65</v>
      </c>
      <c r="V968" t="s">
        <v>69</v>
      </c>
      <c r="W968" t="s">
        <v>60</v>
      </c>
    </row>
    <row r="969" spans="1:23">
      <c r="A969">
        <v>1388</v>
      </c>
      <c r="B969" t="s">
        <v>157</v>
      </c>
      <c r="C969" s="1" t="s">
        <v>415</v>
      </c>
      <c r="D969" s="1">
        <v>45577</v>
      </c>
      <c r="E969">
        <v>15.99</v>
      </c>
      <c r="F969">
        <v>412</v>
      </c>
      <c r="G969" t="s">
        <v>100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27</v>
      </c>
      <c r="N969" t="s">
        <v>75</v>
      </c>
      <c r="O969" t="s">
        <v>29</v>
      </c>
      <c r="P969">
        <v>4</v>
      </c>
      <c r="Q969">
        <v>4</v>
      </c>
      <c r="R969" t="b">
        <v>0</v>
      </c>
      <c r="S969" t="s">
        <v>30</v>
      </c>
      <c r="T969">
        <v>1258</v>
      </c>
      <c r="U969" t="s">
        <v>38</v>
      </c>
      <c r="V969" t="s">
        <v>59</v>
      </c>
      <c r="W969" t="s">
        <v>33</v>
      </c>
    </row>
    <row r="970" spans="1:23">
      <c r="A970">
        <v>2521</v>
      </c>
      <c r="B970" t="s">
        <v>143</v>
      </c>
      <c r="C970" s="1" t="s">
        <v>725</v>
      </c>
      <c r="D970" s="1" t="s">
        <v>99</v>
      </c>
      <c r="E970">
        <v>15.99</v>
      </c>
      <c r="F970">
        <v>267</v>
      </c>
      <c r="G970" t="s">
        <v>26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27</v>
      </c>
      <c r="N970" t="s">
        <v>75</v>
      </c>
      <c r="O970" t="s">
        <v>64</v>
      </c>
      <c r="P970">
        <v>57</v>
      </c>
      <c r="Q970">
        <v>5</v>
      </c>
      <c r="R970" t="b">
        <v>0</v>
      </c>
      <c r="S970" t="s">
        <v>30</v>
      </c>
      <c r="T970">
        <v>3213</v>
      </c>
      <c r="U970" t="s">
        <v>31</v>
      </c>
      <c r="V970" t="s">
        <v>79</v>
      </c>
      <c r="W970" t="s">
        <v>40</v>
      </c>
    </row>
    <row r="971" spans="1:23">
      <c r="A971">
        <v>1269</v>
      </c>
      <c r="B971" t="s">
        <v>726</v>
      </c>
      <c r="C971" s="1">
        <v>45170</v>
      </c>
      <c r="D971" s="1" t="s">
        <v>168</v>
      </c>
      <c r="E971">
        <v>15.99</v>
      </c>
      <c r="F971">
        <v>29</v>
      </c>
      <c r="G971" t="s">
        <v>26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27</v>
      </c>
      <c r="N971" t="s">
        <v>75</v>
      </c>
      <c r="O971" t="s">
        <v>57</v>
      </c>
      <c r="P971">
        <v>81</v>
      </c>
      <c r="Q971">
        <v>4.4000000000000004</v>
      </c>
      <c r="R971" t="b">
        <v>0</v>
      </c>
      <c r="S971" t="s">
        <v>30</v>
      </c>
      <c r="T971">
        <v>4127</v>
      </c>
      <c r="U971" t="s">
        <v>76</v>
      </c>
      <c r="V971" t="s">
        <v>59</v>
      </c>
      <c r="W971" t="s">
        <v>40</v>
      </c>
    </row>
    <row r="972" spans="1:23">
      <c r="A972">
        <v>9959</v>
      </c>
      <c r="B972" t="s">
        <v>266</v>
      </c>
      <c r="C972" s="1">
        <v>45605</v>
      </c>
      <c r="D972" s="1">
        <v>45577</v>
      </c>
      <c r="E972">
        <v>15.99</v>
      </c>
      <c r="F972">
        <v>454</v>
      </c>
      <c r="G972" t="s">
        <v>26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74</v>
      </c>
      <c r="N972" t="s">
        <v>44</v>
      </c>
      <c r="O972" t="s">
        <v>37</v>
      </c>
      <c r="P972">
        <v>51</v>
      </c>
      <c r="Q972">
        <v>3.1</v>
      </c>
      <c r="R972" t="b">
        <v>0</v>
      </c>
      <c r="S972" t="s">
        <v>30</v>
      </c>
      <c r="T972">
        <v>1961</v>
      </c>
      <c r="U972" t="s">
        <v>58</v>
      </c>
      <c r="V972" t="s">
        <v>39</v>
      </c>
      <c r="W972" t="s">
        <v>93</v>
      </c>
    </row>
    <row r="973" spans="1:23">
      <c r="A973">
        <v>7549</v>
      </c>
      <c r="B973" t="s">
        <v>720</v>
      </c>
      <c r="C973" s="1" t="s">
        <v>265</v>
      </c>
      <c r="D973" s="1" t="s">
        <v>105</v>
      </c>
      <c r="E973">
        <v>15.99</v>
      </c>
      <c r="F973">
        <v>119</v>
      </c>
      <c r="G973" t="s">
        <v>100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92</v>
      </c>
      <c r="N973" t="s">
        <v>56</v>
      </c>
      <c r="O973" t="s">
        <v>37</v>
      </c>
      <c r="P973">
        <v>47</v>
      </c>
      <c r="Q973">
        <v>3.2</v>
      </c>
      <c r="R973" t="b">
        <v>1</v>
      </c>
      <c r="S973" t="s">
        <v>30</v>
      </c>
      <c r="T973">
        <v>1708</v>
      </c>
      <c r="U973" t="s">
        <v>38</v>
      </c>
      <c r="V973" t="s">
        <v>59</v>
      </c>
      <c r="W973" t="s">
        <v>93</v>
      </c>
    </row>
    <row r="974" spans="1:23">
      <c r="A974">
        <v>4747</v>
      </c>
      <c r="B974" t="s">
        <v>224</v>
      </c>
      <c r="C974" s="1">
        <v>45567</v>
      </c>
      <c r="D974" s="1">
        <v>45547</v>
      </c>
      <c r="E974">
        <v>11.99</v>
      </c>
      <c r="F974">
        <v>311</v>
      </c>
      <c r="G974" t="s">
        <v>26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49</v>
      </c>
      <c r="N974" t="s">
        <v>56</v>
      </c>
      <c r="O974" t="s">
        <v>78</v>
      </c>
      <c r="P974">
        <v>78</v>
      </c>
      <c r="Q974">
        <v>4.4000000000000004</v>
      </c>
      <c r="R974" t="b">
        <v>1</v>
      </c>
      <c r="S974" t="s">
        <v>30</v>
      </c>
      <c r="T974">
        <v>2288</v>
      </c>
      <c r="U974" t="s">
        <v>58</v>
      </c>
      <c r="V974" t="s">
        <v>79</v>
      </c>
      <c r="W974" t="s">
        <v>60</v>
      </c>
    </row>
    <row r="975" spans="1:23">
      <c r="A975">
        <v>8320</v>
      </c>
      <c r="B975" t="s">
        <v>549</v>
      </c>
      <c r="C975" s="1">
        <v>45323</v>
      </c>
      <c r="D975" s="1">
        <v>45547</v>
      </c>
      <c r="E975">
        <v>15.99</v>
      </c>
      <c r="F975">
        <v>122</v>
      </c>
      <c r="G975" t="s">
        <v>73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27</v>
      </c>
      <c r="N975" t="s">
        <v>28</v>
      </c>
      <c r="O975" t="s">
        <v>45</v>
      </c>
      <c r="P975">
        <v>17</v>
      </c>
      <c r="Q975">
        <v>4.2</v>
      </c>
      <c r="R975" t="b">
        <v>1</v>
      </c>
      <c r="S975" t="s">
        <v>30</v>
      </c>
      <c r="T975">
        <v>4570</v>
      </c>
      <c r="U975" t="s">
        <v>65</v>
      </c>
      <c r="V975" t="s">
        <v>32</v>
      </c>
      <c r="W975" t="s">
        <v>60</v>
      </c>
    </row>
    <row r="976" spans="1:23">
      <c r="A976">
        <v>1333</v>
      </c>
      <c r="B976" t="s">
        <v>106</v>
      </c>
      <c r="C976" s="1" t="s">
        <v>727</v>
      </c>
      <c r="D976" s="1" t="s">
        <v>54</v>
      </c>
      <c r="E976">
        <v>15.99</v>
      </c>
      <c r="F976">
        <v>300</v>
      </c>
      <c r="G976" t="s">
        <v>48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43</v>
      </c>
      <c r="N976" t="s">
        <v>56</v>
      </c>
      <c r="O976" t="s">
        <v>37</v>
      </c>
      <c r="P976">
        <v>23</v>
      </c>
      <c r="Q976">
        <v>5</v>
      </c>
      <c r="R976" t="b">
        <v>0</v>
      </c>
      <c r="S976" t="s">
        <v>30</v>
      </c>
      <c r="T976">
        <v>2547</v>
      </c>
      <c r="U976" t="s">
        <v>38</v>
      </c>
      <c r="V976" t="s">
        <v>69</v>
      </c>
      <c r="W976" t="s">
        <v>40</v>
      </c>
    </row>
    <row r="977" spans="1:23">
      <c r="A977">
        <v>5254</v>
      </c>
      <c r="B977" t="s">
        <v>542</v>
      </c>
      <c r="C977" s="1">
        <v>45605</v>
      </c>
      <c r="D977" s="1" t="s">
        <v>90</v>
      </c>
      <c r="E977">
        <v>15.99</v>
      </c>
      <c r="F977">
        <v>59</v>
      </c>
      <c r="G977" t="s">
        <v>100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43</v>
      </c>
      <c r="N977" t="s">
        <v>44</v>
      </c>
      <c r="O977" t="s">
        <v>37</v>
      </c>
      <c r="P977">
        <v>43</v>
      </c>
      <c r="Q977">
        <v>4.2</v>
      </c>
      <c r="R977" t="b">
        <v>1</v>
      </c>
      <c r="S977" t="s">
        <v>30</v>
      </c>
      <c r="T977">
        <v>4655</v>
      </c>
      <c r="U977" t="s">
        <v>38</v>
      </c>
      <c r="V977" t="s">
        <v>59</v>
      </c>
      <c r="W977" t="s">
        <v>33</v>
      </c>
    </row>
    <row r="978" spans="1:23">
      <c r="A978">
        <v>6842</v>
      </c>
      <c r="B978" t="s">
        <v>648</v>
      </c>
      <c r="C978" s="1" t="s">
        <v>127</v>
      </c>
      <c r="D978" s="1">
        <v>45516</v>
      </c>
      <c r="E978">
        <v>15.99</v>
      </c>
      <c r="F978">
        <v>34</v>
      </c>
      <c r="G978" t="s">
        <v>36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43</v>
      </c>
      <c r="N978" t="s">
        <v>44</v>
      </c>
      <c r="O978" t="s">
        <v>29</v>
      </c>
      <c r="P978">
        <v>74</v>
      </c>
      <c r="Q978">
        <v>4.4000000000000004</v>
      </c>
      <c r="R978" t="b">
        <v>1</v>
      </c>
      <c r="S978" t="s">
        <v>30</v>
      </c>
      <c r="T978">
        <v>1656</v>
      </c>
      <c r="U978" t="s">
        <v>76</v>
      </c>
      <c r="V978" t="s">
        <v>79</v>
      </c>
      <c r="W978" t="s">
        <v>33</v>
      </c>
    </row>
    <row r="979" spans="1:23">
      <c r="A979">
        <v>9333</v>
      </c>
      <c r="B979" t="s">
        <v>635</v>
      </c>
      <c r="C979" s="1" t="s">
        <v>728</v>
      </c>
      <c r="D979" s="1" t="s">
        <v>72</v>
      </c>
      <c r="E979">
        <v>11.99</v>
      </c>
      <c r="F979">
        <v>23</v>
      </c>
      <c r="G979" t="s">
        <v>73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55</v>
      </c>
      <c r="N979" t="s">
        <v>75</v>
      </c>
      <c r="O979" t="s">
        <v>37</v>
      </c>
      <c r="P979">
        <v>47</v>
      </c>
      <c r="Q979">
        <v>3.6</v>
      </c>
      <c r="R979" t="b">
        <v>0</v>
      </c>
      <c r="S979" t="s">
        <v>30</v>
      </c>
      <c r="T979">
        <v>2761</v>
      </c>
      <c r="U979" t="s">
        <v>65</v>
      </c>
      <c r="V979" t="s">
        <v>39</v>
      </c>
      <c r="W979" t="s">
        <v>40</v>
      </c>
    </row>
    <row r="980" spans="1:23">
      <c r="A980">
        <v>9122</v>
      </c>
      <c r="B980" t="s">
        <v>729</v>
      </c>
      <c r="C980" s="1">
        <v>45359</v>
      </c>
      <c r="D980" s="1">
        <v>45608</v>
      </c>
      <c r="E980">
        <v>15.99</v>
      </c>
      <c r="F980">
        <v>168</v>
      </c>
      <c r="G980" t="s">
        <v>26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92</v>
      </c>
      <c r="N980" t="s">
        <v>28</v>
      </c>
      <c r="O980" t="s">
        <v>29</v>
      </c>
      <c r="P980">
        <v>79</v>
      </c>
      <c r="Q980">
        <v>4</v>
      </c>
      <c r="R980" t="b">
        <v>0</v>
      </c>
      <c r="S980" t="s">
        <v>30</v>
      </c>
      <c r="T980">
        <v>773</v>
      </c>
      <c r="U980" t="s">
        <v>38</v>
      </c>
      <c r="V980" t="s">
        <v>39</v>
      </c>
      <c r="W980" t="s">
        <v>40</v>
      </c>
    </row>
    <row r="981" spans="1:23">
      <c r="A981">
        <v>6221</v>
      </c>
      <c r="B981" t="s">
        <v>143</v>
      </c>
      <c r="C981" s="1" t="s">
        <v>317</v>
      </c>
      <c r="D981" s="1" t="s">
        <v>87</v>
      </c>
      <c r="E981">
        <v>11.99</v>
      </c>
      <c r="F981">
        <v>306</v>
      </c>
      <c r="G981" t="s">
        <v>26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27</v>
      </c>
      <c r="N981" t="s">
        <v>56</v>
      </c>
      <c r="O981" t="s">
        <v>57</v>
      </c>
      <c r="P981">
        <v>86</v>
      </c>
      <c r="Q981">
        <v>3.7</v>
      </c>
      <c r="R981" t="b">
        <v>0</v>
      </c>
      <c r="S981" t="s">
        <v>30</v>
      </c>
      <c r="T981">
        <v>1652</v>
      </c>
      <c r="U981" t="s">
        <v>38</v>
      </c>
      <c r="V981" t="s">
        <v>59</v>
      </c>
      <c r="W981" t="s">
        <v>33</v>
      </c>
    </row>
    <row r="982" spans="1:23">
      <c r="A982">
        <v>9957</v>
      </c>
      <c r="B982" t="s">
        <v>357</v>
      </c>
      <c r="C982" s="1">
        <v>45149</v>
      </c>
      <c r="D982" s="1" t="s">
        <v>25</v>
      </c>
      <c r="E982">
        <v>15.99</v>
      </c>
      <c r="F982">
        <v>433</v>
      </c>
      <c r="G982" t="s">
        <v>51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92</v>
      </c>
      <c r="N982" t="s">
        <v>44</v>
      </c>
      <c r="O982" t="s">
        <v>57</v>
      </c>
      <c r="P982">
        <v>92</v>
      </c>
      <c r="Q982">
        <v>3.7</v>
      </c>
      <c r="R982" t="b">
        <v>0</v>
      </c>
      <c r="S982" t="s">
        <v>30</v>
      </c>
      <c r="T982">
        <v>1037</v>
      </c>
      <c r="U982" t="s">
        <v>76</v>
      </c>
      <c r="V982" t="s">
        <v>79</v>
      </c>
      <c r="W982" t="s">
        <v>33</v>
      </c>
    </row>
    <row r="983" spans="1:23">
      <c r="A983">
        <v>4680</v>
      </c>
      <c r="B983" t="s">
        <v>730</v>
      </c>
      <c r="C983" s="1" t="s">
        <v>129</v>
      </c>
      <c r="D983" s="1">
        <v>45608</v>
      </c>
      <c r="E983">
        <v>11.99</v>
      </c>
      <c r="F983">
        <v>221</v>
      </c>
      <c r="G983" t="s">
        <v>100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27</v>
      </c>
      <c r="N983" t="s">
        <v>75</v>
      </c>
      <c r="O983" t="s">
        <v>37</v>
      </c>
      <c r="P983">
        <v>37</v>
      </c>
      <c r="Q983">
        <v>3.3</v>
      </c>
      <c r="R983" t="b">
        <v>1</v>
      </c>
      <c r="S983" t="s">
        <v>30</v>
      </c>
      <c r="T983">
        <v>4505</v>
      </c>
      <c r="U983" t="s">
        <v>58</v>
      </c>
      <c r="V983" t="s">
        <v>32</v>
      </c>
      <c r="W983" t="s">
        <v>93</v>
      </c>
    </row>
    <row r="984" spans="1:23">
      <c r="A984">
        <v>5974</v>
      </c>
      <c r="B984" t="s">
        <v>731</v>
      </c>
      <c r="C984" s="1" t="s">
        <v>203</v>
      </c>
      <c r="D984" s="1" t="s">
        <v>109</v>
      </c>
      <c r="E984">
        <v>15.99</v>
      </c>
      <c r="F984">
        <v>236</v>
      </c>
      <c r="G984" t="s">
        <v>51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49</v>
      </c>
      <c r="N984" t="s">
        <v>75</v>
      </c>
      <c r="O984" t="s">
        <v>37</v>
      </c>
      <c r="P984">
        <v>56</v>
      </c>
      <c r="Q984">
        <v>3.7</v>
      </c>
      <c r="R984" t="b">
        <v>0</v>
      </c>
      <c r="S984" t="s">
        <v>30</v>
      </c>
      <c r="T984">
        <v>3648</v>
      </c>
      <c r="U984" t="s">
        <v>76</v>
      </c>
      <c r="V984" t="s">
        <v>59</v>
      </c>
      <c r="W984" t="s">
        <v>40</v>
      </c>
    </row>
    <row r="985" spans="1:23">
      <c r="A985">
        <v>6938</v>
      </c>
      <c r="B985" t="s">
        <v>382</v>
      </c>
      <c r="C985" s="1">
        <v>45417</v>
      </c>
      <c r="D985" s="1">
        <v>45638</v>
      </c>
      <c r="E985">
        <v>11.99</v>
      </c>
      <c r="F985">
        <v>75</v>
      </c>
      <c r="G985" t="s">
        <v>26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74</v>
      </c>
      <c r="N985" t="s">
        <v>56</v>
      </c>
      <c r="O985" t="s">
        <v>29</v>
      </c>
      <c r="P985">
        <v>11</v>
      </c>
      <c r="Q985">
        <v>3.4</v>
      </c>
      <c r="R985" t="b">
        <v>0</v>
      </c>
      <c r="S985" t="s">
        <v>30</v>
      </c>
      <c r="T985">
        <v>4015</v>
      </c>
      <c r="U985" t="s">
        <v>38</v>
      </c>
      <c r="V985" t="s">
        <v>59</v>
      </c>
      <c r="W985" t="s">
        <v>93</v>
      </c>
    </row>
    <row r="986" spans="1:23">
      <c r="A986">
        <v>1175</v>
      </c>
      <c r="B986" t="s">
        <v>584</v>
      </c>
      <c r="C986" s="1">
        <v>45629</v>
      </c>
      <c r="D986" s="1" t="s">
        <v>134</v>
      </c>
      <c r="E986">
        <v>15.99</v>
      </c>
      <c r="F986">
        <v>325</v>
      </c>
      <c r="G986" t="s">
        <v>73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74</v>
      </c>
      <c r="N986" t="s">
        <v>56</v>
      </c>
      <c r="O986" t="s">
        <v>29</v>
      </c>
      <c r="P986">
        <v>48</v>
      </c>
      <c r="Q986">
        <v>4</v>
      </c>
      <c r="R986" t="b">
        <v>1</v>
      </c>
      <c r="S986" t="s">
        <v>30</v>
      </c>
      <c r="T986">
        <v>2050</v>
      </c>
      <c r="U986" t="s">
        <v>76</v>
      </c>
      <c r="V986" t="s">
        <v>39</v>
      </c>
      <c r="W986" t="s">
        <v>93</v>
      </c>
    </row>
    <row r="987" spans="1:23">
      <c r="A987">
        <v>1260</v>
      </c>
      <c r="B987" t="s">
        <v>453</v>
      </c>
      <c r="C987" s="1">
        <v>45629</v>
      </c>
      <c r="D987" s="1">
        <v>45363</v>
      </c>
      <c r="E987">
        <v>7.99</v>
      </c>
      <c r="F987">
        <v>217</v>
      </c>
      <c r="G987" t="s">
        <v>51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74</v>
      </c>
      <c r="N987" t="s">
        <v>44</v>
      </c>
      <c r="O987" t="s">
        <v>45</v>
      </c>
      <c r="P987">
        <v>40</v>
      </c>
      <c r="Q987">
        <v>4.8</v>
      </c>
      <c r="R987" t="b">
        <v>1</v>
      </c>
      <c r="S987" t="s">
        <v>30</v>
      </c>
      <c r="T987">
        <v>2390</v>
      </c>
      <c r="U987" t="s">
        <v>76</v>
      </c>
      <c r="V987" t="s">
        <v>32</v>
      </c>
      <c r="W987" t="s">
        <v>33</v>
      </c>
    </row>
    <row r="988" spans="1:23">
      <c r="A988">
        <v>4645</v>
      </c>
      <c r="B988" t="s">
        <v>130</v>
      </c>
      <c r="C988" s="1" t="s">
        <v>732</v>
      </c>
      <c r="D988" s="1" t="s">
        <v>42</v>
      </c>
      <c r="E988">
        <v>7.99</v>
      </c>
      <c r="F988">
        <v>178</v>
      </c>
      <c r="G988" t="s">
        <v>26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74</v>
      </c>
      <c r="N988" t="s">
        <v>75</v>
      </c>
      <c r="O988" t="s">
        <v>78</v>
      </c>
      <c r="P988">
        <v>29</v>
      </c>
      <c r="Q988">
        <v>3</v>
      </c>
      <c r="R988" t="b">
        <v>1</v>
      </c>
      <c r="S988" t="s">
        <v>30</v>
      </c>
      <c r="T988">
        <v>3079</v>
      </c>
      <c r="U988" t="s">
        <v>38</v>
      </c>
      <c r="V988" t="s">
        <v>32</v>
      </c>
      <c r="W988" t="s">
        <v>93</v>
      </c>
    </row>
    <row r="989" spans="1:23">
      <c r="A989">
        <v>1637</v>
      </c>
      <c r="B989" t="s">
        <v>122</v>
      </c>
      <c r="C989" s="1">
        <v>45416</v>
      </c>
      <c r="D989" s="1" t="s">
        <v>54</v>
      </c>
      <c r="E989">
        <v>15.99</v>
      </c>
      <c r="F989">
        <v>74</v>
      </c>
      <c r="G989" t="s">
        <v>48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49</v>
      </c>
      <c r="N989" t="s">
        <v>75</v>
      </c>
      <c r="O989" t="s">
        <v>29</v>
      </c>
      <c r="P989">
        <v>37</v>
      </c>
      <c r="Q989">
        <v>4.0999999999999996</v>
      </c>
      <c r="R989" t="b">
        <v>0</v>
      </c>
      <c r="S989" t="s">
        <v>30</v>
      </c>
      <c r="T989">
        <v>4111</v>
      </c>
      <c r="U989" t="s">
        <v>76</v>
      </c>
      <c r="V989" t="s">
        <v>69</v>
      </c>
      <c r="W989" t="s">
        <v>33</v>
      </c>
    </row>
    <row r="990" spans="1:23">
      <c r="A990">
        <v>7960</v>
      </c>
      <c r="B990" t="s">
        <v>521</v>
      </c>
      <c r="C990" s="1">
        <v>45170</v>
      </c>
      <c r="D990" s="1" t="s">
        <v>82</v>
      </c>
      <c r="E990">
        <v>15.99</v>
      </c>
      <c r="F990">
        <v>373</v>
      </c>
      <c r="G990" t="s">
        <v>73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43</v>
      </c>
      <c r="N990" t="s">
        <v>56</v>
      </c>
      <c r="O990" t="s">
        <v>64</v>
      </c>
      <c r="P990">
        <v>41</v>
      </c>
      <c r="Q990">
        <v>3.3</v>
      </c>
      <c r="R990" t="b">
        <v>1</v>
      </c>
      <c r="S990" t="s">
        <v>30</v>
      </c>
      <c r="T990">
        <v>3221</v>
      </c>
      <c r="U990" t="s">
        <v>31</v>
      </c>
      <c r="V990" t="s">
        <v>59</v>
      </c>
      <c r="W990" t="s">
        <v>60</v>
      </c>
    </row>
    <row r="991" spans="1:23">
      <c r="A991">
        <v>9693</v>
      </c>
      <c r="B991" t="s">
        <v>733</v>
      </c>
      <c r="C991" s="1" t="s">
        <v>123</v>
      </c>
      <c r="D991" s="1" t="s">
        <v>90</v>
      </c>
      <c r="E991">
        <v>15.99</v>
      </c>
      <c r="F991">
        <v>64</v>
      </c>
      <c r="G991" t="s">
        <v>73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49</v>
      </c>
      <c r="N991" t="s">
        <v>28</v>
      </c>
      <c r="O991" t="s">
        <v>45</v>
      </c>
      <c r="P991">
        <v>22</v>
      </c>
      <c r="Q991">
        <v>3.6</v>
      </c>
      <c r="R991" t="b">
        <v>0</v>
      </c>
      <c r="S991" t="s">
        <v>30</v>
      </c>
      <c r="T991">
        <v>2461</v>
      </c>
      <c r="U991" t="s">
        <v>76</v>
      </c>
      <c r="V991" t="s">
        <v>59</v>
      </c>
      <c r="W991" t="s">
        <v>93</v>
      </c>
    </row>
    <row r="992" spans="1:23">
      <c r="A992">
        <v>8743</v>
      </c>
      <c r="B992" t="s">
        <v>201</v>
      </c>
      <c r="C992" s="1" t="s">
        <v>121</v>
      </c>
      <c r="D992" s="1" t="s">
        <v>87</v>
      </c>
      <c r="E992">
        <v>11.99</v>
      </c>
      <c r="F992">
        <v>129</v>
      </c>
      <c r="G992" t="s">
        <v>26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55</v>
      </c>
      <c r="N992" t="s">
        <v>28</v>
      </c>
      <c r="O992" t="s">
        <v>37</v>
      </c>
      <c r="P992">
        <v>79</v>
      </c>
      <c r="Q992">
        <v>3.9</v>
      </c>
      <c r="R992" t="b">
        <v>0</v>
      </c>
      <c r="S992" t="s">
        <v>30</v>
      </c>
      <c r="T992">
        <v>2858</v>
      </c>
      <c r="U992" t="s">
        <v>31</v>
      </c>
      <c r="V992" t="s">
        <v>69</v>
      </c>
      <c r="W992" t="s">
        <v>60</v>
      </c>
    </row>
    <row r="993" spans="1:23">
      <c r="A993">
        <v>3379</v>
      </c>
      <c r="B993" t="s">
        <v>695</v>
      </c>
      <c r="C993" s="1">
        <v>45147</v>
      </c>
      <c r="D993" s="1">
        <v>45638</v>
      </c>
      <c r="E993">
        <v>15.99</v>
      </c>
      <c r="F993">
        <v>297</v>
      </c>
      <c r="G993" t="s">
        <v>48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55</v>
      </c>
      <c r="N993" t="s">
        <v>28</v>
      </c>
      <c r="O993" t="s">
        <v>37</v>
      </c>
      <c r="P993">
        <v>89</v>
      </c>
      <c r="Q993">
        <v>4.5</v>
      </c>
      <c r="R993" t="b">
        <v>0</v>
      </c>
      <c r="S993" t="s">
        <v>30</v>
      </c>
      <c r="T993">
        <v>4076</v>
      </c>
      <c r="U993" t="s">
        <v>76</v>
      </c>
      <c r="V993" t="s">
        <v>79</v>
      </c>
      <c r="W993" t="s">
        <v>93</v>
      </c>
    </row>
    <row r="994" spans="1:23">
      <c r="A994">
        <v>7696</v>
      </c>
      <c r="B994" t="s">
        <v>224</v>
      </c>
      <c r="C994" s="1">
        <v>45118</v>
      </c>
      <c r="D994" s="1" t="s">
        <v>90</v>
      </c>
      <c r="E994">
        <v>15.99</v>
      </c>
      <c r="F994">
        <v>235</v>
      </c>
      <c r="G994" t="s">
        <v>26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49</v>
      </c>
      <c r="N994" t="s">
        <v>44</v>
      </c>
      <c r="O994" t="s">
        <v>37</v>
      </c>
      <c r="P994">
        <v>72</v>
      </c>
      <c r="Q994">
        <v>3.7</v>
      </c>
      <c r="R994" t="b">
        <v>0</v>
      </c>
      <c r="S994" t="s">
        <v>30</v>
      </c>
      <c r="T994">
        <v>2163</v>
      </c>
      <c r="U994" t="s">
        <v>65</v>
      </c>
      <c r="V994" t="s">
        <v>69</v>
      </c>
      <c r="W994" t="s">
        <v>93</v>
      </c>
    </row>
    <row r="995" spans="1:23">
      <c r="A995">
        <v>8552</v>
      </c>
      <c r="B995" t="s">
        <v>23</v>
      </c>
      <c r="C995" s="1" t="s">
        <v>734</v>
      </c>
      <c r="D995" s="1" t="s">
        <v>99</v>
      </c>
      <c r="E995">
        <v>15.99</v>
      </c>
      <c r="F995">
        <v>390</v>
      </c>
      <c r="G995" t="s">
        <v>26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49</v>
      </c>
      <c r="N995" t="s">
        <v>44</v>
      </c>
      <c r="O995" t="s">
        <v>57</v>
      </c>
      <c r="P995">
        <v>64</v>
      </c>
      <c r="Q995">
        <v>3</v>
      </c>
      <c r="R995" t="b">
        <v>1</v>
      </c>
      <c r="S995" t="s">
        <v>30</v>
      </c>
      <c r="T995">
        <v>3726</v>
      </c>
      <c r="U995" t="s">
        <v>38</v>
      </c>
      <c r="V995" t="s">
        <v>79</v>
      </c>
      <c r="W995" t="s">
        <v>60</v>
      </c>
    </row>
    <row r="996" spans="1:23">
      <c r="A996">
        <v>5065</v>
      </c>
      <c r="B996" t="s">
        <v>257</v>
      </c>
      <c r="C996" s="1" t="s">
        <v>381</v>
      </c>
      <c r="D996" s="1" t="s">
        <v>90</v>
      </c>
      <c r="E996">
        <v>11.99</v>
      </c>
      <c r="F996">
        <v>362</v>
      </c>
      <c r="G996" t="s">
        <v>100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49</v>
      </c>
      <c r="N996" t="s">
        <v>75</v>
      </c>
      <c r="O996" t="s">
        <v>37</v>
      </c>
      <c r="P996">
        <v>62</v>
      </c>
      <c r="Q996">
        <v>4.7</v>
      </c>
      <c r="R996" t="b">
        <v>1</v>
      </c>
      <c r="S996" t="s">
        <v>30</v>
      </c>
      <c r="T996">
        <v>47</v>
      </c>
      <c r="U996" t="s">
        <v>38</v>
      </c>
      <c r="V996" t="s">
        <v>79</v>
      </c>
      <c r="W996" t="s">
        <v>93</v>
      </c>
    </row>
    <row r="997" spans="1:23">
      <c r="A997">
        <v>6878</v>
      </c>
      <c r="B997" t="s">
        <v>52</v>
      </c>
      <c r="C997" s="1" t="s">
        <v>735</v>
      </c>
      <c r="D997" s="1" t="s">
        <v>99</v>
      </c>
      <c r="E997">
        <v>7.99</v>
      </c>
      <c r="F997">
        <v>136</v>
      </c>
      <c r="G997" t="s">
        <v>48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43</v>
      </c>
      <c r="N997" t="s">
        <v>44</v>
      </c>
      <c r="O997" t="s">
        <v>29</v>
      </c>
      <c r="P997">
        <v>7</v>
      </c>
      <c r="Q997">
        <v>4.4000000000000004</v>
      </c>
      <c r="R997" t="b">
        <v>1</v>
      </c>
      <c r="S997" t="s">
        <v>30</v>
      </c>
      <c r="T997">
        <v>4742</v>
      </c>
      <c r="U997" t="s">
        <v>76</v>
      </c>
      <c r="V997" t="s">
        <v>32</v>
      </c>
      <c r="W997" t="s">
        <v>33</v>
      </c>
    </row>
    <row r="998" spans="1:23">
      <c r="A998">
        <v>5681</v>
      </c>
      <c r="B998" t="s">
        <v>254</v>
      </c>
      <c r="C998" s="1">
        <v>45509</v>
      </c>
      <c r="D998" s="1">
        <v>45516</v>
      </c>
      <c r="E998">
        <v>11.99</v>
      </c>
      <c r="F998">
        <v>159</v>
      </c>
      <c r="G998" t="s">
        <v>100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55</v>
      </c>
      <c r="N998" t="s">
        <v>75</v>
      </c>
      <c r="O998" t="s">
        <v>64</v>
      </c>
      <c r="P998">
        <v>13</v>
      </c>
      <c r="Q998">
        <v>3.3</v>
      </c>
      <c r="R998" t="b">
        <v>0</v>
      </c>
      <c r="S998" t="s">
        <v>30</v>
      </c>
      <c r="T998">
        <v>2910</v>
      </c>
      <c r="U998" t="s">
        <v>38</v>
      </c>
      <c r="V998" t="s">
        <v>59</v>
      </c>
      <c r="W998" t="s">
        <v>60</v>
      </c>
    </row>
    <row r="999" spans="1:23">
      <c r="A999">
        <v>4448</v>
      </c>
      <c r="B999" t="s">
        <v>179</v>
      </c>
      <c r="C999" s="1" t="s">
        <v>362</v>
      </c>
      <c r="D999" s="1" t="s">
        <v>129</v>
      </c>
      <c r="E999">
        <v>11.99</v>
      </c>
      <c r="F999">
        <v>99</v>
      </c>
      <c r="G999" t="s">
        <v>48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68</v>
      </c>
      <c r="N999" t="s">
        <v>56</v>
      </c>
      <c r="O999" t="s">
        <v>64</v>
      </c>
      <c r="P999">
        <v>58</v>
      </c>
      <c r="Q999">
        <v>3.6</v>
      </c>
      <c r="R999" t="b">
        <v>0</v>
      </c>
      <c r="S999" t="s">
        <v>30</v>
      </c>
      <c r="T999">
        <v>1180</v>
      </c>
      <c r="U999" t="s">
        <v>76</v>
      </c>
      <c r="V999" t="s">
        <v>32</v>
      </c>
      <c r="W999" t="s">
        <v>60</v>
      </c>
    </row>
    <row r="1000" spans="1:23">
      <c r="A1000">
        <v>5795</v>
      </c>
      <c r="B1000" t="s">
        <v>224</v>
      </c>
      <c r="C1000" s="1" t="s">
        <v>736</v>
      </c>
      <c r="D1000" s="1" t="s">
        <v>25</v>
      </c>
      <c r="E1000">
        <v>11.99</v>
      </c>
      <c r="F1000">
        <v>157</v>
      </c>
      <c r="G1000" t="s">
        <v>26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74</v>
      </c>
      <c r="N1000" t="s">
        <v>44</v>
      </c>
      <c r="O1000" t="s">
        <v>57</v>
      </c>
      <c r="P1000">
        <v>43</v>
      </c>
      <c r="Q1000">
        <v>4.4000000000000004</v>
      </c>
      <c r="R1000" t="b">
        <v>0</v>
      </c>
      <c r="S1000" t="s">
        <v>30</v>
      </c>
      <c r="T1000">
        <v>1965</v>
      </c>
      <c r="U1000" t="s">
        <v>65</v>
      </c>
      <c r="V1000" t="s">
        <v>39</v>
      </c>
      <c r="W1000" t="s">
        <v>60</v>
      </c>
    </row>
    <row r="1001" spans="1:23">
      <c r="A1001">
        <v>5320</v>
      </c>
      <c r="B1001" t="s">
        <v>201</v>
      </c>
      <c r="C1001" s="1" t="s">
        <v>516</v>
      </c>
      <c r="D1001" s="1">
        <v>45547</v>
      </c>
      <c r="E1001">
        <v>11.99</v>
      </c>
      <c r="F1001">
        <v>123</v>
      </c>
      <c r="G1001" t="s">
        <v>51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27</v>
      </c>
      <c r="N1001" t="s">
        <v>28</v>
      </c>
      <c r="O1001" t="s">
        <v>37</v>
      </c>
      <c r="P1001">
        <v>73</v>
      </c>
      <c r="Q1001">
        <v>4.4000000000000004</v>
      </c>
      <c r="R1001" t="b">
        <v>0</v>
      </c>
      <c r="S1001" t="s">
        <v>30</v>
      </c>
      <c r="T1001">
        <v>3179</v>
      </c>
      <c r="U1001" t="s">
        <v>58</v>
      </c>
      <c r="V1001" t="s">
        <v>39</v>
      </c>
      <c r="W1001" t="s">
        <v>60</v>
      </c>
    </row>
  </sheetData>
  <autoFilter ref="A1:W100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K1001"/>
  <sheetViews>
    <sheetView workbookViewId="0">
      <selection activeCell="I20" sqref="I20"/>
    </sheetView>
    <sheetView workbookViewId="1"/>
    <sheetView workbookViewId="2">
      <selection activeCell="I5" sqref="I5"/>
    </sheetView>
  </sheetViews>
  <sheetFormatPr defaultRowHeight="14.4"/>
  <cols>
    <col min="1" max="1" width="7.5546875" bestFit="1" customWidth="1"/>
    <col min="2" max="2" width="10.77734375" bestFit="1" customWidth="1"/>
    <col min="3" max="4" width="10.5546875" bestFit="1" customWidth="1"/>
    <col min="5" max="5" width="13.44140625" style="3" bestFit="1" customWidth="1"/>
    <col min="8" max="8" width="17.88671875" bestFit="1" customWidth="1"/>
    <col min="9" max="9" width="24.109375" customWidth="1"/>
    <col min="10" max="10" width="28" customWidth="1"/>
    <col min="11" max="11" width="10.88671875" bestFit="1" customWidth="1"/>
  </cols>
  <sheetData>
    <row r="1" spans="1:11">
      <c r="A1" s="7" t="s">
        <v>0</v>
      </c>
      <c r="B1" s="7" t="s">
        <v>1</v>
      </c>
      <c r="C1" s="7" t="s">
        <v>2</v>
      </c>
      <c r="D1" s="7" t="s">
        <v>3</v>
      </c>
      <c r="E1" s="19" t="s">
        <v>4</v>
      </c>
    </row>
    <row r="2" spans="1:11">
      <c r="A2" s="8">
        <v>2518</v>
      </c>
      <c r="B2" s="8" t="s">
        <v>23</v>
      </c>
      <c r="C2" s="20" t="s">
        <v>24</v>
      </c>
      <c r="D2" s="20" t="s">
        <v>25</v>
      </c>
      <c r="E2" s="21">
        <v>7.99</v>
      </c>
      <c r="F2" s="1"/>
      <c r="H2" s="2" t="s">
        <v>740</v>
      </c>
    </row>
    <row r="3" spans="1:11" ht="29.4" thickBot="1">
      <c r="A3" s="8">
        <v>6430</v>
      </c>
      <c r="B3" s="8" t="s">
        <v>34</v>
      </c>
      <c r="C3" s="20">
        <v>44989</v>
      </c>
      <c r="D3" s="20" t="s">
        <v>35</v>
      </c>
      <c r="E3" s="21">
        <v>7.99</v>
      </c>
      <c r="F3" s="1"/>
      <c r="I3" s="46" t="s">
        <v>824</v>
      </c>
      <c r="J3" s="46" t="s">
        <v>825</v>
      </c>
      <c r="K3" s="5"/>
    </row>
    <row r="4" spans="1:11">
      <c r="A4" s="8">
        <v>1798</v>
      </c>
      <c r="B4" s="8" t="s">
        <v>41</v>
      </c>
      <c r="C4" s="20">
        <v>44965</v>
      </c>
      <c r="D4" s="20" t="s">
        <v>42</v>
      </c>
      <c r="E4" s="21">
        <v>11.99</v>
      </c>
      <c r="H4" s="15" t="s">
        <v>738</v>
      </c>
      <c r="I4" s="10" t="s">
        <v>739</v>
      </c>
      <c r="J4" s="11" t="s">
        <v>741</v>
      </c>
    </row>
    <row r="5" spans="1:11">
      <c r="A5" s="8">
        <v>5255</v>
      </c>
      <c r="B5" s="8" t="s">
        <v>46</v>
      </c>
      <c r="C5" s="20" t="s">
        <v>47</v>
      </c>
      <c r="D5" s="20">
        <v>45334</v>
      </c>
      <c r="E5" s="21">
        <v>15.99</v>
      </c>
      <c r="H5" s="16">
        <v>7.99</v>
      </c>
      <c r="I5" s="7">
        <f>COUNTIF(E:E,H5)</f>
        <v>323</v>
      </c>
      <c r="J5" s="47">
        <f>H5*I5</f>
        <v>2580.77</v>
      </c>
    </row>
    <row r="6" spans="1:11">
      <c r="A6" s="8">
        <v>2854</v>
      </c>
      <c r="B6" s="8" t="s">
        <v>50</v>
      </c>
      <c r="C6" s="20">
        <v>45083</v>
      </c>
      <c r="D6" s="20" t="s">
        <v>35</v>
      </c>
      <c r="E6" s="21">
        <v>11.99</v>
      </c>
      <c r="H6" s="16">
        <v>11.99</v>
      </c>
      <c r="I6" s="7">
        <f>COUNTIF(E:E,H6)</f>
        <v>345</v>
      </c>
      <c r="J6" s="47">
        <f>H6*I6</f>
        <v>4136.55</v>
      </c>
    </row>
    <row r="7" spans="1:11">
      <c r="A7" s="8">
        <v>6735</v>
      </c>
      <c r="B7" s="8" t="s">
        <v>52</v>
      </c>
      <c r="C7" s="20" t="s">
        <v>53</v>
      </c>
      <c r="D7" s="20" t="s">
        <v>54</v>
      </c>
      <c r="E7" s="21">
        <v>15.99</v>
      </c>
      <c r="H7" s="16">
        <v>15.99</v>
      </c>
      <c r="I7" s="7">
        <f>COUNTIF(E:E,H7)</f>
        <v>332</v>
      </c>
      <c r="J7" s="47">
        <f>H7*I7</f>
        <v>5308.68</v>
      </c>
    </row>
    <row r="8" spans="1:11" ht="15" thickBot="1">
      <c r="A8" s="8">
        <v>2995</v>
      </c>
      <c r="B8" s="8" t="s">
        <v>61</v>
      </c>
      <c r="C8" s="20" t="s">
        <v>62</v>
      </c>
      <c r="D8" s="20">
        <v>45577</v>
      </c>
      <c r="E8" s="21">
        <v>7.99</v>
      </c>
      <c r="H8" s="17" t="s">
        <v>737</v>
      </c>
      <c r="I8" s="18">
        <f>SUM(I5:I7)</f>
        <v>1000</v>
      </c>
      <c r="J8" s="14">
        <f>SUM(J5:J7)</f>
        <v>12026</v>
      </c>
    </row>
    <row r="9" spans="1:11">
      <c r="A9" s="8">
        <v>5120</v>
      </c>
      <c r="B9" s="8" t="s">
        <v>66</v>
      </c>
      <c r="C9" s="20" t="s">
        <v>67</v>
      </c>
      <c r="D9" s="20" t="s">
        <v>42</v>
      </c>
      <c r="E9" s="21">
        <v>15.99</v>
      </c>
    </row>
    <row r="10" spans="1:11">
      <c r="A10" s="8">
        <v>6063</v>
      </c>
      <c r="B10" s="8" t="s">
        <v>70</v>
      </c>
      <c r="C10" s="20" t="s">
        <v>71</v>
      </c>
      <c r="D10" s="20" t="s">
        <v>72</v>
      </c>
      <c r="E10" s="21">
        <v>15.99</v>
      </c>
    </row>
    <row r="11" spans="1:11">
      <c r="A11" s="8">
        <v>6896</v>
      </c>
      <c r="B11" s="8" t="s">
        <v>77</v>
      </c>
      <c r="C11" s="20">
        <v>44969</v>
      </c>
      <c r="D11" s="20" t="s">
        <v>42</v>
      </c>
      <c r="E11" s="21">
        <v>7.99</v>
      </c>
    </row>
    <row r="12" spans="1:11">
      <c r="A12" s="8">
        <v>8447</v>
      </c>
      <c r="B12" s="8" t="s">
        <v>80</v>
      </c>
      <c r="C12" s="20" t="s">
        <v>81</v>
      </c>
      <c r="D12" s="20" t="s">
        <v>82</v>
      </c>
      <c r="E12" s="21">
        <v>11.99</v>
      </c>
    </row>
    <row r="13" spans="1:11">
      <c r="A13" s="8">
        <v>1433</v>
      </c>
      <c r="B13" s="8" t="s">
        <v>83</v>
      </c>
      <c r="C13" s="20">
        <v>45325</v>
      </c>
      <c r="D13" s="20" t="s">
        <v>84</v>
      </c>
      <c r="E13" s="21">
        <v>15.99</v>
      </c>
    </row>
    <row r="14" spans="1:11">
      <c r="A14" s="8">
        <v>4511</v>
      </c>
      <c r="B14" s="8" t="s">
        <v>85</v>
      </c>
      <c r="C14" s="20" t="s">
        <v>86</v>
      </c>
      <c r="D14" s="20" t="s">
        <v>87</v>
      </c>
      <c r="E14" s="21">
        <v>7.99</v>
      </c>
    </row>
    <row r="15" spans="1:11">
      <c r="A15" s="8">
        <v>9966</v>
      </c>
      <c r="B15" s="8" t="s">
        <v>88</v>
      </c>
      <c r="C15" s="20" t="s">
        <v>89</v>
      </c>
      <c r="D15" s="20" t="s">
        <v>90</v>
      </c>
      <c r="E15" s="21">
        <v>7.99</v>
      </c>
    </row>
    <row r="16" spans="1:11">
      <c r="A16" s="8">
        <v>7093</v>
      </c>
      <c r="B16" s="8" t="s">
        <v>91</v>
      </c>
      <c r="C16" s="20">
        <v>45113</v>
      </c>
      <c r="D16" s="20">
        <v>45608</v>
      </c>
      <c r="E16" s="21">
        <v>7.99</v>
      </c>
    </row>
    <row r="17" spans="1:5">
      <c r="A17" s="8">
        <v>4351</v>
      </c>
      <c r="B17" s="8" t="s">
        <v>94</v>
      </c>
      <c r="C17" s="20" t="s">
        <v>95</v>
      </c>
      <c r="D17" s="20" t="s">
        <v>90</v>
      </c>
      <c r="E17" s="21">
        <v>11.99</v>
      </c>
    </row>
    <row r="18" spans="1:5">
      <c r="A18" s="8">
        <v>6007</v>
      </c>
      <c r="B18" s="8" t="s">
        <v>96</v>
      </c>
      <c r="C18" s="20" t="s">
        <v>97</v>
      </c>
      <c r="D18" s="20" t="s">
        <v>72</v>
      </c>
      <c r="E18" s="21">
        <v>7.99</v>
      </c>
    </row>
    <row r="19" spans="1:5">
      <c r="A19" s="8">
        <v>9710</v>
      </c>
      <c r="B19" s="8" t="s">
        <v>98</v>
      </c>
      <c r="C19" s="20">
        <v>44963</v>
      </c>
      <c r="D19" s="20" t="s">
        <v>99</v>
      </c>
      <c r="E19" s="21">
        <v>7.99</v>
      </c>
    </row>
    <row r="20" spans="1:5">
      <c r="A20" s="8">
        <v>9034</v>
      </c>
      <c r="B20" s="8" t="s">
        <v>101</v>
      </c>
      <c r="C20" s="20" t="s">
        <v>102</v>
      </c>
      <c r="D20" s="20" t="s">
        <v>103</v>
      </c>
      <c r="E20" s="21">
        <v>15.99</v>
      </c>
    </row>
    <row r="21" spans="1:5">
      <c r="A21" s="8">
        <v>6197</v>
      </c>
      <c r="B21" s="8" t="s">
        <v>104</v>
      </c>
      <c r="C21" s="20">
        <v>44992</v>
      </c>
      <c r="D21" s="20" t="s">
        <v>105</v>
      </c>
      <c r="E21" s="21">
        <v>15.99</v>
      </c>
    </row>
    <row r="22" spans="1:5">
      <c r="A22" s="8">
        <v>2820</v>
      </c>
      <c r="B22" s="8" t="s">
        <v>106</v>
      </c>
      <c r="C22" s="20" t="s">
        <v>107</v>
      </c>
      <c r="D22" s="20">
        <v>45303</v>
      </c>
      <c r="E22" s="21">
        <v>7.99</v>
      </c>
    </row>
    <row r="23" spans="1:5">
      <c r="A23" s="8">
        <v>1101</v>
      </c>
      <c r="B23" s="8" t="s">
        <v>52</v>
      </c>
      <c r="C23" s="20" t="s">
        <v>108</v>
      </c>
      <c r="D23" s="20" t="s">
        <v>109</v>
      </c>
      <c r="E23" s="21">
        <v>15.99</v>
      </c>
    </row>
    <row r="24" spans="1:5">
      <c r="A24" s="8">
        <v>1650</v>
      </c>
      <c r="B24" s="8" t="s">
        <v>98</v>
      </c>
      <c r="C24" s="20" t="s">
        <v>62</v>
      </c>
      <c r="D24" s="20" t="s">
        <v>109</v>
      </c>
      <c r="E24" s="21">
        <v>15.99</v>
      </c>
    </row>
    <row r="25" spans="1:5">
      <c r="A25" s="8">
        <v>4884</v>
      </c>
      <c r="B25" s="8" t="s">
        <v>110</v>
      </c>
      <c r="C25" s="20" t="s">
        <v>111</v>
      </c>
      <c r="D25" s="20" t="s">
        <v>87</v>
      </c>
      <c r="E25" s="21">
        <v>15.99</v>
      </c>
    </row>
    <row r="26" spans="1:5">
      <c r="A26" s="8">
        <v>8321</v>
      </c>
      <c r="B26" s="8" t="s">
        <v>112</v>
      </c>
      <c r="C26" s="20" t="s">
        <v>113</v>
      </c>
      <c r="D26" s="20" t="s">
        <v>109</v>
      </c>
      <c r="E26" s="21">
        <v>11.99</v>
      </c>
    </row>
    <row r="27" spans="1:5">
      <c r="A27" s="8">
        <v>2381</v>
      </c>
      <c r="B27" s="8" t="s">
        <v>114</v>
      </c>
      <c r="C27" s="20" t="s">
        <v>115</v>
      </c>
      <c r="D27" s="20" t="s">
        <v>35</v>
      </c>
      <c r="E27" s="21">
        <v>7.99</v>
      </c>
    </row>
    <row r="28" spans="1:5">
      <c r="A28" s="8">
        <v>9507</v>
      </c>
      <c r="B28" s="8" t="s">
        <v>116</v>
      </c>
      <c r="C28" s="20" t="s">
        <v>117</v>
      </c>
      <c r="D28" s="20" t="s">
        <v>54</v>
      </c>
      <c r="E28" s="21">
        <v>11.99</v>
      </c>
    </row>
    <row r="29" spans="1:5">
      <c r="A29" s="8">
        <v>2851</v>
      </c>
      <c r="B29" s="8" t="s">
        <v>118</v>
      </c>
      <c r="C29" s="20" t="s">
        <v>119</v>
      </c>
      <c r="D29" s="20" t="s">
        <v>109</v>
      </c>
      <c r="E29" s="21">
        <v>15.99</v>
      </c>
    </row>
    <row r="30" spans="1:5">
      <c r="A30" s="8">
        <v>4083</v>
      </c>
      <c r="B30" s="8" t="s">
        <v>120</v>
      </c>
      <c r="C30" s="20" t="s">
        <v>121</v>
      </c>
      <c r="D30" s="20">
        <v>45577</v>
      </c>
      <c r="E30" s="21">
        <v>11.99</v>
      </c>
    </row>
    <row r="31" spans="1:5">
      <c r="A31" s="8">
        <v>4608</v>
      </c>
      <c r="B31" s="8" t="s">
        <v>122</v>
      </c>
      <c r="C31" s="20" t="s">
        <v>123</v>
      </c>
      <c r="D31" s="20" t="s">
        <v>105</v>
      </c>
      <c r="E31" s="21">
        <v>11.99</v>
      </c>
    </row>
    <row r="32" spans="1:5">
      <c r="A32" s="8">
        <v>4815</v>
      </c>
      <c r="B32" s="8" t="s">
        <v>124</v>
      </c>
      <c r="C32" s="20">
        <v>45329</v>
      </c>
      <c r="D32" s="20" t="s">
        <v>84</v>
      </c>
      <c r="E32" s="21">
        <v>7.99</v>
      </c>
    </row>
    <row r="33" spans="1:5">
      <c r="A33" s="8">
        <v>9597</v>
      </c>
      <c r="B33" s="8" t="s">
        <v>125</v>
      </c>
      <c r="C33" s="20">
        <v>45455</v>
      </c>
      <c r="D33" s="20">
        <v>45334</v>
      </c>
      <c r="E33" s="21">
        <v>11.99</v>
      </c>
    </row>
    <row r="34" spans="1:5">
      <c r="A34" s="8">
        <v>6566</v>
      </c>
      <c r="B34" s="8" t="s">
        <v>126</v>
      </c>
      <c r="C34" s="20" t="s">
        <v>127</v>
      </c>
      <c r="D34" s="20" t="s">
        <v>72</v>
      </c>
      <c r="E34" s="21">
        <v>11.99</v>
      </c>
    </row>
    <row r="35" spans="1:5">
      <c r="A35" s="8">
        <v>1419</v>
      </c>
      <c r="B35" s="8" t="s">
        <v>128</v>
      </c>
      <c r="C35" s="20">
        <v>44992</v>
      </c>
      <c r="D35" s="20" t="s">
        <v>129</v>
      </c>
      <c r="E35" s="21">
        <v>11.99</v>
      </c>
    </row>
    <row r="36" spans="1:5">
      <c r="A36" s="8">
        <v>9470</v>
      </c>
      <c r="B36" s="8" t="s">
        <v>130</v>
      </c>
      <c r="C36" s="20" t="s">
        <v>131</v>
      </c>
      <c r="D36" s="20" t="s">
        <v>35</v>
      </c>
      <c r="E36" s="21">
        <v>7.99</v>
      </c>
    </row>
    <row r="37" spans="1:5">
      <c r="A37" s="8">
        <v>4989</v>
      </c>
      <c r="B37" s="8" t="s">
        <v>132</v>
      </c>
      <c r="C37" s="20">
        <v>45566</v>
      </c>
      <c r="D37" s="20">
        <v>45577</v>
      </c>
      <c r="E37" s="21">
        <v>7.99</v>
      </c>
    </row>
    <row r="38" spans="1:5">
      <c r="A38" s="8">
        <v>9389</v>
      </c>
      <c r="B38" s="8" t="s">
        <v>133</v>
      </c>
      <c r="C38" s="20">
        <v>45361</v>
      </c>
      <c r="D38" s="20" t="s">
        <v>134</v>
      </c>
      <c r="E38" s="21">
        <v>15.99</v>
      </c>
    </row>
    <row r="39" spans="1:5">
      <c r="A39" s="8">
        <v>7728</v>
      </c>
      <c r="B39" s="8" t="s">
        <v>135</v>
      </c>
      <c r="C39" s="20" t="s">
        <v>136</v>
      </c>
      <c r="D39" s="20" t="s">
        <v>25</v>
      </c>
      <c r="E39" s="21">
        <v>11.99</v>
      </c>
    </row>
    <row r="40" spans="1:5">
      <c r="A40" s="8">
        <v>7943</v>
      </c>
      <c r="B40" s="8" t="s">
        <v>137</v>
      </c>
      <c r="C40" s="20">
        <v>45301</v>
      </c>
      <c r="D40" s="20">
        <v>45303</v>
      </c>
      <c r="E40" s="21">
        <v>15.99</v>
      </c>
    </row>
    <row r="41" spans="1:5">
      <c r="A41" s="8">
        <v>2490</v>
      </c>
      <c r="B41" s="8" t="s">
        <v>138</v>
      </c>
      <c r="C41" s="20" t="s">
        <v>139</v>
      </c>
      <c r="D41" s="20" t="s">
        <v>54</v>
      </c>
      <c r="E41" s="21">
        <v>11.99</v>
      </c>
    </row>
    <row r="42" spans="1:5">
      <c r="A42" s="8">
        <v>5042</v>
      </c>
      <c r="B42" s="8" t="s">
        <v>140</v>
      </c>
      <c r="C42" s="20" t="s">
        <v>141</v>
      </c>
      <c r="D42" s="20" t="s">
        <v>109</v>
      </c>
      <c r="E42" s="21">
        <v>15.99</v>
      </c>
    </row>
    <row r="43" spans="1:5">
      <c r="A43" s="8">
        <v>3620</v>
      </c>
      <c r="B43" s="8" t="s">
        <v>142</v>
      </c>
      <c r="C43" s="20">
        <v>45481</v>
      </c>
      <c r="D43" s="20">
        <v>45485</v>
      </c>
      <c r="E43" s="21">
        <v>15.99</v>
      </c>
    </row>
    <row r="44" spans="1:5">
      <c r="A44" s="8">
        <v>8976</v>
      </c>
      <c r="B44" s="8" t="s">
        <v>143</v>
      </c>
      <c r="C44" s="20" t="s">
        <v>144</v>
      </c>
      <c r="D44" s="20">
        <v>45638</v>
      </c>
      <c r="E44" s="21">
        <v>7.99</v>
      </c>
    </row>
    <row r="45" spans="1:5">
      <c r="A45" s="8">
        <v>1570</v>
      </c>
      <c r="B45" s="8" t="s">
        <v>138</v>
      </c>
      <c r="C45" s="20" t="s">
        <v>145</v>
      </c>
      <c r="D45" s="20" t="s">
        <v>82</v>
      </c>
      <c r="E45" s="21">
        <v>11.99</v>
      </c>
    </row>
    <row r="46" spans="1:5">
      <c r="A46" s="8">
        <v>7709</v>
      </c>
      <c r="B46" s="8" t="s">
        <v>146</v>
      </c>
      <c r="C46" s="20">
        <v>45020</v>
      </c>
      <c r="D46" s="20">
        <v>45303</v>
      </c>
      <c r="E46" s="21">
        <v>11.99</v>
      </c>
    </row>
    <row r="47" spans="1:5">
      <c r="A47" s="8">
        <v>9503</v>
      </c>
      <c r="B47" s="8" t="s">
        <v>147</v>
      </c>
      <c r="C47" s="20">
        <v>45600</v>
      </c>
      <c r="D47" s="20">
        <v>45424</v>
      </c>
      <c r="E47" s="21">
        <v>11.99</v>
      </c>
    </row>
    <row r="48" spans="1:5">
      <c r="A48" s="8">
        <v>9564</v>
      </c>
      <c r="B48" s="8" t="s">
        <v>148</v>
      </c>
      <c r="C48" s="20" t="s">
        <v>149</v>
      </c>
      <c r="D48" s="20">
        <v>45394</v>
      </c>
      <c r="E48" s="21">
        <v>15.99</v>
      </c>
    </row>
    <row r="49" spans="1:5">
      <c r="A49" s="8">
        <v>8934</v>
      </c>
      <c r="B49" s="8" t="s">
        <v>150</v>
      </c>
      <c r="C49" s="20" t="s">
        <v>151</v>
      </c>
      <c r="D49" s="20">
        <v>45424</v>
      </c>
      <c r="E49" s="21">
        <v>7.99</v>
      </c>
    </row>
    <row r="50" spans="1:5">
      <c r="A50" s="8">
        <v>1222</v>
      </c>
      <c r="B50" s="8" t="s">
        <v>152</v>
      </c>
      <c r="C50" s="20">
        <v>44935</v>
      </c>
      <c r="D50" s="20">
        <v>45516</v>
      </c>
      <c r="E50" s="21">
        <v>15.99</v>
      </c>
    </row>
    <row r="51" spans="1:5">
      <c r="A51" s="8">
        <v>5762</v>
      </c>
      <c r="B51" s="8" t="s">
        <v>153</v>
      </c>
      <c r="C51" s="20" t="s">
        <v>123</v>
      </c>
      <c r="D51" s="20">
        <v>45334</v>
      </c>
      <c r="E51" s="21">
        <v>11.99</v>
      </c>
    </row>
    <row r="52" spans="1:5">
      <c r="A52" s="8">
        <v>4066</v>
      </c>
      <c r="B52" s="8" t="s">
        <v>143</v>
      </c>
      <c r="C52" s="20" t="s">
        <v>154</v>
      </c>
      <c r="D52" s="20">
        <v>45638</v>
      </c>
      <c r="E52" s="21">
        <v>11.99</v>
      </c>
    </row>
    <row r="53" spans="1:5">
      <c r="A53" s="8">
        <v>6469</v>
      </c>
      <c r="B53" s="8" t="s">
        <v>98</v>
      </c>
      <c r="C53" s="20" t="s">
        <v>155</v>
      </c>
      <c r="D53" s="20" t="s">
        <v>156</v>
      </c>
      <c r="E53" s="21">
        <v>11.99</v>
      </c>
    </row>
    <row r="54" spans="1:5">
      <c r="A54" s="8">
        <v>1364</v>
      </c>
      <c r="B54" s="8" t="s">
        <v>157</v>
      </c>
      <c r="C54" s="20" t="s">
        <v>158</v>
      </c>
      <c r="D54" s="20">
        <v>45334</v>
      </c>
      <c r="E54" s="21">
        <v>11.99</v>
      </c>
    </row>
    <row r="55" spans="1:5">
      <c r="A55" s="8">
        <v>4197</v>
      </c>
      <c r="B55" s="8" t="s">
        <v>143</v>
      </c>
      <c r="C55" s="20" t="s">
        <v>159</v>
      </c>
      <c r="D55" s="20" t="s">
        <v>25</v>
      </c>
      <c r="E55" s="21">
        <v>15.99</v>
      </c>
    </row>
    <row r="56" spans="1:5">
      <c r="A56" s="8">
        <v>9700</v>
      </c>
      <c r="B56" s="8" t="s">
        <v>160</v>
      </c>
      <c r="C56" s="20" t="s">
        <v>161</v>
      </c>
      <c r="D56" s="20" t="s">
        <v>90</v>
      </c>
      <c r="E56" s="21">
        <v>15.99</v>
      </c>
    </row>
    <row r="57" spans="1:5">
      <c r="A57" s="8">
        <v>5644</v>
      </c>
      <c r="B57" s="8" t="s">
        <v>126</v>
      </c>
      <c r="C57" s="20">
        <v>45447</v>
      </c>
      <c r="D57" s="20">
        <v>45363</v>
      </c>
      <c r="E57" s="21">
        <v>11.99</v>
      </c>
    </row>
    <row r="58" spans="1:5">
      <c r="A58" s="8">
        <v>5420</v>
      </c>
      <c r="B58" s="8" t="s">
        <v>162</v>
      </c>
      <c r="C58" s="20" t="s">
        <v>163</v>
      </c>
      <c r="D58" s="20">
        <v>45303</v>
      </c>
      <c r="E58" s="21">
        <v>11.99</v>
      </c>
    </row>
    <row r="59" spans="1:5">
      <c r="A59" s="8">
        <v>7560</v>
      </c>
      <c r="B59" s="8" t="s">
        <v>164</v>
      </c>
      <c r="C59" s="20" t="s">
        <v>165</v>
      </c>
      <c r="D59" s="20">
        <v>45363</v>
      </c>
      <c r="E59" s="21">
        <v>7.99</v>
      </c>
    </row>
    <row r="60" spans="1:5">
      <c r="A60" s="8">
        <v>9644</v>
      </c>
      <c r="B60" s="8" t="s">
        <v>106</v>
      </c>
      <c r="C60" s="20">
        <v>45513</v>
      </c>
      <c r="D60" s="20" t="s">
        <v>87</v>
      </c>
      <c r="E60" s="21">
        <v>7.99</v>
      </c>
    </row>
    <row r="61" spans="1:5">
      <c r="A61" s="8">
        <v>7239</v>
      </c>
      <c r="B61" s="8" t="s">
        <v>166</v>
      </c>
      <c r="C61" s="20" t="s">
        <v>167</v>
      </c>
      <c r="D61" s="20" t="s">
        <v>168</v>
      </c>
      <c r="E61" s="21">
        <v>15.99</v>
      </c>
    </row>
    <row r="62" spans="1:5">
      <c r="A62" s="8">
        <v>6415</v>
      </c>
      <c r="B62" s="8" t="s">
        <v>169</v>
      </c>
      <c r="C62" s="20">
        <v>45270</v>
      </c>
      <c r="D62" s="20" t="s">
        <v>54</v>
      </c>
      <c r="E62" s="21">
        <v>11.99</v>
      </c>
    </row>
    <row r="63" spans="1:5">
      <c r="A63" s="8">
        <v>9020</v>
      </c>
      <c r="B63" s="8" t="s">
        <v>170</v>
      </c>
      <c r="C63" s="20">
        <v>44987</v>
      </c>
      <c r="D63" s="20">
        <v>45363</v>
      </c>
      <c r="E63" s="21">
        <v>11.99</v>
      </c>
    </row>
    <row r="64" spans="1:5">
      <c r="A64" s="8">
        <v>2324</v>
      </c>
      <c r="B64" s="8" t="s">
        <v>171</v>
      </c>
      <c r="C64" s="20" t="s">
        <v>156</v>
      </c>
      <c r="D64" s="20">
        <v>45608</v>
      </c>
      <c r="E64" s="21">
        <v>7.99</v>
      </c>
    </row>
    <row r="65" spans="1:5">
      <c r="A65" s="8">
        <v>1354</v>
      </c>
      <c r="B65" s="8" t="s">
        <v>172</v>
      </c>
      <c r="C65" s="20" t="s">
        <v>173</v>
      </c>
      <c r="D65" s="20">
        <v>45485</v>
      </c>
      <c r="E65" s="21">
        <v>7.99</v>
      </c>
    </row>
    <row r="66" spans="1:5">
      <c r="A66" s="8">
        <v>4019</v>
      </c>
      <c r="B66" s="8" t="s">
        <v>174</v>
      </c>
      <c r="C66" s="20" t="s">
        <v>175</v>
      </c>
      <c r="D66" s="20">
        <v>45455</v>
      </c>
      <c r="E66" s="21">
        <v>15.99</v>
      </c>
    </row>
    <row r="67" spans="1:5">
      <c r="A67" s="8">
        <v>6178</v>
      </c>
      <c r="B67" s="8" t="s">
        <v>176</v>
      </c>
      <c r="C67" s="20">
        <v>44929</v>
      </c>
      <c r="D67" s="20">
        <v>45547</v>
      </c>
      <c r="E67" s="21">
        <v>11.99</v>
      </c>
    </row>
    <row r="68" spans="1:5">
      <c r="A68" s="8">
        <v>8673</v>
      </c>
      <c r="B68" s="8" t="s">
        <v>135</v>
      </c>
      <c r="C68" s="20" t="s">
        <v>175</v>
      </c>
      <c r="D68" s="20">
        <v>45608</v>
      </c>
      <c r="E68" s="21">
        <v>7.99</v>
      </c>
    </row>
    <row r="69" spans="1:5">
      <c r="A69" s="8">
        <v>8250</v>
      </c>
      <c r="B69" s="8" t="s">
        <v>177</v>
      </c>
      <c r="C69" s="20" t="s">
        <v>178</v>
      </c>
      <c r="D69" s="20" t="s">
        <v>168</v>
      </c>
      <c r="E69" s="21">
        <v>15.99</v>
      </c>
    </row>
    <row r="70" spans="1:5">
      <c r="A70" s="8">
        <v>1609</v>
      </c>
      <c r="B70" s="8" t="s">
        <v>179</v>
      </c>
      <c r="C70" s="20" t="s">
        <v>180</v>
      </c>
      <c r="D70" s="20" t="s">
        <v>72</v>
      </c>
      <c r="E70" s="21">
        <v>7.99</v>
      </c>
    </row>
    <row r="71" spans="1:5">
      <c r="A71" s="8">
        <v>3806</v>
      </c>
      <c r="B71" s="8" t="s">
        <v>181</v>
      </c>
      <c r="C71" s="20" t="s">
        <v>182</v>
      </c>
      <c r="D71" s="20">
        <v>45638</v>
      </c>
      <c r="E71" s="21">
        <v>15.99</v>
      </c>
    </row>
    <row r="72" spans="1:5">
      <c r="A72" s="8">
        <v>7973</v>
      </c>
      <c r="B72" s="8" t="s">
        <v>183</v>
      </c>
      <c r="C72" s="20">
        <v>45301</v>
      </c>
      <c r="D72" s="20">
        <v>45363</v>
      </c>
      <c r="E72" s="21">
        <v>7.99</v>
      </c>
    </row>
    <row r="73" spans="1:5">
      <c r="A73" s="8">
        <v>7948</v>
      </c>
      <c r="B73" s="8" t="s">
        <v>184</v>
      </c>
      <c r="C73" s="20" t="s">
        <v>185</v>
      </c>
      <c r="D73" s="20" t="s">
        <v>109</v>
      </c>
      <c r="E73" s="21">
        <v>15.99</v>
      </c>
    </row>
    <row r="74" spans="1:5">
      <c r="A74" s="8">
        <v>3195</v>
      </c>
      <c r="B74" s="8" t="s">
        <v>186</v>
      </c>
      <c r="C74" s="20" t="s">
        <v>187</v>
      </c>
      <c r="D74" s="20" t="s">
        <v>72</v>
      </c>
      <c r="E74" s="21">
        <v>11.99</v>
      </c>
    </row>
    <row r="75" spans="1:5">
      <c r="A75" s="8">
        <v>6285</v>
      </c>
      <c r="B75" s="8" t="s">
        <v>188</v>
      </c>
      <c r="C75" s="20" t="s">
        <v>189</v>
      </c>
      <c r="D75" s="20" t="s">
        <v>90</v>
      </c>
      <c r="E75" s="21">
        <v>11.99</v>
      </c>
    </row>
    <row r="76" spans="1:5">
      <c r="A76" s="8">
        <v>4303</v>
      </c>
      <c r="B76" s="8" t="s">
        <v>179</v>
      </c>
      <c r="C76" s="20">
        <v>45086</v>
      </c>
      <c r="D76" s="20" t="s">
        <v>72</v>
      </c>
      <c r="E76" s="21">
        <v>7.99</v>
      </c>
    </row>
    <row r="77" spans="1:5">
      <c r="A77" s="8">
        <v>7751</v>
      </c>
      <c r="B77" s="8" t="s">
        <v>190</v>
      </c>
      <c r="C77" s="20">
        <v>45511</v>
      </c>
      <c r="D77" s="20" t="s">
        <v>109</v>
      </c>
      <c r="E77" s="21">
        <v>11.99</v>
      </c>
    </row>
    <row r="78" spans="1:5">
      <c r="A78" s="8">
        <v>7813</v>
      </c>
      <c r="B78" s="8" t="s">
        <v>191</v>
      </c>
      <c r="C78" s="20" t="s">
        <v>192</v>
      </c>
      <c r="D78" s="20" t="s">
        <v>134</v>
      </c>
      <c r="E78" s="21">
        <v>15.99</v>
      </c>
    </row>
    <row r="79" spans="1:5">
      <c r="A79" s="8">
        <v>9028</v>
      </c>
      <c r="B79" s="8" t="s">
        <v>193</v>
      </c>
      <c r="C79" s="20">
        <v>45089</v>
      </c>
      <c r="D79" s="20" t="s">
        <v>105</v>
      </c>
      <c r="E79" s="21">
        <v>15.99</v>
      </c>
    </row>
    <row r="80" spans="1:5">
      <c r="A80" s="8">
        <v>6109</v>
      </c>
      <c r="B80" s="8" t="s">
        <v>194</v>
      </c>
      <c r="C80" s="20" t="s">
        <v>195</v>
      </c>
      <c r="D80" s="20">
        <v>45455</v>
      </c>
      <c r="E80" s="21">
        <v>15.99</v>
      </c>
    </row>
    <row r="81" spans="1:5">
      <c r="A81" s="8">
        <v>2565</v>
      </c>
      <c r="B81" s="8" t="s">
        <v>196</v>
      </c>
      <c r="C81" s="20" t="s">
        <v>89</v>
      </c>
      <c r="D81" s="20" t="s">
        <v>103</v>
      </c>
      <c r="E81" s="21">
        <v>7.99</v>
      </c>
    </row>
    <row r="82" spans="1:5">
      <c r="A82" s="8">
        <v>7551</v>
      </c>
      <c r="B82" s="8" t="s">
        <v>197</v>
      </c>
      <c r="C82" s="20" t="s">
        <v>198</v>
      </c>
      <c r="D82" s="20">
        <v>45334</v>
      </c>
      <c r="E82" s="21">
        <v>15.99</v>
      </c>
    </row>
    <row r="83" spans="1:5">
      <c r="A83" s="8">
        <v>6398</v>
      </c>
      <c r="B83" s="8" t="s">
        <v>199</v>
      </c>
      <c r="C83" s="20" t="s">
        <v>200</v>
      </c>
      <c r="D83" s="20">
        <v>45485</v>
      </c>
      <c r="E83" s="21">
        <v>7.99</v>
      </c>
    </row>
    <row r="84" spans="1:5">
      <c r="A84" s="8">
        <v>4982</v>
      </c>
      <c r="B84" s="8" t="s">
        <v>201</v>
      </c>
      <c r="C84" s="20" t="s">
        <v>111</v>
      </c>
      <c r="D84" s="20">
        <v>45638</v>
      </c>
      <c r="E84" s="21">
        <v>11.99</v>
      </c>
    </row>
    <row r="85" spans="1:5">
      <c r="A85" s="8">
        <v>8108</v>
      </c>
      <c r="B85" s="8" t="s">
        <v>202</v>
      </c>
      <c r="C85" s="20" t="s">
        <v>203</v>
      </c>
      <c r="D85" s="20" t="s">
        <v>90</v>
      </c>
      <c r="E85" s="21">
        <v>11.99</v>
      </c>
    </row>
    <row r="86" spans="1:5">
      <c r="A86" s="8">
        <v>6779</v>
      </c>
      <c r="B86" s="8" t="s">
        <v>204</v>
      </c>
      <c r="C86" s="20" t="s">
        <v>205</v>
      </c>
      <c r="D86" s="20">
        <v>45363</v>
      </c>
      <c r="E86" s="21">
        <v>7.99</v>
      </c>
    </row>
    <row r="87" spans="1:5">
      <c r="A87" s="8">
        <v>1169</v>
      </c>
      <c r="B87" s="8" t="s">
        <v>157</v>
      </c>
      <c r="C87" s="20" t="s">
        <v>206</v>
      </c>
      <c r="D87" s="20">
        <v>45363</v>
      </c>
      <c r="E87" s="21">
        <v>11.99</v>
      </c>
    </row>
    <row r="88" spans="1:5">
      <c r="A88" s="8">
        <v>5067</v>
      </c>
      <c r="B88" s="8" t="s">
        <v>207</v>
      </c>
      <c r="C88" s="20" t="s">
        <v>208</v>
      </c>
      <c r="D88" s="20" t="s">
        <v>99</v>
      </c>
      <c r="E88" s="21">
        <v>7.99</v>
      </c>
    </row>
    <row r="89" spans="1:5">
      <c r="A89" s="8">
        <v>5299</v>
      </c>
      <c r="B89" s="8" t="s">
        <v>209</v>
      </c>
      <c r="C89" s="20" t="s">
        <v>210</v>
      </c>
      <c r="D89" s="20">
        <v>45334</v>
      </c>
      <c r="E89" s="21">
        <v>7.99</v>
      </c>
    </row>
    <row r="90" spans="1:5">
      <c r="A90" s="8">
        <v>3978</v>
      </c>
      <c r="B90" s="8" t="s">
        <v>143</v>
      </c>
      <c r="C90" s="20" t="s">
        <v>115</v>
      </c>
      <c r="D90" s="20" t="s">
        <v>105</v>
      </c>
      <c r="E90" s="21">
        <v>7.99</v>
      </c>
    </row>
    <row r="91" spans="1:5">
      <c r="A91" s="8">
        <v>8634</v>
      </c>
      <c r="B91" s="8" t="s">
        <v>211</v>
      </c>
      <c r="C91" s="20">
        <v>44965</v>
      </c>
      <c r="D91" s="20" t="s">
        <v>25</v>
      </c>
      <c r="E91" s="21">
        <v>15.99</v>
      </c>
    </row>
    <row r="92" spans="1:5">
      <c r="A92" s="8">
        <v>9635</v>
      </c>
      <c r="B92" s="8" t="s">
        <v>212</v>
      </c>
      <c r="C92" s="20" t="s">
        <v>213</v>
      </c>
      <c r="D92" s="20" t="s">
        <v>214</v>
      </c>
      <c r="E92" s="21">
        <v>11.99</v>
      </c>
    </row>
    <row r="93" spans="1:5">
      <c r="A93" s="8">
        <v>1776</v>
      </c>
      <c r="B93" s="8" t="s">
        <v>215</v>
      </c>
      <c r="C93" s="20" t="s">
        <v>216</v>
      </c>
      <c r="D93" s="20" t="s">
        <v>84</v>
      </c>
      <c r="E93" s="21">
        <v>15.99</v>
      </c>
    </row>
    <row r="94" spans="1:5">
      <c r="A94" s="8">
        <v>9703</v>
      </c>
      <c r="B94" s="8" t="s">
        <v>106</v>
      </c>
      <c r="C94" s="20" t="s">
        <v>217</v>
      </c>
      <c r="D94" s="20">
        <v>45638</v>
      </c>
      <c r="E94" s="21">
        <v>11.99</v>
      </c>
    </row>
    <row r="95" spans="1:5">
      <c r="A95" s="8">
        <v>3498</v>
      </c>
      <c r="B95" s="8" t="s">
        <v>218</v>
      </c>
      <c r="C95" s="20">
        <v>45239</v>
      </c>
      <c r="D95" s="20">
        <v>45303</v>
      </c>
      <c r="E95" s="21">
        <v>15.99</v>
      </c>
    </row>
    <row r="96" spans="1:5">
      <c r="A96" s="8">
        <v>4260</v>
      </c>
      <c r="B96" s="8" t="s">
        <v>219</v>
      </c>
      <c r="C96" s="20" t="s">
        <v>220</v>
      </c>
      <c r="D96" s="20" t="s">
        <v>129</v>
      </c>
      <c r="E96" s="21">
        <v>7.99</v>
      </c>
    </row>
    <row r="97" spans="1:5">
      <c r="A97" s="8">
        <v>7152</v>
      </c>
      <c r="B97" s="8" t="s">
        <v>153</v>
      </c>
      <c r="C97" s="20">
        <v>45048</v>
      </c>
      <c r="D97" s="20">
        <v>45394</v>
      </c>
      <c r="E97" s="21">
        <v>11.99</v>
      </c>
    </row>
    <row r="98" spans="1:5">
      <c r="A98" s="8">
        <v>2457</v>
      </c>
      <c r="B98" s="8" t="s">
        <v>179</v>
      </c>
      <c r="C98" s="20" t="s">
        <v>221</v>
      </c>
      <c r="D98" s="20" t="s">
        <v>214</v>
      </c>
      <c r="E98" s="21">
        <v>7.99</v>
      </c>
    </row>
    <row r="99" spans="1:5">
      <c r="A99" s="8">
        <v>8530</v>
      </c>
      <c r="B99" s="8" t="s">
        <v>222</v>
      </c>
      <c r="C99" s="20" t="s">
        <v>151</v>
      </c>
      <c r="D99" s="20">
        <v>45394</v>
      </c>
      <c r="E99" s="21">
        <v>11.99</v>
      </c>
    </row>
    <row r="100" spans="1:5">
      <c r="A100" s="8">
        <v>9131</v>
      </c>
      <c r="B100" s="8" t="s">
        <v>223</v>
      </c>
      <c r="C100" s="20">
        <v>44993</v>
      </c>
      <c r="D100" s="20" t="s">
        <v>99</v>
      </c>
      <c r="E100" s="21">
        <v>7.99</v>
      </c>
    </row>
    <row r="101" spans="1:5">
      <c r="A101" s="8">
        <v>9770</v>
      </c>
      <c r="B101" s="8" t="s">
        <v>224</v>
      </c>
      <c r="C101" s="20" t="s">
        <v>225</v>
      </c>
      <c r="D101" s="20" t="s">
        <v>156</v>
      </c>
      <c r="E101" s="21">
        <v>7.99</v>
      </c>
    </row>
    <row r="102" spans="1:5">
      <c r="A102" s="8">
        <v>8095</v>
      </c>
      <c r="B102" s="8" t="s">
        <v>226</v>
      </c>
      <c r="C102" s="20" t="s">
        <v>227</v>
      </c>
      <c r="D102" s="20">
        <v>45608</v>
      </c>
      <c r="E102" s="21">
        <v>7.99</v>
      </c>
    </row>
    <row r="103" spans="1:5">
      <c r="A103" s="8">
        <v>3763</v>
      </c>
      <c r="B103" s="8" t="s">
        <v>228</v>
      </c>
      <c r="C103" s="20" t="s">
        <v>229</v>
      </c>
      <c r="D103" s="20">
        <v>45455</v>
      </c>
      <c r="E103" s="21">
        <v>11.99</v>
      </c>
    </row>
    <row r="104" spans="1:5">
      <c r="A104" s="8">
        <v>4346</v>
      </c>
      <c r="B104" s="8" t="s">
        <v>230</v>
      </c>
      <c r="C104" s="20" t="s">
        <v>231</v>
      </c>
      <c r="D104" s="20">
        <v>45638</v>
      </c>
      <c r="E104" s="21">
        <v>15.99</v>
      </c>
    </row>
    <row r="105" spans="1:5">
      <c r="A105" s="8">
        <v>5866</v>
      </c>
      <c r="B105" s="8" t="s">
        <v>191</v>
      </c>
      <c r="C105" s="20">
        <v>45297</v>
      </c>
      <c r="D105" s="20" t="s">
        <v>214</v>
      </c>
      <c r="E105" s="21">
        <v>7.99</v>
      </c>
    </row>
    <row r="106" spans="1:5">
      <c r="A106" s="8">
        <v>5865</v>
      </c>
      <c r="B106" s="8" t="s">
        <v>232</v>
      </c>
      <c r="C106" s="20" t="s">
        <v>233</v>
      </c>
      <c r="D106" s="20" t="s">
        <v>156</v>
      </c>
      <c r="E106" s="21">
        <v>11.99</v>
      </c>
    </row>
    <row r="107" spans="1:5">
      <c r="A107" s="8">
        <v>9398</v>
      </c>
      <c r="B107" s="8" t="s">
        <v>234</v>
      </c>
      <c r="C107" s="20" t="s">
        <v>235</v>
      </c>
      <c r="D107" s="20">
        <v>45608</v>
      </c>
      <c r="E107" s="21">
        <v>7.99</v>
      </c>
    </row>
    <row r="108" spans="1:5">
      <c r="A108" s="8">
        <v>9695</v>
      </c>
      <c r="B108" s="8" t="s">
        <v>236</v>
      </c>
      <c r="C108" s="20">
        <v>45150</v>
      </c>
      <c r="D108" s="20" t="s">
        <v>103</v>
      </c>
      <c r="E108" s="21">
        <v>7.99</v>
      </c>
    </row>
    <row r="109" spans="1:5">
      <c r="A109" s="8">
        <v>8805</v>
      </c>
      <c r="B109" s="8" t="s">
        <v>85</v>
      </c>
      <c r="C109" s="20">
        <v>45450</v>
      </c>
      <c r="D109" s="20">
        <v>45455</v>
      </c>
      <c r="E109" s="21">
        <v>15.99</v>
      </c>
    </row>
    <row r="110" spans="1:5">
      <c r="A110" s="8">
        <v>8353</v>
      </c>
      <c r="B110" s="8" t="s">
        <v>148</v>
      </c>
      <c r="C110" s="20" t="s">
        <v>237</v>
      </c>
      <c r="D110" s="20" t="s">
        <v>54</v>
      </c>
      <c r="E110" s="21">
        <v>15.99</v>
      </c>
    </row>
    <row r="111" spans="1:5">
      <c r="A111" s="8">
        <v>3178</v>
      </c>
      <c r="B111" s="8" t="s">
        <v>238</v>
      </c>
      <c r="C111" s="20" t="s">
        <v>239</v>
      </c>
      <c r="D111" s="20">
        <v>45608</v>
      </c>
      <c r="E111" s="21">
        <v>7.99</v>
      </c>
    </row>
    <row r="112" spans="1:5">
      <c r="A112" s="8">
        <v>4917</v>
      </c>
      <c r="B112" s="8" t="s">
        <v>240</v>
      </c>
      <c r="C112" s="20" t="s">
        <v>182</v>
      </c>
      <c r="D112" s="20" t="s">
        <v>84</v>
      </c>
      <c r="E112" s="21">
        <v>11.99</v>
      </c>
    </row>
    <row r="113" spans="1:5">
      <c r="A113" s="8">
        <v>8878</v>
      </c>
      <c r="B113" s="8" t="s">
        <v>241</v>
      </c>
      <c r="C113" s="20" t="s">
        <v>217</v>
      </c>
      <c r="D113" s="20" t="s">
        <v>134</v>
      </c>
      <c r="E113" s="21">
        <v>7.99</v>
      </c>
    </row>
    <row r="114" spans="1:5">
      <c r="A114" s="8">
        <v>3810</v>
      </c>
      <c r="B114" s="8" t="s">
        <v>242</v>
      </c>
      <c r="C114" s="20" t="s">
        <v>243</v>
      </c>
      <c r="D114" s="20">
        <v>45394</v>
      </c>
      <c r="E114" s="21">
        <v>15.99</v>
      </c>
    </row>
    <row r="115" spans="1:5">
      <c r="A115" s="8">
        <v>9353</v>
      </c>
      <c r="B115" s="8" t="s">
        <v>244</v>
      </c>
      <c r="C115" s="20">
        <v>45085</v>
      </c>
      <c r="D115" s="20" t="s">
        <v>214</v>
      </c>
      <c r="E115" s="21">
        <v>7.99</v>
      </c>
    </row>
    <row r="116" spans="1:5">
      <c r="A116" s="8">
        <v>1672</v>
      </c>
      <c r="B116" s="8" t="s">
        <v>245</v>
      </c>
      <c r="C116" s="20" t="s">
        <v>246</v>
      </c>
      <c r="D116" s="20" t="s">
        <v>105</v>
      </c>
      <c r="E116" s="21">
        <v>15.99</v>
      </c>
    </row>
    <row r="117" spans="1:5">
      <c r="A117" s="8">
        <v>6650</v>
      </c>
      <c r="B117" s="8" t="s">
        <v>247</v>
      </c>
      <c r="C117" s="20">
        <v>45354</v>
      </c>
      <c r="D117" s="20" t="s">
        <v>214</v>
      </c>
      <c r="E117" s="21">
        <v>11.99</v>
      </c>
    </row>
    <row r="118" spans="1:5">
      <c r="A118" s="8">
        <v>2581</v>
      </c>
      <c r="B118" s="8" t="s">
        <v>248</v>
      </c>
      <c r="C118" s="20" t="s">
        <v>180</v>
      </c>
      <c r="D118" s="20">
        <v>45334</v>
      </c>
      <c r="E118" s="21">
        <v>15.99</v>
      </c>
    </row>
    <row r="119" spans="1:5">
      <c r="A119" s="8">
        <v>6860</v>
      </c>
      <c r="B119" s="8" t="s">
        <v>249</v>
      </c>
      <c r="C119" s="20">
        <v>45598</v>
      </c>
      <c r="D119" s="20" t="s">
        <v>129</v>
      </c>
      <c r="E119" s="21">
        <v>7.99</v>
      </c>
    </row>
    <row r="120" spans="1:5">
      <c r="A120" s="8">
        <v>4584</v>
      </c>
      <c r="B120" s="8" t="s">
        <v>138</v>
      </c>
      <c r="C120" s="20" t="s">
        <v>250</v>
      </c>
      <c r="D120" s="20" t="s">
        <v>42</v>
      </c>
      <c r="E120" s="21">
        <v>7.99</v>
      </c>
    </row>
    <row r="121" spans="1:5">
      <c r="A121" s="8">
        <v>3354</v>
      </c>
      <c r="B121" s="8" t="s">
        <v>148</v>
      </c>
      <c r="C121" s="20">
        <v>44936</v>
      </c>
      <c r="D121" s="20" t="s">
        <v>82</v>
      </c>
      <c r="E121" s="21">
        <v>11.99</v>
      </c>
    </row>
    <row r="122" spans="1:5">
      <c r="A122" s="8">
        <v>4668</v>
      </c>
      <c r="B122" s="8" t="s">
        <v>251</v>
      </c>
      <c r="C122" s="20" t="s">
        <v>72</v>
      </c>
      <c r="D122" s="20">
        <v>45547</v>
      </c>
      <c r="E122" s="21">
        <v>11.99</v>
      </c>
    </row>
    <row r="123" spans="1:5">
      <c r="A123" s="8">
        <v>6684</v>
      </c>
      <c r="B123" s="8" t="s">
        <v>252</v>
      </c>
      <c r="C123" s="20" t="s">
        <v>144</v>
      </c>
      <c r="D123" s="20">
        <v>45608</v>
      </c>
      <c r="E123" s="21">
        <v>11.99</v>
      </c>
    </row>
    <row r="124" spans="1:5">
      <c r="A124" s="8">
        <v>8058</v>
      </c>
      <c r="B124" s="8" t="s">
        <v>253</v>
      </c>
      <c r="C124" s="20">
        <v>44961</v>
      </c>
      <c r="D124" s="20" t="s">
        <v>42</v>
      </c>
      <c r="E124" s="21">
        <v>15.99</v>
      </c>
    </row>
    <row r="125" spans="1:5">
      <c r="A125" s="8">
        <v>3035</v>
      </c>
      <c r="B125" s="8" t="s">
        <v>157</v>
      </c>
      <c r="C125" s="20" t="s">
        <v>149</v>
      </c>
      <c r="D125" s="20" t="s">
        <v>156</v>
      </c>
      <c r="E125" s="21">
        <v>15.99</v>
      </c>
    </row>
    <row r="126" spans="1:5">
      <c r="A126" s="8">
        <v>2146</v>
      </c>
      <c r="B126" s="8" t="s">
        <v>254</v>
      </c>
      <c r="C126" s="20">
        <v>45603</v>
      </c>
      <c r="D126" s="20" t="s">
        <v>82</v>
      </c>
      <c r="E126" s="21">
        <v>11.99</v>
      </c>
    </row>
    <row r="127" spans="1:5">
      <c r="A127" s="8">
        <v>5761</v>
      </c>
      <c r="B127" s="8" t="s">
        <v>255</v>
      </c>
      <c r="C127" s="20" t="s">
        <v>256</v>
      </c>
      <c r="D127" s="20">
        <v>45516</v>
      </c>
      <c r="E127" s="21">
        <v>15.99</v>
      </c>
    </row>
    <row r="128" spans="1:5">
      <c r="A128" s="8">
        <v>5256</v>
      </c>
      <c r="B128" s="8" t="s">
        <v>257</v>
      </c>
      <c r="C128" s="20" t="s">
        <v>258</v>
      </c>
      <c r="D128" s="20">
        <v>45334</v>
      </c>
      <c r="E128" s="21">
        <v>15.99</v>
      </c>
    </row>
    <row r="129" spans="1:5">
      <c r="A129" s="8">
        <v>5995</v>
      </c>
      <c r="B129" s="8" t="s">
        <v>238</v>
      </c>
      <c r="C129" s="20" t="s">
        <v>71</v>
      </c>
      <c r="D129" s="20" t="s">
        <v>99</v>
      </c>
      <c r="E129" s="21">
        <v>15.99</v>
      </c>
    </row>
    <row r="130" spans="1:5">
      <c r="A130" s="8">
        <v>4155</v>
      </c>
      <c r="B130" s="8" t="s">
        <v>259</v>
      </c>
      <c r="C130" s="20">
        <v>45110</v>
      </c>
      <c r="D130" s="20">
        <v>45455</v>
      </c>
      <c r="E130" s="21">
        <v>11.99</v>
      </c>
    </row>
    <row r="131" spans="1:5">
      <c r="A131" s="8">
        <v>1851</v>
      </c>
      <c r="B131" s="8" t="s">
        <v>88</v>
      </c>
      <c r="C131" s="20">
        <v>44995</v>
      </c>
      <c r="D131" s="20">
        <v>45608</v>
      </c>
      <c r="E131" s="21">
        <v>11.99</v>
      </c>
    </row>
    <row r="132" spans="1:5">
      <c r="A132" s="8">
        <v>8068</v>
      </c>
      <c r="B132" s="8" t="s">
        <v>260</v>
      </c>
      <c r="C132" s="20" t="s">
        <v>42</v>
      </c>
      <c r="D132" s="20" t="s">
        <v>109</v>
      </c>
      <c r="E132" s="21">
        <v>15.99</v>
      </c>
    </row>
    <row r="133" spans="1:5">
      <c r="A133" s="8">
        <v>8425</v>
      </c>
      <c r="B133" s="8" t="s">
        <v>34</v>
      </c>
      <c r="C133" s="20" t="s">
        <v>261</v>
      </c>
      <c r="D133" s="20" t="s">
        <v>105</v>
      </c>
      <c r="E133" s="21">
        <v>7.99</v>
      </c>
    </row>
    <row r="134" spans="1:5">
      <c r="A134" s="8">
        <v>4706</v>
      </c>
      <c r="B134" s="8" t="s">
        <v>170</v>
      </c>
      <c r="C134" s="20">
        <v>45140</v>
      </c>
      <c r="D134" s="20">
        <v>45455</v>
      </c>
      <c r="E134" s="21">
        <v>11.99</v>
      </c>
    </row>
    <row r="135" spans="1:5">
      <c r="A135" s="8">
        <v>7544</v>
      </c>
      <c r="B135" s="8" t="s">
        <v>262</v>
      </c>
      <c r="C135" s="20">
        <v>44935</v>
      </c>
      <c r="D135" s="20" t="s">
        <v>87</v>
      </c>
      <c r="E135" s="21">
        <v>15.99</v>
      </c>
    </row>
    <row r="136" spans="1:5">
      <c r="A136" s="8">
        <v>4029</v>
      </c>
      <c r="B136" s="8" t="s">
        <v>263</v>
      </c>
      <c r="C136" s="20" t="s">
        <v>264</v>
      </c>
      <c r="D136" s="20" t="s">
        <v>156</v>
      </c>
      <c r="E136" s="21">
        <v>11.99</v>
      </c>
    </row>
    <row r="137" spans="1:5">
      <c r="A137" s="8">
        <v>6117</v>
      </c>
      <c r="B137" s="8" t="s">
        <v>147</v>
      </c>
      <c r="C137" s="20" t="s">
        <v>265</v>
      </c>
      <c r="D137" s="20" t="s">
        <v>99</v>
      </c>
      <c r="E137" s="21">
        <v>7.99</v>
      </c>
    </row>
    <row r="138" spans="1:5">
      <c r="A138" s="8">
        <v>1408</v>
      </c>
      <c r="B138" s="8" t="s">
        <v>266</v>
      </c>
      <c r="C138" s="20" t="s">
        <v>267</v>
      </c>
      <c r="D138" s="20" t="s">
        <v>84</v>
      </c>
      <c r="E138" s="21">
        <v>11.99</v>
      </c>
    </row>
    <row r="139" spans="1:5">
      <c r="A139" s="8">
        <v>8396</v>
      </c>
      <c r="B139" s="8" t="s">
        <v>52</v>
      </c>
      <c r="C139" s="20" t="s">
        <v>141</v>
      </c>
      <c r="D139" s="20">
        <v>45608</v>
      </c>
      <c r="E139" s="21">
        <v>7.99</v>
      </c>
    </row>
    <row r="140" spans="1:5">
      <c r="A140" s="8">
        <v>6806</v>
      </c>
      <c r="B140" s="8" t="s">
        <v>268</v>
      </c>
      <c r="C140" s="20" t="s">
        <v>213</v>
      </c>
      <c r="D140" s="20" t="s">
        <v>109</v>
      </c>
      <c r="E140" s="21">
        <v>7.99</v>
      </c>
    </row>
    <row r="141" spans="1:5">
      <c r="A141" s="8">
        <v>3496</v>
      </c>
      <c r="B141" s="8" t="s">
        <v>242</v>
      </c>
      <c r="C141" s="20" t="s">
        <v>269</v>
      </c>
      <c r="D141" s="20">
        <v>45608</v>
      </c>
      <c r="E141" s="21">
        <v>11.99</v>
      </c>
    </row>
    <row r="142" spans="1:5">
      <c r="A142" s="8">
        <v>7840</v>
      </c>
      <c r="B142" s="8" t="s">
        <v>270</v>
      </c>
      <c r="C142" s="20">
        <v>45324</v>
      </c>
      <c r="D142" s="20">
        <v>45608</v>
      </c>
      <c r="E142" s="21">
        <v>15.99</v>
      </c>
    </row>
    <row r="143" spans="1:5">
      <c r="A143" s="8">
        <v>2099</v>
      </c>
      <c r="B143" s="8" t="s">
        <v>157</v>
      </c>
      <c r="C143" s="20" t="s">
        <v>192</v>
      </c>
      <c r="D143" s="20" t="s">
        <v>109</v>
      </c>
      <c r="E143" s="21">
        <v>11.99</v>
      </c>
    </row>
    <row r="144" spans="1:5">
      <c r="A144" s="8">
        <v>6518</v>
      </c>
      <c r="B144" s="8" t="s">
        <v>271</v>
      </c>
      <c r="C144" s="20" t="s">
        <v>134</v>
      </c>
      <c r="D144" s="20">
        <v>45485</v>
      </c>
      <c r="E144" s="21">
        <v>7.99</v>
      </c>
    </row>
    <row r="145" spans="1:5">
      <c r="A145" s="8">
        <v>1976</v>
      </c>
      <c r="B145" s="8" t="s">
        <v>249</v>
      </c>
      <c r="C145" s="20" t="s">
        <v>203</v>
      </c>
      <c r="D145" s="20" t="s">
        <v>129</v>
      </c>
      <c r="E145" s="21">
        <v>11.99</v>
      </c>
    </row>
    <row r="146" spans="1:5">
      <c r="A146" s="8">
        <v>8777</v>
      </c>
      <c r="B146" s="8" t="s">
        <v>272</v>
      </c>
      <c r="C146" s="20">
        <v>45598</v>
      </c>
      <c r="D146" s="20" t="s">
        <v>99</v>
      </c>
      <c r="E146" s="21">
        <v>11.99</v>
      </c>
    </row>
    <row r="147" spans="1:5">
      <c r="A147" s="8">
        <v>1576</v>
      </c>
      <c r="B147" s="8" t="s">
        <v>166</v>
      </c>
      <c r="C147" s="20" t="s">
        <v>273</v>
      </c>
      <c r="D147" s="20" t="s">
        <v>84</v>
      </c>
      <c r="E147" s="21">
        <v>11.99</v>
      </c>
    </row>
    <row r="148" spans="1:5">
      <c r="A148" s="8">
        <v>7979</v>
      </c>
      <c r="B148" s="8" t="s">
        <v>274</v>
      </c>
      <c r="C148" s="20">
        <v>44990</v>
      </c>
      <c r="D148" s="20" t="s">
        <v>99</v>
      </c>
      <c r="E148" s="21">
        <v>11.99</v>
      </c>
    </row>
    <row r="149" spans="1:5">
      <c r="A149" s="8">
        <v>6300</v>
      </c>
      <c r="B149" s="8" t="s">
        <v>275</v>
      </c>
      <c r="C149" s="20" t="s">
        <v>102</v>
      </c>
      <c r="D149" s="20">
        <v>45547</v>
      </c>
      <c r="E149" s="21">
        <v>15.99</v>
      </c>
    </row>
    <row r="150" spans="1:5">
      <c r="A150" s="8">
        <v>1003</v>
      </c>
      <c r="B150" s="8" t="s">
        <v>276</v>
      </c>
      <c r="C150" s="20">
        <v>45638</v>
      </c>
      <c r="D150" s="20" t="s">
        <v>82</v>
      </c>
      <c r="E150" s="21">
        <v>11.99</v>
      </c>
    </row>
    <row r="151" spans="1:5">
      <c r="A151" s="8">
        <v>8238</v>
      </c>
      <c r="B151" s="8" t="s">
        <v>277</v>
      </c>
      <c r="C151" s="20">
        <v>45627</v>
      </c>
      <c r="D151" s="20" t="s">
        <v>105</v>
      </c>
      <c r="E151" s="21">
        <v>7.99</v>
      </c>
    </row>
    <row r="152" spans="1:5">
      <c r="A152" s="8">
        <v>8261</v>
      </c>
      <c r="B152" s="8" t="s">
        <v>153</v>
      </c>
      <c r="C152" s="20" t="s">
        <v>278</v>
      </c>
      <c r="D152" s="20">
        <v>45394</v>
      </c>
      <c r="E152" s="21">
        <v>7.99</v>
      </c>
    </row>
    <row r="153" spans="1:5">
      <c r="A153" s="8">
        <v>7729</v>
      </c>
      <c r="B153" s="8" t="s">
        <v>118</v>
      </c>
      <c r="C153" s="20" t="s">
        <v>279</v>
      </c>
      <c r="D153" s="20">
        <v>45608</v>
      </c>
      <c r="E153" s="21">
        <v>11.99</v>
      </c>
    </row>
    <row r="154" spans="1:5">
      <c r="A154" s="8">
        <v>8616</v>
      </c>
      <c r="B154" s="8" t="s">
        <v>224</v>
      </c>
      <c r="C154" s="20">
        <v>45303</v>
      </c>
      <c r="D154" s="20">
        <v>45394</v>
      </c>
      <c r="E154" s="21">
        <v>11.99</v>
      </c>
    </row>
    <row r="155" spans="1:5">
      <c r="A155" s="8">
        <v>9734</v>
      </c>
      <c r="B155" s="8" t="s">
        <v>116</v>
      </c>
      <c r="C155" s="20" t="s">
        <v>156</v>
      </c>
      <c r="D155" s="20" t="s">
        <v>42</v>
      </c>
      <c r="E155" s="21">
        <v>15.99</v>
      </c>
    </row>
    <row r="156" spans="1:5">
      <c r="A156" s="8">
        <v>2086</v>
      </c>
      <c r="B156" s="8" t="s">
        <v>280</v>
      </c>
      <c r="C156" s="20">
        <v>45265</v>
      </c>
      <c r="D156" s="20" t="s">
        <v>54</v>
      </c>
      <c r="E156" s="21">
        <v>7.99</v>
      </c>
    </row>
    <row r="157" spans="1:5">
      <c r="A157" s="8">
        <v>8721</v>
      </c>
      <c r="B157" s="8" t="s">
        <v>281</v>
      </c>
      <c r="C157" s="20" t="s">
        <v>282</v>
      </c>
      <c r="D157" s="20">
        <v>45303</v>
      </c>
      <c r="E157" s="21">
        <v>15.99</v>
      </c>
    </row>
    <row r="158" spans="1:5">
      <c r="A158" s="8">
        <v>1075</v>
      </c>
      <c r="B158" s="8" t="s">
        <v>283</v>
      </c>
      <c r="C158" s="20">
        <v>45051</v>
      </c>
      <c r="D158" s="20" t="s">
        <v>105</v>
      </c>
      <c r="E158" s="21">
        <v>7.99</v>
      </c>
    </row>
    <row r="159" spans="1:5">
      <c r="A159" s="8">
        <v>2690</v>
      </c>
      <c r="B159" s="8" t="s">
        <v>177</v>
      </c>
      <c r="C159" s="20">
        <v>45055</v>
      </c>
      <c r="D159" s="20" t="s">
        <v>168</v>
      </c>
      <c r="E159" s="21">
        <v>15.99</v>
      </c>
    </row>
    <row r="160" spans="1:5">
      <c r="A160" s="8">
        <v>7654</v>
      </c>
      <c r="B160" s="8" t="s">
        <v>120</v>
      </c>
      <c r="C160" s="20" t="s">
        <v>167</v>
      </c>
      <c r="D160" s="20" t="s">
        <v>99</v>
      </c>
      <c r="E160" s="21">
        <v>11.99</v>
      </c>
    </row>
    <row r="161" spans="1:5">
      <c r="A161" s="8">
        <v>7577</v>
      </c>
      <c r="B161" s="8" t="s">
        <v>284</v>
      </c>
      <c r="C161" s="20" t="s">
        <v>285</v>
      </c>
      <c r="D161" s="20">
        <v>45363</v>
      </c>
      <c r="E161" s="21">
        <v>15.99</v>
      </c>
    </row>
    <row r="162" spans="1:5">
      <c r="A162" s="8">
        <v>9814</v>
      </c>
      <c r="B162" s="8" t="s">
        <v>286</v>
      </c>
      <c r="C162" s="20">
        <v>45604</v>
      </c>
      <c r="D162" s="20" t="s">
        <v>99</v>
      </c>
      <c r="E162" s="21">
        <v>11.99</v>
      </c>
    </row>
    <row r="163" spans="1:5">
      <c r="A163" s="8">
        <v>5423</v>
      </c>
      <c r="B163" s="8" t="s">
        <v>50</v>
      </c>
      <c r="C163" s="20" t="s">
        <v>287</v>
      </c>
      <c r="D163" s="20" t="s">
        <v>54</v>
      </c>
      <c r="E163" s="21">
        <v>7.99</v>
      </c>
    </row>
    <row r="164" spans="1:5">
      <c r="A164" s="8">
        <v>2660</v>
      </c>
      <c r="B164" s="8" t="s">
        <v>288</v>
      </c>
      <c r="C164" s="20" t="s">
        <v>289</v>
      </c>
      <c r="D164" s="20">
        <v>45394</v>
      </c>
      <c r="E164" s="21">
        <v>11.99</v>
      </c>
    </row>
    <row r="165" spans="1:5">
      <c r="A165" s="8">
        <v>4206</v>
      </c>
      <c r="B165" s="8" t="s">
        <v>190</v>
      </c>
      <c r="C165" s="20">
        <v>45386</v>
      </c>
      <c r="D165" s="20">
        <v>45455</v>
      </c>
      <c r="E165" s="21">
        <v>11.99</v>
      </c>
    </row>
    <row r="166" spans="1:5">
      <c r="A166" s="8">
        <v>5269</v>
      </c>
      <c r="B166" s="8" t="s">
        <v>50</v>
      </c>
      <c r="C166" s="20">
        <v>45080</v>
      </c>
      <c r="D166" s="20">
        <v>45394</v>
      </c>
      <c r="E166" s="21">
        <v>11.99</v>
      </c>
    </row>
    <row r="167" spans="1:5">
      <c r="A167" s="8">
        <v>7922</v>
      </c>
      <c r="B167" s="8" t="s">
        <v>290</v>
      </c>
      <c r="C167" s="20" t="s">
        <v>182</v>
      </c>
      <c r="D167" s="20" t="s">
        <v>103</v>
      </c>
      <c r="E167" s="21">
        <v>7.99</v>
      </c>
    </row>
    <row r="168" spans="1:5">
      <c r="A168" s="8">
        <v>7829</v>
      </c>
      <c r="B168" s="8" t="s">
        <v>291</v>
      </c>
      <c r="C168" s="20" t="s">
        <v>292</v>
      </c>
      <c r="D168" s="20" t="s">
        <v>103</v>
      </c>
      <c r="E168" s="21">
        <v>7.99</v>
      </c>
    </row>
    <row r="169" spans="1:5">
      <c r="A169" s="8">
        <v>1715</v>
      </c>
      <c r="B169" s="8" t="s">
        <v>254</v>
      </c>
      <c r="C169" s="20" t="s">
        <v>293</v>
      </c>
      <c r="D169" s="20">
        <v>45394</v>
      </c>
      <c r="E169" s="21">
        <v>7.99</v>
      </c>
    </row>
    <row r="170" spans="1:5">
      <c r="A170" s="8">
        <v>2639</v>
      </c>
      <c r="B170" s="8" t="s">
        <v>294</v>
      </c>
      <c r="C170" s="20" t="s">
        <v>155</v>
      </c>
      <c r="D170" s="20">
        <v>45485</v>
      </c>
      <c r="E170" s="21">
        <v>11.99</v>
      </c>
    </row>
    <row r="171" spans="1:5">
      <c r="A171" s="8">
        <v>1801</v>
      </c>
      <c r="B171" s="8" t="s">
        <v>174</v>
      </c>
      <c r="C171" s="20" t="s">
        <v>295</v>
      </c>
      <c r="D171" s="20" t="s">
        <v>25</v>
      </c>
      <c r="E171" s="21">
        <v>11.99</v>
      </c>
    </row>
    <row r="172" spans="1:5">
      <c r="A172" s="8">
        <v>9163</v>
      </c>
      <c r="B172" s="8" t="s">
        <v>274</v>
      </c>
      <c r="C172" s="20">
        <v>45020</v>
      </c>
      <c r="D172" s="20" t="s">
        <v>99</v>
      </c>
      <c r="E172" s="21">
        <v>11.99</v>
      </c>
    </row>
    <row r="173" spans="1:5">
      <c r="A173" s="8">
        <v>1284</v>
      </c>
      <c r="B173" s="8" t="s">
        <v>157</v>
      </c>
      <c r="C173" s="20">
        <v>45394</v>
      </c>
      <c r="D173" s="20">
        <v>45303</v>
      </c>
      <c r="E173" s="21">
        <v>7.99</v>
      </c>
    </row>
    <row r="174" spans="1:5">
      <c r="A174" s="8">
        <v>8774</v>
      </c>
      <c r="B174" s="8" t="s">
        <v>296</v>
      </c>
      <c r="C174" s="20">
        <v>44996</v>
      </c>
      <c r="D174" s="20">
        <v>45516</v>
      </c>
      <c r="E174" s="21">
        <v>15.99</v>
      </c>
    </row>
    <row r="175" spans="1:5">
      <c r="A175" s="8">
        <v>3866</v>
      </c>
      <c r="B175" s="8" t="s">
        <v>297</v>
      </c>
      <c r="C175" s="20">
        <v>45293</v>
      </c>
      <c r="D175" s="20" t="s">
        <v>105</v>
      </c>
      <c r="E175" s="21">
        <v>15.99</v>
      </c>
    </row>
    <row r="176" spans="1:5">
      <c r="A176" s="8">
        <v>4477</v>
      </c>
      <c r="B176" s="8" t="s">
        <v>272</v>
      </c>
      <c r="C176" s="20" t="s">
        <v>298</v>
      </c>
      <c r="D176" s="20" t="s">
        <v>109</v>
      </c>
      <c r="E176" s="21">
        <v>7.99</v>
      </c>
    </row>
    <row r="177" spans="1:5">
      <c r="A177" s="8">
        <v>4829</v>
      </c>
      <c r="B177" s="8" t="s">
        <v>299</v>
      </c>
      <c r="C177" s="20" t="s">
        <v>300</v>
      </c>
      <c r="D177" s="20" t="s">
        <v>72</v>
      </c>
      <c r="E177" s="21">
        <v>11.99</v>
      </c>
    </row>
    <row r="178" spans="1:5">
      <c r="A178" s="8">
        <v>1257</v>
      </c>
      <c r="B178" s="8" t="s">
        <v>257</v>
      </c>
      <c r="C178" s="20">
        <v>45140</v>
      </c>
      <c r="D178" s="20">
        <v>45516</v>
      </c>
      <c r="E178" s="21">
        <v>7.99</v>
      </c>
    </row>
    <row r="179" spans="1:5">
      <c r="A179" s="8">
        <v>1897</v>
      </c>
      <c r="B179" s="8" t="s">
        <v>301</v>
      </c>
      <c r="C179" s="20" t="s">
        <v>273</v>
      </c>
      <c r="D179" s="20" t="s">
        <v>129</v>
      </c>
      <c r="E179" s="21">
        <v>11.99</v>
      </c>
    </row>
    <row r="180" spans="1:5">
      <c r="A180" s="8">
        <v>3603</v>
      </c>
      <c r="B180" s="8" t="s">
        <v>302</v>
      </c>
      <c r="C180" s="20">
        <v>45020</v>
      </c>
      <c r="D180" s="20" t="s">
        <v>84</v>
      </c>
      <c r="E180" s="21">
        <v>7.99</v>
      </c>
    </row>
    <row r="181" spans="1:5">
      <c r="A181" s="8">
        <v>9256</v>
      </c>
      <c r="B181" s="8" t="s">
        <v>257</v>
      </c>
      <c r="C181" s="20">
        <v>45109</v>
      </c>
      <c r="D181" s="20" t="s">
        <v>82</v>
      </c>
      <c r="E181" s="21">
        <v>7.99</v>
      </c>
    </row>
    <row r="182" spans="1:5">
      <c r="A182" s="8">
        <v>9469</v>
      </c>
      <c r="B182" s="8" t="s">
        <v>101</v>
      </c>
      <c r="C182" s="20">
        <v>45205</v>
      </c>
      <c r="D182" s="20" t="s">
        <v>87</v>
      </c>
      <c r="E182" s="21">
        <v>11.99</v>
      </c>
    </row>
    <row r="183" spans="1:5">
      <c r="A183" s="8">
        <v>7136</v>
      </c>
      <c r="B183" s="8" t="s">
        <v>143</v>
      </c>
      <c r="C183" s="20" t="s">
        <v>303</v>
      </c>
      <c r="D183" s="20" t="s">
        <v>42</v>
      </c>
      <c r="E183" s="21">
        <v>7.99</v>
      </c>
    </row>
    <row r="184" spans="1:5">
      <c r="A184" s="8">
        <v>2321</v>
      </c>
      <c r="B184" s="8" t="s">
        <v>304</v>
      </c>
      <c r="C184" s="20" t="s">
        <v>305</v>
      </c>
      <c r="D184" s="20" t="s">
        <v>42</v>
      </c>
      <c r="E184" s="21">
        <v>15.99</v>
      </c>
    </row>
    <row r="185" spans="1:5">
      <c r="A185" s="8">
        <v>4243</v>
      </c>
      <c r="B185" s="8" t="s">
        <v>272</v>
      </c>
      <c r="C185" s="20" t="s">
        <v>306</v>
      </c>
      <c r="D185" s="20" t="s">
        <v>168</v>
      </c>
      <c r="E185" s="21">
        <v>15.99</v>
      </c>
    </row>
    <row r="186" spans="1:5">
      <c r="A186" s="8">
        <v>8015</v>
      </c>
      <c r="B186" s="8" t="s">
        <v>307</v>
      </c>
      <c r="C186" s="20" t="s">
        <v>225</v>
      </c>
      <c r="D186" s="20" t="s">
        <v>103</v>
      </c>
      <c r="E186" s="21">
        <v>7.99</v>
      </c>
    </row>
    <row r="187" spans="1:5">
      <c r="A187" s="8">
        <v>3440</v>
      </c>
      <c r="B187" s="8" t="s">
        <v>101</v>
      </c>
      <c r="C187" s="20" t="s">
        <v>308</v>
      </c>
      <c r="D187" s="20" t="s">
        <v>82</v>
      </c>
      <c r="E187" s="21">
        <v>7.99</v>
      </c>
    </row>
    <row r="188" spans="1:5">
      <c r="A188" s="8">
        <v>9914</v>
      </c>
      <c r="B188" s="8" t="s">
        <v>197</v>
      </c>
      <c r="C188" s="20" t="s">
        <v>309</v>
      </c>
      <c r="D188" s="20">
        <v>45516</v>
      </c>
      <c r="E188" s="21">
        <v>11.99</v>
      </c>
    </row>
    <row r="189" spans="1:5">
      <c r="A189" s="8">
        <v>5045</v>
      </c>
      <c r="B189" s="8" t="s">
        <v>140</v>
      </c>
      <c r="C189" s="20" t="s">
        <v>62</v>
      </c>
      <c r="D189" s="20" t="s">
        <v>134</v>
      </c>
      <c r="E189" s="21">
        <v>11.99</v>
      </c>
    </row>
    <row r="190" spans="1:5">
      <c r="A190" s="8">
        <v>1379</v>
      </c>
      <c r="B190" s="8" t="s">
        <v>240</v>
      </c>
      <c r="C190" s="20" t="s">
        <v>310</v>
      </c>
      <c r="D190" s="20">
        <v>45424</v>
      </c>
      <c r="E190" s="21">
        <v>11.99</v>
      </c>
    </row>
    <row r="191" spans="1:5">
      <c r="A191" s="8">
        <v>6099</v>
      </c>
      <c r="B191" s="8" t="s">
        <v>311</v>
      </c>
      <c r="C191" s="20" t="s">
        <v>312</v>
      </c>
      <c r="D191" s="20" t="s">
        <v>99</v>
      </c>
      <c r="E191" s="21">
        <v>11.99</v>
      </c>
    </row>
    <row r="192" spans="1:5">
      <c r="A192" s="8">
        <v>4696</v>
      </c>
      <c r="B192" s="8" t="s">
        <v>313</v>
      </c>
      <c r="C192" s="20" t="s">
        <v>314</v>
      </c>
      <c r="D192" s="20">
        <v>45394</v>
      </c>
      <c r="E192" s="21">
        <v>15.99</v>
      </c>
    </row>
    <row r="193" spans="1:5">
      <c r="A193" s="8">
        <v>4808</v>
      </c>
      <c r="B193" s="8" t="s">
        <v>280</v>
      </c>
      <c r="C193" s="20" t="s">
        <v>315</v>
      </c>
      <c r="D193" s="20" t="s">
        <v>99</v>
      </c>
      <c r="E193" s="21">
        <v>7.99</v>
      </c>
    </row>
    <row r="194" spans="1:5">
      <c r="A194" s="8">
        <v>3633</v>
      </c>
      <c r="B194" s="8" t="s">
        <v>316</v>
      </c>
      <c r="C194" s="20" t="s">
        <v>103</v>
      </c>
      <c r="D194" s="20">
        <v>45577</v>
      </c>
      <c r="E194" s="21">
        <v>7.99</v>
      </c>
    </row>
    <row r="195" spans="1:5">
      <c r="A195" s="8">
        <v>4979</v>
      </c>
      <c r="B195" s="8" t="s">
        <v>255</v>
      </c>
      <c r="C195" s="20" t="s">
        <v>317</v>
      </c>
      <c r="D195" s="20" t="s">
        <v>156</v>
      </c>
      <c r="E195" s="21">
        <v>15.99</v>
      </c>
    </row>
    <row r="196" spans="1:5">
      <c r="A196" s="8">
        <v>2214</v>
      </c>
      <c r="B196" s="8" t="s">
        <v>318</v>
      </c>
      <c r="C196" s="20" t="s">
        <v>319</v>
      </c>
      <c r="D196" s="20" t="s">
        <v>156</v>
      </c>
      <c r="E196" s="21">
        <v>7.99</v>
      </c>
    </row>
    <row r="197" spans="1:5">
      <c r="A197" s="8">
        <v>6606</v>
      </c>
      <c r="B197" s="8" t="s">
        <v>311</v>
      </c>
      <c r="C197" s="20" t="s">
        <v>320</v>
      </c>
      <c r="D197" s="20" t="s">
        <v>168</v>
      </c>
      <c r="E197" s="21">
        <v>15.99</v>
      </c>
    </row>
    <row r="198" spans="1:5">
      <c r="A198" s="8">
        <v>4246</v>
      </c>
      <c r="B198" s="8" t="s">
        <v>259</v>
      </c>
      <c r="C198" s="20" t="s">
        <v>321</v>
      </c>
      <c r="D198" s="20" t="s">
        <v>35</v>
      </c>
      <c r="E198" s="21">
        <v>7.99</v>
      </c>
    </row>
    <row r="199" spans="1:5">
      <c r="A199" s="8">
        <v>2836</v>
      </c>
      <c r="B199" s="8" t="s">
        <v>232</v>
      </c>
      <c r="C199" s="20">
        <v>45475</v>
      </c>
      <c r="D199" s="20" t="s">
        <v>72</v>
      </c>
      <c r="E199" s="21">
        <v>7.99</v>
      </c>
    </row>
    <row r="200" spans="1:5">
      <c r="A200" s="8">
        <v>6963</v>
      </c>
      <c r="B200" s="8" t="s">
        <v>322</v>
      </c>
      <c r="C200" s="20">
        <v>45084</v>
      </c>
      <c r="D200" s="20" t="s">
        <v>168</v>
      </c>
      <c r="E200" s="21">
        <v>15.99</v>
      </c>
    </row>
    <row r="201" spans="1:5">
      <c r="A201" s="8">
        <v>2243</v>
      </c>
      <c r="B201" s="8" t="s">
        <v>323</v>
      </c>
      <c r="C201" s="20" t="s">
        <v>324</v>
      </c>
      <c r="D201" s="20">
        <v>45334</v>
      </c>
      <c r="E201" s="21">
        <v>11.99</v>
      </c>
    </row>
    <row r="202" spans="1:5">
      <c r="A202" s="8">
        <v>5081</v>
      </c>
      <c r="B202" s="8" t="s">
        <v>325</v>
      </c>
      <c r="C202" s="20" t="s">
        <v>326</v>
      </c>
      <c r="D202" s="20" t="s">
        <v>84</v>
      </c>
      <c r="E202" s="21">
        <v>11.99</v>
      </c>
    </row>
    <row r="203" spans="1:5">
      <c r="A203" s="8">
        <v>4171</v>
      </c>
      <c r="B203" s="8" t="s">
        <v>224</v>
      </c>
      <c r="C203" s="20">
        <v>45389</v>
      </c>
      <c r="D203" s="20" t="s">
        <v>42</v>
      </c>
      <c r="E203" s="21">
        <v>11.99</v>
      </c>
    </row>
    <row r="204" spans="1:5">
      <c r="A204" s="8">
        <v>7399</v>
      </c>
      <c r="B204" s="8" t="s">
        <v>201</v>
      </c>
      <c r="C204" s="20" t="s">
        <v>327</v>
      </c>
      <c r="D204" s="20">
        <v>45547</v>
      </c>
      <c r="E204" s="21">
        <v>11.99</v>
      </c>
    </row>
    <row r="205" spans="1:5">
      <c r="A205" s="8">
        <v>1110</v>
      </c>
      <c r="B205" s="8" t="s">
        <v>247</v>
      </c>
      <c r="C205" s="20">
        <v>45417</v>
      </c>
      <c r="D205" s="20">
        <v>45394</v>
      </c>
      <c r="E205" s="21">
        <v>11.99</v>
      </c>
    </row>
    <row r="206" spans="1:5">
      <c r="A206" s="8">
        <v>5630</v>
      </c>
      <c r="B206" s="8" t="s">
        <v>328</v>
      </c>
      <c r="C206" s="20">
        <v>45028</v>
      </c>
      <c r="D206" s="20" t="s">
        <v>156</v>
      </c>
      <c r="E206" s="21">
        <v>7.99</v>
      </c>
    </row>
    <row r="207" spans="1:5">
      <c r="A207" s="8">
        <v>9430</v>
      </c>
      <c r="B207" s="8" t="s">
        <v>329</v>
      </c>
      <c r="C207" s="20">
        <v>44996</v>
      </c>
      <c r="D207" s="20" t="s">
        <v>134</v>
      </c>
      <c r="E207" s="21">
        <v>7.99</v>
      </c>
    </row>
    <row r="208" spans="1:5">
      <c r="A208" s="8">
        <v>7436</v>
      </c>
      <c r="B208" s="8" t="s">
        <v>330</v>
      </c>
      <c r="C208" s="20" t="s">
        <v>331</v>
      </c>
      <c r="D208" s="20" t="s">
        <v>72</v>
      </c>
      <c r="E208" s="21">
        <v>15.99</v>
      </c>
    </row>
    <row r="209" spans="1:5">
      <c r="A209" s="8">
        <v>2147</v>
      </c>
      <c r="B209" s="8" t="s">
        <v>332</v>
      </c>
      <c r="C209" s="20">
        <v>45627</v>
      </c>
      <c r="D209" s="20">
        <v>45608</v>
      </c>
      <c r="E209" s="21">
        <v>11.99</v>
      </c>
    </row>
    <row r="210" spans="1:5">
      <c r="A210" s="8">
        <v>3264</v>
      </c>
      <c r="B210" s="8" t="s">
        <v>118</v>
      </c>
      <c r="C210" s="20" t="s">
        <v>333</v>
      </c>
      <c r="D210" s="20">
        <v>45547</v>
      </c>
      <c r="E210" s="21">
        <v>11.99</v>
      </c>
    </row>
    <row r="211" spans="1:5">
      <c r="A211" s="8">
        <v>1214</v>
      </c>
      <c r="B211" s="8" t="s">
        <v>334</v>
      </c>
      <c r="C211" s="20">
        <v>45144</v>
      </c>
      <c r="D211" s="20">
        <v>45608</v>
      </c>
      <c r="E211" s="21">
        <v>11.99</v>
      </c>
    </row>
    <row r="212" spans="1:5">
      <c r="A212" s="8">
        <v>6050</v>
      </c>
      <c r="B212" s="8" t="s">
        <v>335</v>
      </c>
      <c r="C212" s="20">
        <v>45512</v>
      </c>
      <c r="D212" s="20" t="s">
        <v>109</v>
      </c>
      <c r="E212" s="21">
        <v>11.99</v>
      </c>
    </row>
    <row r="213" spans="1:5">
      <c r="A213" s="8">
        <v>7395</v>
      </c>
      <c r="B213" s="8" t="s">
        <v>130</v>
      </c>
      <c r="C213" s="20" t="s">
        <v>185</v>
      </c>
      <c r="D213" s="20">
        <v>45424</v>
      </c>
      <c r="E213" s="21">
        <v>11.99</v>
      </c>
    </row>
    <row r="214" spans="1:5">
      <c r="A214" s="8">
        <v>3904</v>
      </c>
      <c r="B214" s="8" t="s">
        <v>224</v>
      </c>
      <c r="C214" s="20" t="s">
        <v>155</v>
      </c>
      <c r="D214" s="20">
        <v>45547</v>
      </c>
      <c r="E214" s="21">
        <v>11.99</v>
      </c>
    </row>
    <row r="215" spans="1:5">
      <c r="A215" s="8">
        <v>6545</v>
      </c>
      <c r="B215" s="8" t="s">
        <v>147</v>
      </c>
      <c r="C215" s="20" t="s">
        <v>108</v>
      </c>
      <c r="D215" s="20">
        <v>45516</v>
      </c>
      <c r="E215" s="21">
        <v>7.99</v>
      </c>
    </row>
    <row r="216" spans="1:5">
      <c r="A216" s="8">
        <v>3131</v>
      </c>
      <c r="B216" s="8" t="s">
        <v>153</v>
      </c>
      <c r="C216" s="20">
        <v>45236</v>
      </c>
      <c r="D216" s="20" t="s">
        <v>134</v>
      </c>
      <c r="E216" s="21">
        <v>15.99</v>
      </c>
    </row>
    <row r="217" spans="1:5">
      <c r="A217" s="8">
        <v>8589</v>
      </c>
      <c r="B217" s="8" t="s">
        <v>207</v>
      </c>
      <c r="C217" s="20" t="s">
        <v>336</v>
      </c>
      <c r="D217" s="20" t="s">
        <v>84</v>
      </c>
      <c r="E217" s="21">
        <v>11.99</v>
      </c>
    </row>
    <row r="218" spans="1:5">
      <c r="A218" s="8">
        <v>2908</v>
      </c>
      <c r="B218" s="8" t="s">
        <v>248</v>
      </c>
      <c r="C218" s="20" t="s">
        <v>250</v>
      </c>
      <c r="D218" s="20" t="s">
        <v>82</v>
      </c>
      <c r="E218" s="21">
        <v>11.99</v>
      </c>
    </row>
    <row r="219" spans="1:5">
      <c r="A219" s="8">
        <v>5209</v>
      </c>
      <c r="B219" s="8" t="s">
        <v>238</v>
      </c>
      <c r="C219" s="20">
        <v>45204</v>
      </c>
      <c r="D219" s="20" t="s">
        <v>54</v>
      </c>
      <c r="E219" s="21">
        <v>11.99</v>
      </c>
    </row>
    <row r="220" spans="1:5">
      <c r="A220" s="8">
        <v>2319</v>
      </c>
      <c r="B220" s="8" t="s">
        <v>150</v>
      </c>
      <c r="C220" s="20">
        <v>44932</v>
      </c>
      <c r="D220" s="20" t="s">
        <v>84</v>
      </c>
      <c r="E220" s="21">
        <v>15.99</v>
      </c>
    </row>
    <row r="221" spans="1:5">
      <c r="A221" s="8">
        <v>9026</v>
      </c>
      <c r="B221" s="8" t="s">
        <v>197</v>
      </c>
      <c r="C221" s="20">
        <v>45356</v>
      </c>
      <c r="D221" s="20" t="s">
        <v>82</v>
      </c>
      <c r="E221" s="21">
        <v>11.99</v>
      </c>
    </row>
    <row r="222" spans="1:5">
      <c r="A222" s="8">
        <v>2723</v>
      </c>
      <c r="B222" s="8" t="s">
        <v>337</v>
      </c>
      <c r="C222" s="20">
        <v>44935</v>
      </c>
      <c r="D222" s="20" t="s">
        <v>156</v>
      </c>
      <c r="E222" s="21">
        <v>15.99</v>
      </c>
    </row>
    <row r="223" spans="1:5">
      <c r="A223" s="8">
        <v>5487</v>
      </c>
      <c r="B223" s="8" t="s">
        <v>148</v>
      </c>
      <c r="C223" s="20" t="s">
        <v>338</v>
      </c>
      <c r="D223" s="20" t="s">
        <v>129</v>
      </c>
      <c r="E223" s="21">
        <v>7.99</v>
      </c>
    </row>
    <row r="224" spans="1:5">
      <c r="A224" s="8">
        <v>4656</v>
      </c>
      <c r="B224" s="8" t="s">
        <v>207</v>
      </c>
      <c r="C224" s="20" t="s">
        <v>339</v>
      </c>
      <c r="D224" s="20" t="s">
        <v>168</v>
      </c>
      <c r="E224" s="21">
        <v>7.99</v>
      </c>
    </row>
    <row r="225" spans="1:5">
      <c r="A225" s="8">
        <v>5718</v>
      </c>
      <c r="B225" s="8" t="s">
        <v>340</v>
      </c>
      <c r="C225" s="20" t="s">
        <v>341</v>
      </c>
      <c r="D225" s="20" t="s">
        <v>105</v>
      </c>
      <c r="E225" s="21">
        <v>15.99</v>
      </c>
    </row>
    <row r="226" spans="1:5">
      <c r="A226" s="8">
        <v>1215</v>
      </c>
      <c r="B226" s="8" t="s">
        <v>342</v>
      </c>
      <c r="C226" s="20" t="s">
        <v>343</v>
      </c>
      <c r="D226" s="20" t="s">
        <v>99</v>
      </c>
      <c r="E226" s="21">
        <v>7.99</v>
      </c>
    </row>
    <row r="227" spans="1:5">
      <c r="A227" s="8">
        <v>3427</v>
      </c>
      <c r="B227" s="8" t="s">
        <v>344</v>
      </c>
      <c r="C227" s="20">
        <v>45211</v>
      </c>
      <c r="D227" s="20">
        <v>45485</v>
      </c>
      <c r="E227" s="21">
        <v>15.99</v>
      </c>
    </row>
    <row r="228" spans="1:5">
      <c r="A228" s="8">
        <v>2428</v>
      </c>
      <c r="B228" s="8" t="s">
        <v>345</v>
      </c>
      <c r="C228" s="20" t="s">
        <v>346</v>
      </c>
      <c r="D228" s="20" t="s">
        <v>134</v>
      </c>
      <c r="E228" s="21">
        <v>7.99</v>
      </c>
    </row>
    <row r="229" spans="1:5">
      <c r="A229" s="8">
        <v>1947</v>
      </c>
      <c r="B229" s="8" t="s">
        <v>347</v>
      </c>
      <c r="C229" s="20">
        <v>45300</v>
      </c>
      <c r="D229" s="20" t="s">
        <v>156</v>
      </c>
      <c r="E229" s="21">
        <v>11.99</v>
      </c>
    </row>
    <row r="230" spans="1:5">
      <c r="A230" s="8">
        <v>5036</v>
      </c>
      <c r="B230" s="8" t="s">
        <v>290</v>
      </c>
      <c r="C230" s="20" t="s">
        <v>348</v>
      </c>
      <c r="D230" s="20" t="s">
        <v>168</v>
      </c>
      <c r="E230" s="21">
        <v>15.99</v>
      </c>
    </row>
    <row r="231" spans="1:5">
      <c r="A231" s="8">
        <v>5857</v>
      </c>
      <c r="B231" s="8" t="s">
        <v>88</v>
      </c>
      <c r="C231" s="20">
        <v>45424</v>
      </c>
      <c r="D231" s="20" t="s">
        <v>35</v>
      </c>
      <c r="E231" s="21">
        <v>15.99</v>
      </c>
    </row>
    <row r="232" spans="1:5">
      <c r="A232" s="8">
        <v>8770</v>
      </c>
      <c r="B232" s="8" t="s">
        <v>106</v>
      </c>
      <c r="C232" s="20">
        <v>45268</v>
      </c>
      <c r="D232" s="20" t="s">
        <v>134</v>
      </c>
      <c r="E232" s="21">
        <v>7.99</v>
      </c>
    </row>
    <row r="233" spans="1:5">
      <c r="A233" s="8">
        <v>4118</v>
      </c>
      <c r="B233" s="8" t="s">
        <v>349</v>
      </c>
      <c r="C233" s="20" t="s">
        <v>350</v>
      </c>
      <c r="D233" s="20" t="s">
        <v>54</v>
      </c>
      <c r="E233" s="21">
        <v>11.99</v>
      </c>
    </row>
    <row r="234" spans="1:5">
      <c r="A234" s="8">
        <v>7162</v>
      </c>
      <c r="B234" s="8" t="s">
        <v>351</v>
      </c>
      <c r="C234" s="20" t="s">
        <v>206</v>
      </c>
      <c r="D234" s="20" t="s">
        <v>42</v>
      </c>
      <c r="E234" s="21">
        <v>15.99</v>
      </c>
    </row>
    <row r="235" spans="1:5">
      <c r="A235" s="8">
        <v>9278</v>
      </c>
      <c r="B235" s="8" t="s">
        <v>304</v>
      </c>
      <c r="C235" s="20" t="s">
        <v>352</v>
      </c>
      <c r="D235" s="20" t="s">
        <v>42</v>
      </c>
      <c r="E235" s="21">
        <v>7.99</v>
      </c>
    </row>
    <row r="236" spans="1:5">
      <c r="A236" s="8">
        <v>5406</v>
      </c>
      <c r="B236" s="8" t="s">
        <v>353</v>
      </c>
      <c r="C236" s="20">
        <v>45636</v>
      </c>
      <c r="D236" s="20">
        <v>45485</v>
      </c>
      <c r="E236" s="21">
        <v>7.99</v>
      </c>
    </row>
    <row r="237" spans="1:5">
      <c r="A237" s="8">
        <v>4641</v>
      </c>
      <c r="B237" s="8" t="s">
        <v>311</v>
      </c>
      <c r="C237" s="20">
        <v>45635</v>
      </c>
      <c r="D237" s="20">
        <v>45516</v>
      </c>
      <c r="E237" s="21">
        <v>15.99</v>
      </c>
    </row>
    <row r="238" spans="1:5">
      <c r="A238" s="8">
        <v>3969</v>
      </c>
      <c r="B238" s="8" t="s">
        <v>329</v>
      </c>
      <c r="C238" s="20" t="s">
        <v>354</v>
      </c>
      <c r="D238" s="20">
        <v>45638</v>
      </c>
      <c r="E238" s="21">
        <v>15.99</v>
      </c>
    </row>
    <row r="239" spans="1:5">
      <c r="A239" s="8">
        <v>3078</v>
      </c>
      <c r="B239" s="8" t="s">
        <v>355</v>
      </c>
      <c r="C239" s="20" t="s">
        <v>173</v>
      </c>
      <c r="D239" s="20" t="s">
        <v>42</v>
      </c>
      <c r="E239" s="21">
        <v>7.99</v>
      </c>
    </row>
    <row r="240" spans="1:5">
      <c r="A240" s="8">
        <v>2808</v>
      </c>
      <c r="B240" s="8" t="s">
        <v>177</v>
      </c>
      <c r="C240" s="20">
        <v>45271</v>
      </c>
      <c r="D240" s="20" t="s">
        <v>42</v>
      </c>
      <c r="E240" s="21">
        <v>15.99</v>
      </c>
    </row>
    <row r="241" spans="1:5">
      <c r="A241" s="8">
        <v>7484</v>
      </c>
      <c r="B241" s="8" t="s">
        <v>340</v>
      </c>
      <c r="C241" s="20">
        <v>45516</v>
      </c>
      <c r="D241" s="20" t="s">
        <v>134</v>
      </c>
      <c r="E241" s="21">
        <v>11.99</v>
      </c>
    </row>
    <row r="242" spans="1:5">
      <c r="A242" s="8">
        <v>2396</v>
      </c>
      <c r="B242" s="8" t="s">
        <v>272</v>
      </c>
      <c r="C242" s="20">
        <v>44969</v>
      </c>
      <c r="D242" s="20" t="s">
        <v>87</v>
      </c>
      <c r="E242" s="21">
        <v>11.99</v>
      </c>
    </row>
    <row r="243" spans="1:5">
      <c r="A243" s="8">
        <v>2472</v>
      </c>
      <c r="B243" s="8" t="s">
        <v>325</v>
      </c>
      <c r="C243" s="20" t="s">
        <v>356</v>
      </c>
      <c r="D243" s="20" t="s">
        <v>87</v>
      </c>
      <c r="E243" s="21">
        <v>7.99</v>
      </c>
    </row>
    <row r="244" spans="1:5">
      <c r="A244" s="8">
        <v>7939</v>
      </c>
      <c r="B244" s="8" t="s">
        <v>357</v>
      </c>
      <c r="C244" s="20">
        <v>45147</v>
      </c>
      <c r="D244" s="20" t="s">
        <v>87</v>
      </c>
      <c r="E244" s="21">
        <v>11.99</v>
      </c>
    </row>
    <row r="245" spans="1:5">
      <c r="A245" s="8">
        <v>8269</v>
      </c>
      <c r="B245" s="8" t="s">
        <v>88</v>
      </c>
      <c r="C245" s="20" t="s">
        <v>358</v>
      </c>
      <c r="D245" s="20" t="s">
        <v>72</v>
      </c>
      <c r="E245" s="21">
        <v>7.99</v>
      </c>
    </row>
    <row r="246" spans="1:5">
      <c r="A246" s="8">
        <v>9073</v>
      </c>
      <c r="B246" s="8" t="s">
        <v>104</v>
      </c>
      <c r="C246" s="20">
        <v>45237</v>
      </c>
      <c r="D246" s="20">
        <v>45547</v>
      </c>
      <c r="E246" s="21">
        <v>15.99</v>
      </c>
    </row>
    <row r="247" spans="1:5">
      <c r="A247" s="8">
        <v>9879</v>
      </c>
      <c r="B247" s="8" t="s">
        <v>143</v>
      </c>
      <c r="C247" s="20">
        <v>44959</v>
      </c>
      <c r="D247" s="20">
        <v>45394</v>
      </c>
      <c r="E247" s="21">
        <v>7.99</v>
      </c>
    </row>
    <row r="248" spans="1:5">
      <c r="A248" s="8">
        <v>3822</v>
      </c>
      <c r="B248" s="8" t="s">
        <v>359</v>
      </c>
      <c r="C248" s="20">
        <v>44993</v>
      </c>
      <c r="D248" s="20">
        <v>45394</v>
      </c>
      <c r="E248" s="21">
        <v>15.99</v>
      </c>
    </row>
    <row r="249" spans="1:5">
      <c r="A249" s="8">
        <v>9183</v>
      </c>
      <c r="B249" s="8" t="s">
        <v>101</v>
      </c>
      <c r="C249" s="20" t="s">
        <v>149</v>
      </c>
      <c r="D249" s="20">
        <v>45547</v>
      </c>
      <c r="E249" s="21">
        <v>15.99</v>
      </c>
    </row>
    <row r="250" spans="1:5">
      <c r="A250" s="8">
        <v>8674</v>
      </c>
      <c r="B250" s="8" t="s">
        <v>360</v>
      </c>
      <c r="C250" s="20">
        <v>44927</v>
      </c>
      <c r="D250" s="20" t="s">
        <v>84</v>
      </c>
      <c r="E250" s="21">
        <v>15.99</v>
      </c>
    </row>
    <row r="251" spans="1:5">
      <c r="A251" s="8">
        <v>2481</v>
      </c>
      <c r="B251" s="8" t="s">
        <v>361</v>
      </c>
      <c r="C251" s="20" t="s">
        <v>362</v>
      </c>
      <c r="D251" s="20" t="s">
        <v>84</v>
      </c>
      <c r="E251" s="21">
        <v>7.99</v>
      </c>
    </row>
    <row r="252" spans="1:5">
      <c r="A252" s="8">
        <v>8729</v>
      </c>
      <c r="B252" s="8" t="s">
        <v>363</v>
      </c>
      <c r="C252" s="20">
        <v>45536</v>
      </c>
      <c r="D252" s="20" t="s">
        <v>25</v>
      </c>
      <c r="E252" s="21">
        <v>7.99</v>
      </c>
    </row>
    <row r="253" spans="1:5">
      <c r="A253" s="8">
        <v>5534</v>
      </c>
      <c r="B253" s="8" t="s">
        <v>364</v>
      </c>
      <c r="C253" s="20">
        <v>45019</v>
      </c>
      <c r="D253" s="20" t="s">
        <v>25</v>
      </c>
      <c r="E253" s="21">
        <v>7.99</v>
      </c>
    </row>
    <row r="254" spans="1:5">
      <c r="A254" s="8">
        <v>9785</v>
      </c>
      <c r="B254" s="8" t="s">
        <v>259</v>
      </c>
      <c r="C254" s="20">
        <v>45383</v>
      </c>
      <c r="D254" s="20" t="s">
        <v>103</v>
      </c>
      <c r="E254" s="21">
        <v>11.99</v>
      </c>
    </row>
    <row r="255" spans="1:5">
      <c r="A255" s="8">
        <v>9609</v>
      </c>
      <c r="B255" s="8" t="s">
        <v>344</v>
      </c>
      <c r="C255" s="20">
        <v>44994</v>
      </c>
      <c r="D255" s="20" t="s">
        <v>99</v>
      </c>
      <c r="E255" s="21">
        <v>11.99</v>
      </c>
    </row>
    <row r="256" spans="1:5">
      <c r="A256" s="8">
        <v>2829</v>
      </c>
      <c r="B256" s="8" t="s">
        <v>365</v>
      </c>
      <c r="C256" s="20" t="s">
        <v>366</v>
      </c>
      <c r="D256" s="20">
        <v>45547</v>
      </c>
      <c r="E256" s="21">
        <v>15.99</v>
      </c>
    </row>
    <row r="257" spans="1:5">
      <c r="A257" s="8">
        <v>1714</v>
      </c>
      <c r="B257" s="8" t="s">
        <v>367</v>
      </c>
      <c r="C257" s="20" t="s">
        <v>368</v>
      </c>
      <c r="D257" s="20" t="s">
        <v>214</v>
      </c>
      <c r="E257" s="21">
        <v>11.99</v>
      </c>
    </row>
    <row r="258" spans="1:5">
      <c r="A258" s="8">
        <v>4475</v>
      </c>
      <c r="B258" s="8" t="s">
        <v>369</v>
      </c>
      <c r="C258" s="20" t="s">
        <v>370</v>
      </c>
      <c r="D258" s="20">
        <v>45638</v>
      </c>
      <c r="E258" s="21">
        <v>7.99</v>
      </c>
    </row>
    <row r="259" spans="1:5">
      <c r="A259" s="8">
        <v>9820</v>
      </c>
      <c r="B259" s="8" t="s">
        <v>153</v>
      </c>
      <c r="C259" s="20" t="s">
        <v>319</v>
      </c>
      <c r="D259" s="20" t="s">
        <v>99</v>
      </c>
      <c r="E259" s="21">
        <v>7.99</v>
      </c>
    </row>
    <row r="260" spans="1:5">
      <c r="A260" s="8">
        <v>3261</v>
      </c>
      <c r="B260" s="8" t="s">
        <v>179</v>
      </c>
      <c r="C260" s="20" t="s">
        <v>163</v>
      </c>
      <c r="D260" s="20" t="s">
        <v>25</v>
      </c>
      <c r="E260" s="21">
        <v>11.99</v>
      </c>
    </row>
    <row r="261" spans="1:5">
      <c r="A261" s="8">
        <v>6130</v>
      </c>
      <c r="B261" s="8" t="s">
        <v>157</v>
      </c>
      <c r="C261" s="20" t="s">
        <v>371</v>
      </c>
      <c r="D261" s="20" t="s">
        <v>129</v>
      </c>
      <c r="E261" s="21">
        <v>11.99</v>
      </c>
    </row>
    <row r="262" spans="1:5">
      <c r="A262" s="8">
        <v>9399</v>
      </c>
      <c r="B262" s="8" t="s">
        <v>183</v>
      </c>
      <c r="C262" s="20" t="s">
        <v>372</v>
      </c>
      <c r="D262" s="20" t="s">
        <v>105</v>
      </c>
      <c r="E262" s="21">
        <v>7.99</v>
      </c>
    </row>
    <row r="263" spans="1:5">
      <c r="A263" s="8">
        <v>6047</v>
      </c>
      <c r="B263" s="8" t="s">
        <v>284</v>
      </c>
      <c r="C263" s="20" t="s">
        <v>109</v>
      </c>
      <c r="D263" s="20">
        <v>45334</v>
      </c>
      <c r="E263" s="21">
        <v>15.99</v>
      </c>
    </row>
    <row r="264" spans="1:5">
      <c r="A264" s="8">
        <v>7789</v>
      </c>
      <c r="B264" s="8" t="s">
        <v>120</v>
      </c>
      <c r="C264" s="20" t="s">
        <v>158</v>
      </c>
      <c r="D264" s="20" t="s">
        <v>156</v>
      </c>
      <c r="E264" s="21">
        <v>7.99</v>
      </c>
    </row>
    <row r="265" spans="1:5">
      <c r="A265" s="8">
        <v>6111</v>
      </c>
      <c r="B265" s="8" t="s">
        <v>176</v>
      </c>
      <c r="C265" s="20">
        <v>45241</v>
      </c>
      <c r="D265" s="20" t="s">
        <v>25</v>
      </c>
      <c r="E265" s="21">
        <v>11.99</v>
      </c>
    </row>
    <row r="266" spans="1:5">
      <c r="A266" s="8">
        <v>4968</v>
      </c>
      <c r="B266" s="8" t="s">
        <v>373</v>
      </c>
      <c r="C266" s="20">
        <v>45600</v>
      </c>
      <c r="D266" s="20" t="s">
        <v>214</v>
      </c>
      <c r="E266" s="21">
        <v>7.99</v>
      </c>
    </row>
    <row r="267" spans="1:5">
      <c r="A267" s="8">
        <v>2739</v>
      </c>
      <c r="B267" s="8" t="s">
        <v>374</v>
      </c>
      <c r="C267" s="20" t="s">
        <v>372</v>
      </c>
      <c r="D267" s="20" t="s">
        <v>84</v>
      </c>
      <c r="E267" s="21">
        <v>15.99</v>
      </c>
    </row>
    <row r="268" spans="1:5">
      <c r="A268" s="8">
        <v>6974</v>
      </c>
      <c r="B268" s="8" t="s">
        <v>77</v>
      </c>
      <c r="C268" s="20" t="s">
        <v>375</v>
      </c>
      <c r="D268" s="20" t="s">
        <v>105</v>
      </c>
      <c r="E268" s="21">
        <v>11.99</v>
      </c>
    </row>
    <row r="269" spans="1:5">
      <c r="A269" s="8">
        <v>1784</v>
      </c>
      <c r="B269" s="8" t="s">
        <v>244</v>
      </c>
      <c r="C269" s="20">
        <v>45236</v>
      </c>
      <c r="D269" s="20" t="s">
        <v>129</v>
      </c>
      <c r="E269" s="21">
        <v>15.99</v>
      </c>
    </row>
    <row r="270" spans="1:5">
      <c r="A270" s="8">
        <v>8077</v>
      </c>
      <c r="B270" s="8" t="s">
        <v>128</v>
      </c>
      <c r="C270" s="20">
        <v>45357</v>
      </c>
      <c r="D270" s="20" t="s">
        <v>103</v>
      </c>
      <c r="E270" s="21">
        <v>11.99</v>
      </c>
    </row>
    <row r="271" spans="1:5">
      <c r="A271" s="8">
        <v>2727</v>
      </c>
      <c r="B271" s="8" t="s">
        <v>376</v>
      </c>
      <c r="C271" s="20" t="s">
        <v>377</v>
      </c>
      <c r="D271" s="20">
        <v>45516</v>
      </c>
      <c r="E271" s="21">
        <v>7.99</v>
      </c>
    </row>
    <row r="272" spans="1:5">
      <c r="A272" s="8">
        <v>7661</v>
      </c>
      <c r="B272" s="8" t="s">
        <v>378</v>
      </c>
      <c r="C272" s="20" t="s">
        <v>200</v>
      </c>
      <c r="D272" s="20" t="s">
        <v>42</v>
      </c>
      <c r="E272" s="21">
        <v>11.99</v>
      </c>
    </row>
    <row r="273" spans="1:5">
      <c r="A273" s="8">
        <v>5083</v>
      </c>
      <c r="B273" s="8" t="s">
        <v>148</v>
      </c>
      <c r="C273" s="20" t="s">
        <v>156</v>
      </c>
      <c r="D273" s="20" t="s">
        <v>109</v>
      </c>
      <c r="E273" s="21">
        <v>15.99</v>
      </c>
    </row>
    <row r="274" spans="1:5">
      <c r="A274" s="8">
        <v>7275</v>
      </c>
      <c r="B274" s="8" t="s">
        <v>379</v>
      </c>
      <c r="C274" s="20">
        <v>45421</v>
      </c>
      <c r="D274" s="20">
        <v>45485</v>
      </c>
      <c r="E274" s="21">
        <v>11.99</v>
      </c>
    </row>
    <row r="275" spans="1:5">
      <c r="A275" s="8">
        <v>7316</v>
      </c>
      <c r="B275" s="8" t="s">
        <v>380</v>
      </c>
      <c r="C275" s="20" t="s">
        <v>381</v>
      </c>
      <c r="D275" s="20" t="s">
        <v>35</v>
      </c>
      <c r="E275" s="21">
        <v>11.99</v>
      </c>
    </row>
    <row r="276" spans="1:5">
      <c r="A276" s="8">
        <v>4497</v>
      </c>
      <c r="B276" s="8" t="s">
        <v>382</v>
      </c>
      <c r="C276" s="20">
        <v>44986</v>
      </c>
      <c r="D276" s="20" t="s">
        <v>35</v>
      </c>
      <c r="E276" s="21">
        <v>15.99</v>
      </c>
    </row>
    <row r="277" spans="1:5">
      <c r="A277" s="8">
        <v>8685</v>
      </c>
      <c r="B277" s="8" t="s">
        <v>138</v>
      </c>
      <c r="C277" s="20">
        <v>45538</v>
      </c>
      <c r="D277" s="20" t="s">
        <v>84</v>
      </c>
      <c r="E277" s="21">
        <v>11.99</v>
      </c>
    </row>
    <row r="278" spans="1:5">
      <c r="A278" s="8">
        <v>8583</v>
      </c>
      <c r="B278" s="8" t="s">
        <v>118</v>
      </c>
      <c r="C278" s="20" t="s">
        <v>317</v>
      </c>
      <c r="D278" s="20" t="s">
        <v>99</v>
      </c>
      <c r="E278" s="21">
        <v>15.99</v>
      </c>
    </row>
    <row r="279" spans="1:5">
      <c r="A279" s="8">
        <v>1062</v>
      </c>
      <c r="B279" s="8" t="s">
        <v>179</v>
      </c>
      <c r="C279" s="20">
        <v>45361</v>
      </c>
      <c r="D279" s="20" t="s">
        <v>25</v>
      </c>
      <c r="E279" s="21">
        <v>7.99</v>
      </c>
    </row>
    <row r="280" spans="1:5">
      <c r="A280" s="8">
        <v>2593</v>
      </c>
      <c r="B280" s="8" t="s">
        <v>130</v>
      </c>
      <c r="C280" s="20" t="s">
        <v>246</v>
      </c>
      <c r="D280" s="20">
        <v>45608</v>
      </c>
      <c r="E280" s="21">
        <v>7.99</v>
      </c>
    </row>
    <row r="281" spans="1:5">
      <c r="A281" s="8">
        <v>3951</v>
      </c>
      <c r="B281" s="8" t="s">
        <v>383</v>
      </c>
      <c r="C281" s="20" t="s">
        <v>384</v>
      </c>
      <c r="D281" s="20">
        <v>45455</v>
      </c>
      <c r="E281" s="21">
        <v>11.99</v>
      </c>
    </row>
    <row r="282" spans="1:5">
      <c r="A282" s="8">
        <v>8580</v>
      </c>
      <c r="B282" s="8" t="s">
        <v>385</v>
      </c>
      <c r="C282" s="20">
        <v>45328</v>
      </c>
      <c r="D282" s="20">
        <v>45577</v>
      </c>
      <c r="E282" s="21">
        <v>15.99</v>
      </c>
    </row>
    <row r="283" spans="1:5">
      <c r="A283" s="8">
        <v>4372</v>
      </c>
      <c r="B283" s="8" t="s">
        <v>157</v>
      </c>
      <c r="C283" s="20" t="s">
        <v>386</v>
      </c>
      <c r="D283" s="20">
        <v>45424</v>
      </c>
      <c r="E283" s="21">
        <v>15.99</v>
      </c>
    </row>
    <row r="284" spans="1:5">
      <c r="A284" s="8">
        <v>4463</v>
      </c>
      <c r="B284" s="8" t="s">
        <v>387</v>
      </c>
      <c r="C284" s="20" t="s">
        <v>388</v>
      </c>
      <c r="D284" s="20" t="s">
        <v>156</v>
      </c>
      <c r="E284" s="21">
        <v>15.99</v>
      </c>
    </row>
    <row r="285" spans="1:5">
      <c r="A285" s="8">
        <v>7498</v>
      </c>
      <c r="B285" s="8" t="s">
        <v>389</v>
      </c>
      <c r="C285" s="20">
        <v>45171</v>
      </c>
      <c r="D285" s="20" t="s">
        <v>156</v>
      </c>
      <c r="E285" s="21">
        <v>11.99</v>
      </c>
    </row>
    <row r="286" spans="1:5">
      <c r="A286" s="8">
        <v>9618</v>
      </c>
      <c r="B286" s="8" t="s">
        <v>234</v>
      </c>
      <c r="C286" s="20" t="s">
        <v>390</v>
      </c>
      <c r="D286" s="20" t="s">
        <v>90</v>
      </c>
      <c r="E286" s="21">
        <v>11.99</v>
      </c>
    </row>
    <row r="287" spans="1:5">
      <c r="A287" s="8">
        <v>1813</v>
      </c>
      <c r="B287" s="8" t="s">
        <v>391</v>
      </c>
      <c r="C287" s="20" t="s">
        <v>392</v>
      </c>
      <c r="D287" s="20" t="s">
        <v>168</v>
      </c>
      <c r="E287" s="21">
        <v>11.99</v>
      </c>
    </row>
    <row r="288" spans="1:5">
      <c r="A288" s="8">
        <v>3009</v>
      </c>
      <c r="B288" s="8" t="s">
        <v>393</v>
      </c>
      <c r="C288" s="20" t="s">
        <v>394</v>
      </c>
      <c r="D288" s="20" t="s">
        <v>25</v>
      </c>
      <c r="E288" s="21">
        <v>15.99</v>
      </c>
    </row>
    <row r="289" spans="1:5">
      <c r="A289" s="8">
        <v>8210</v>
      </c>
      <c r="B289" s="8" t="s">
        <v>114</v>
      </c>
      <c r="C289" s="20">
        <v>45047</v>
      </c>
      <c r="D289" s="20" t="s">
        <v>82</v>
      </c>
      <c r="E289" s="21">
        <v>15.99</v>
      </c>
    </row>
    <row r="290" spans="1:5">
      <c r="A290" s="8">
        <v>8439</v>
      </c>
      <c r="B290" s="8" t="s">
        <v>395</v>
      </c>
      <c r="C290" s="20" t="s">
        <v>396</v>
      </c>
      <c r="D290" s="20" t="s">
        <v>134</v>
      </c>
      <c r="E290" s="21">
        <v>11.99</v>
      </c>
    </row>
    <row r="291" spans="1:5">
      <c r="A291" s="8">
        <v>8310</v>
      </c>
      <c r="B291" s="8" t="s">
        <v>344</v>
      </c>
      <c r="C291" s="20" t="s">
        <v>397</v>
      </c>
      <c r="D291" s="20">
        <v>45608</v>
      </c>
      <c r="E291" s="21">
        <v>11.99</v>
      </c>
    </row>
    <row r="292" spans="1:5">
      <c r="A292" s="8">
        <v>6369</v>
      </c>
      <c r="B292" s="8" t="s">
        <v>143</v>
      </c>
      <c r="C292" s="20" t="s">
        <v>398</v>
      </c>
      <c r="D292" s="20" t="s">
        <v>99</v>
      </c>
      <c r="E292" s="21">
        <v>7.99</v>
      </c>
    </row>
    <row r="293" spans="1:5">
      <c r="A293" s="8">
        <v>5721</v>
      </c>
      <c r="B293" s="8" t="s">
        <v>399</v>
      </c>
      <c r="C293" s="20">
        <v>45236</v>
      </c>
      <c r="D293" s="20">
        <v>45638</v>
      </c>
      <c r="E293" s="21">
        <v>15.99</v>
      </c>
    </row>
    <row r="294" spans="1:5">
      <c r="A294" s="8">
        <v>4204</v>
      </c>
      <c r="B294" s="8" t="s">
        <v>169</v>
      </c>
      <c r="C294" s="20">
        <v>45271</v>
      </c>
      <c r="D294" s="20" t="s">
        <v>42</v>
      </c>
      <c r="E294" s="21">
        <v>11.99</v>
      </c>
    </row>
    <row r="295" spans="1:5">
      <c r="A295" s="8">
        <v>5666</v>
      </c>
      <c r="B295" s="8" t="s">
        <v>272</v>
      </c>
      <c r="C295" s="20" t="s">
        <v>400</v>
      </c>
      <c r="D295" s="20" t="s">
        <v>84</v>
      </c>
      <c r="E295" s="21">
        <v>7.99</v>
      </c>
    </row>
    <row r="296" spans="1:5">
      <c r="A296" s="8">
        <v>5943</v>
      </c>
      <c r="B296" s="8" t="s">
        <v>401</v>
      </c>
      <c r="C296" s="20" t="s">
        <v>213</v>
      </c>
      <c r="D296" s="20">
        <v>45485</v>
      </c>
      <c r="E296" s="21">
        <v>7.99</v>
      </c>
    </row>
    <row r="297" spans="1:5">
      <c r="A297" s="8">
        <v>3202</v>
      </c>
      <c r="B297" s="8" t="s">
        <v>52</v>
      </c>
      <c r="C297" s="20" t="s">
        <v>312</v>
      </c>
      <c r="D297" s="20">
        <v>45394</v>
      </c>
      <c r="E297" s="21">
        <v>11.99</v>
      </c>
    </row>
    <row r="298" spans="1:5">
      <c r="A298" s="8">
        <v>4512</v>
      </c>
      <c r="B298" s="8" t="s">
        <v>259</v>
      </c>
      <c r="C298" s="20" t="s">
        <v>402</v>
      </c>
      <c r="D298" s="20" t="s">
        <v>90</v>
      </c>
      <c r="E298" s="21">
        <v>11.99</v>
      </c>
    </row>
    <row r="299" spans="1:5">
      <c r="A299" s="8">
        <v>2075</v>
      </c>
      <c r="B299" s="8" t="s">
        <v>347</v>
      </c>
      <c r="C299" s="20" t="s">
        <v>403</v>
      </c>
      <c r="D299" s="20">
        <v>45547</v>
      </c>
      <c r="E299" s="21">
        <v>7.99</v>
      </c>
    </row>
    <row r="300" spans="1:5">
      <c r="A300" s="8">
        <v>4057</v>
      </c>
      <c r="B300" s="8" t="s">
        <v>404</v>
      </c>
      <c r="C300" s="20">
        <v>45570</v>
      </c>
      <c r="D300" s="20" t="s">
        <v>105</v>
      </c>
      <c r="E300" s="21">
        <v>15.99</v>
      </c>
    </row>
    <row r="301" spans="1:5">
      <c r="A301" s="8">
        <v>5537</v>
      </c>
      <c r="B301" s="8" t="s">
        <v>212</v>
      </c>
      <c r="C301" s="20">
        <v>45635</v>
      </c>
      <c r="D301" s="20" t="s">
        <v>54</v>
      </c>
      <c r="E301" s="21">
        <v>11.99</v>
      </c>
    </row>
    <row r="302" spans="1:5">
      <c r="A302" s="8">
        <v>9520</v>
      </c>
      <c r="B302" s="8" t="s">
        <v>405</v>
      </c>
      <c r="C302" s="20">
        <v>45054</v>
      </c>
      <c r="D302" s="20">
        <v>45303</v>
      </c>
      <c r="E302" s="21">
        <v>11.99</v>
      </c>
    </row>
    <row r="303" spans="1:5">
      <c r="A303" s="8">
        <v>1081</v>
      </c>
      <c r="B303" s="8" t="s">
        <v>406</v>
      </c>
      <c r="C303" s="20" t="s">
        <v>407</v>
      </c>
      <c r="D303" s="20" t="s">
        <v>168</v>
      </c>
      <c r="E303" s="21">
        <v>15.99</v>
      </c>
    </row>
    <row r="304" spans="1:5">
      <c r="A304" s="8">
        <v>7621</v>
      </c>
      <c r="B304" s="8" t="s">
        <v>405</v>
      </c>
      <c r="C304" s="20">
        <v>45086</v>
      </c>
      <c r="D304" s="20">
        <v>45455</v>
      </c>
      <c r="E304" s="21">
        <v>7.99</v>
      </c>
    </row>
    <row r="305" spans="1:5">
      <c r="A305" s="8">
        <v>4558</v>
      </c>
      <c r="B305" s="8" t="s">
        <v>204</v>
      </c>
      <c r="C305" s="20" t="s">
        <v>386</v>
      </c>
      <c r="D305" s="20" t="s">
        <v>84</v>
      </c>
      <c r="E305" s="21">
        <v>11.99</v>
      </c>
    </row>
    <row r="306" spans="1:5">
      <c r="A306" s="8">
        <v>6628</v>
      </c>
      <c r="B306" s="8" t="s">
        <v>357</v>
      </c>
      <c r="C306" s="20" t="s">
        <v>81</v>
      </c>
      <c r="D306" s="20" t="s">
        <v>35</v>
      </c>
      <c r="E306" s="21">
        <v>11.99</v>
      </c>
    </row>
    <row r="307" spans="1:5">
      <c r="A307" s="8">
        <v>7643</v>
      </c>
      <c r="B307" s="8" t="s">
        <v>408</v>
      </c>
      <c r="C307" s="20">
        <v>45572</v>
      </c>
      <c r="D307" s="20">
        <v>45363</v>
      </c>
      <c r="E307" s="21">
        <v>15.99</v>
      </c>
    </row>
    <row r="308" spans="1:5">
      <c r="A308" s="8">
        <v>4709</v>
      </c>
      <c r="B308" s="8" t="s">
        <v>409</v>
      </c>
      <c r="C308" s="20" t="s">
        <v>113</v>
      </c>
      <c r="D308" s="20" t="s">
        <v>156</v>
      </c>
      <c r="E308" s="21">
        <v>11.99</v>
      </c>
    </row>
    <row r="309" spans="1:5">
      <c r="A309" s="8">
        <v>8408</v>
      </c>
      <c r="B309" s="8" t="s">
        <v>176</v>
      </c>
      <c r="C309" s="20" t="s">
        <v>410</v>
      </c>
      <c r="D309" s="20">
        <v>45638</v>
      </c>
      <c r="E309" s="21">
        <v>7.99</v>
      </c>
    </row>
    <row r="310" spans="1:5">
      <c r="A310" s="8">
        <v>3530</v>
      </c>
      <c r="B310" s="8" t="s">
        <v>411</v>
      </c>
      <c r="C310" s="20">
        <v>45575</v>
      </c>
      <c r="D310" s="20">
        <v>45455</v>
      </c>
      <c r="E310" s="21">
        <v>15.99</v>
      </c>
    </row>
    <row r="311" spans="1:5">
      <c r="A311" s="8">
        <v>3779</v>
      </c>
      <c r="B311" s="8" t="s">
        <v>291</v>
      </c>
      <c r="C311" s="20" t="s">
        <v>392</v>
      </c>
      <c r="D311" s="20" t="s">
        <v>35</v>
      </c>
      <c r="E311" s="21">
        <v>11.99</v>
      </c>
    </row>
    <row r="312" spans="1:5">
      <c r="A312" s="8">
        <v>8564</v>
      </c>
      <c r="B312" s="8" t="s">
        <v>202</v>
      </c>
      <c r="C312" s="20" t="s">
        <v>412</v>
      </c>
      <c r="D312" s="20">
        <v>45303</v>
      </c>
      <c r="E312" s="21">
        <v>7.99</v>
      </c>
    </row>
    <row r="313" spans="1:5">
      <c r="A313" s="8">
        <v>8731</v>
      </c>
      <c r="B313" s="8" t="s">
        <v>177</v>
      </c>
      <c r="C313" s="20" t="s">
        <v>198</v>
      </c>
      <c r="D313" s="20">
        <v>45334</v>
      </c>
      <c r="E313" s="21">
        <v>15.99</v>
      </c>
    </row>
    <row r="314" spans="1:5">
      <c r="A314" s="8">
        <v>5000</v>
      </c>
      <c r="B314" s="8" t="s">
        <v>150</v>
      </c>
      <c r="C314" s="20" t="s">
        <v>413</v>
      </c>
      <c r="D314" s="20" t="s">
        <v>156</v>
      </c>
      <c r="E314" s="21">
        <v>15.99</v>
      </c>
    </row>
    <row r="315" spans="1:5">
      <c r="A315" s="8">
        <v>3882</v>
      </c>
      <c r="B315" s="8" t="s">
        <v>318</v>
      </c>
      <c r="C315" s="20">
        <v>45303</v>
      </c>
      <c r="D315" s="20" t="s">
        <v>35</v>
      </c>
      <c r="E315" s="21">
        <v>15.99</v>
      </c>
    </row>
    <row r="316" spans="1:5">
      <c r="A316" s="8">
        <v>4551</v>
      </c>
      <c r="B316" s="8" t="s">
        <v>414</v>
      </c>
      <c r="C316" s="20" t="s">
        <v>415</v>
      </c>
      <c r="D316" s="20" t="s">
        <v>54</v>
      </c>
      <c r="E316" s="21">
        <v>11.99</v>
      </c>
    </row>
    <row r="317" spans="1:5">
      <c r="A317" s="8">
        <v>7970</v>
      </c>
      <c r="B317" s="8" t="s">
        <v>169</v>
      </c>
      <c r="C317" s="20" t="s">
        <v>416</v>
      </c>
      <c r="D317" s="20" t="s">
        <v>54</v>
      </c>
      <c r="E317" s="21">
        <v>15.99</v>
      </c>
    </row>
    <row r="318" spans="1:5">
      <c r="A318" s="8">
        <v>2466</v>
      </c>
      <c r="B318" s="8" t="s">
        <v>417</v>
      </c>
      <c r="C318" s="20" t="s">
        <v>418</v>
      </c>
      <c r="D318" s="20">
        <v>45363</v>
      </c>
      <c r="E318" s="21">
        <v>11.99</v>
      </c>
    </row>
    <row r="319" spans="1:5">
      <c r="A319" s="8">
        <v>1303</v>
      </c>
      <c r="B319" s="8" t="s">
        <v>140</v>
      </c>
      <c r="C319" s="20" t="s">
        <v>71</v>
      </c>
      <c r="D319" s="20">
        <v>45394</v>
      </c>
      <c r="E319" s="21">
        <v>11.99</v>
      </c>
    </row>
    <row r="320" spans="1:5">
      <c r="A320" s="8">
        <v>9832</v>
      </c>
      <c r="B320" s="8" t="s">
        <v>311</v>
      </c>
      <c r="C320" s="20" t="s">
        <v>246</v>
      </c>
      <c r="D320" s="20" t="s">
        <v>134</v>
      </c>
      <c r="E320" s="21">
        <v>7.99</v>
      </c>
    </row>
    <row r="321" spans="1:5">
      <c r="A321" s="8">
        <v>3618</v>
      </c>
      <c r="B321" s="8" t="s">
        <v>284</v>
      </c>
      <c r="C321" s="20">
        <v>45353</v>
      </c>
      <c r="D321" s="20">
        <v>45363</v>
      </c>
      <c r="E321" s="21">
        <v>11.99</v>
      </c>
    </row>
    <row r="322" spans="1:5">
      <c r="A322" s="8">
        <v>7424</v>
      </c>
      <c r="B322" s="8" t="s">
        <v>148</v>
      </c>
      <c r="C322" s="20">
        <v>45146</v>
      </c>
      <c r="D322" s="20" t="s">
        <v>25</v>
      </c>
      <c r="E322" s="21">
        <v>7.99</v>
      </c>
    </row>
    <row r="323" spans="1:5">
      <c r="A323" s="8">
        <v>8414</v>
      </c>
      <c r="B323" s="8" t="s">
        <v>148</v>
      </c>
      <c r="C323" s="20" t="s">
        <v>419</v>
      </c>
      <c r="D323" s="20" t="s">
        <v>82</v>
      </c>
      <c r="E323" s="21">
        <v>11.99</v>
      </c>
    </row>
    <row r="324" spans="1:5">
      <c r="A324" s="8">
        <v>5688</v>
      </c>
      <c r="B324" s="8" t="s">
        <v>140</v>
      </c>
      <c r="C324" s="20" t="s">
        <v>420</v>
      </c>
      <c r="D324" s="20" t="s">
        <v>90</v>
      </c>
      <c r="E324" s="21">
        <v>7.99</v>
      </c>
    </row>
    <row r="325" spans="1:5">
      <c r="A325" s="8">
        <v>2062</v>
      </c>
      <c r="B325" s="8" t="s">
        <v>421</v>
      </c>
      <c r="C325" s="20" t="s">
        <v>220</v>
      </c>
      <c r="D325" s="20" t="s">
        <v>156</v>
      </c>
      <c r="E325" s="21">
        <v>15.99</v>
      </c>
    </row>
    <row r="326" spans="1:5">
      <c r="A326" s="8">
        <v>5031</v>
      </c>
      <c r="B326" s="8" t="s">
        <v>422</v>
      </c>
      <c r="C326" s="20">
        <v>45024</v>
      </c>
      <c r="D326" s="20" t="s">
        <v>99</v>
      </c>
      <c r="E326" s="21">
        <v>7.99</v>
      </c>
    </row>
    <row r="327" spans="1:5">
      <c r="A327" s="8">
        <v>1162</v>
      </c>
      <c r="B327" s="8" t="s">
        <v>294</v>
      </c>
      <c r="C327" s="20" t="s">
        <v>423</v>
      </c>
      <c r="D327" s="20" t="s">
        <v>168</v>
      </c>
      <c r="E327" s="21">
        <v>15.99</v>
      </c>
    </row>
    <row r="328" spans="1:5">
      <c r="A328" s="8">
        <v>6564</v>
      </c>
      <c r="B328" s="8" t="s">
        <v>153</v>
      </c>
      <c r="C328" s="20" t="s">
        <v>398</v>
      </c>
      <c r="D328" s="20">
        <v>45485</v>
      </c>
      <c r="E328" s="21">
        <v>11.99</v>
      </c>
    </row>
    <row r="329" spans="1:5">
      <c r="A329" s="8">
        <v>9298</v>
      </c>
      <c r="B329" s="8" t="s">
        <v>174</v>
      </c>
      <c r="C329" s="20">
        <v>45328</v>
      </c>
      <c r="D329" s="20">
        <v>45394</v>
      </c>
      <c r="E329" s="21">
        <v>11.99</v>
      </c>
    </row>
    <row r="330" spans="1:5">
      <c r="A330" s="8">
        <v>4216</v>
      </c>
      <c r="B330" s="8" t="s">
        <v>424</v>
      </c>
      <c r="C330" s="20" t="s">
        <v>425</v>
      </c>
      <c r="D330" s="20" t="s">
        <v>54</v>
      </c>
      <c r="E330" s="21">
        <v>11.99</v>
      </c>
    </row>
    <row r="331" spans="1:5">
      <c r="A331" s="8">
        <v>3677</v>
      </c>
      <c r="B331" s="8" t="s">
        <v>226</v>
      </c>
      <c r="C331" s="20">
        <v>45141</v>
      </c>
      <c r="D331" s="20" t="s">
        <v>168</v>
      </c>
      <c r="E331" s="21">
        <v>7.99</v>
      </c>
    </row>
    <row r="332" spans="1:5">
      <c r="A332" s="8">
        <v>8453</v>
      </c>
      <c r="B332" s="8" t="s">
        <v>344</v>
      </c>
      <c r="C332" s="20" t="s">
        <v>426</v>
      </c>
      <c r="D332" s="20" t="s">
        <v>99</v>
      </c>
      <c r="E332" s="21">
        <v>11.99</v>
      </c>
    </row>
    <row r="333" spans="1:5">
      <c r="A333" s="8">
        <v>6231</v>
      </c>
      <c r="B333" s="8" t="s">
        <v>186</v>
      </c>
      <c r="C333" s="20" t="s">
        <v>427</v>
      </c>
      <c r="D333" s="20">
        <v>45485</v>
      </c>
      <c r="E333" s="21">
        <v>15.99</v>
      </c>
    </row>
    <row r="334" spans="1:5">
      <c r="A334" s="8">
        <v>1481</v>
      </c>
      <c r="B334" s="8" t="s">
        <v>52</v>
      </c>
      <c r="C334" s="20" t="s">
        <v>279</v>
      </c>
      <c r="D334" s="20">
        <v>45303</v>
      </c>
      <c r="E334" s="21">
        <v>7.99</v>
      </c>
    </row>
    <row r="335" spans="1:5">
      <c r="A335" s="8">
        <v>7400</v>
      </c>
      <c r="B335" s="8" t="s">
        <v>428</v>
      </c>
      <c r="C335" s="20">
        <v>45540</v>
      </c>
      <c r="D335" s="20" t="s">
        <v>35</v>
      </c>
      <c r="E335" s="21">
        <v>11.99</v>
      </c>
    </row>
    <row r="336" spans="1:5">
      <c r="A336" s="8">
        <v>7447</v>
      </c>
      <c r="B336" s="8" t="s">
        <v>130</v>
      </c>
      <c r="C336" s="20" t="s">
        <v>429</v>
      </c>
      <c r="D336" s="20" t="s">
        <v>84</v>
      </c>
      <c r="E336" s="21">
        <v>7.99</v>
      </c>
    </row>
    <row r="337" spans="1:5">
      <c r="A337" s="8">
        <v>4597</v>
      </c>
      <c r="B337" s="8" t="s">
        <v>244</v>
      </c>
      <c r="C337" s="20">
        <v>45573</v>
      </c>
      <c r="D337" s="20" t="s">
        <v>25</v>
      </c>
      <c r="E337" s="21">
        <v>7.99</v>
      </c>
    </row>
    <row r="338" spans="1:5">
      <c r="A338" s="8">
        <v>3173</v>
      </c>
      <c r="B338" s="8" t="s">
        <v>236</v>
      </c>
      <c r="C338" s="20" t="s">
        <v>430</v>
      </c>
      <c r="D338" s="20">
        <v>45547</v>
      </c>
      <c r="E338" s="21">
        <v>7.99</v>
      </c>
    </row>
    <row r="339" spans="1:5">
      <c r="A339" s="8">
        <v>9514</v>
      </c>
      <c r="B339" s="8" t="s">
        <v>431</v>
      </c>
      <c r="C339" s="20">
        <v>45083</v>
      </c>
      <c r="D339" s="20">
        <v>45577</v>
      </c>
      <c r="E339" s="21">
        <v>7.99</v>
      </c>
    </row>
    <row r="340" spans="1:5">
      <c r="A340" s="8">
        <v>4985</v>
      </c>
      <c r="B340" s="8" t="s">
        <v>157</v>
      </c>
      <c r="C340" s="20">
        <v>45238</v>
      </c>
      <c r="D340" s="20">
        <v>45303</v>
      </c>
      <c r="E340" s="21">
        <v>7.99</v>
      </c>
    </row>
    <row r="341" spans="1:5">
      <c r="A341" s="8">
        <v>4486</v>
      </c>
      <c r="B341" s="8" t="s">
        <v>395</v>
      </c>
      <c r="C341" s="20">
        <v>45413</v>
      </c>
      <c r="D341" s="20" t="s">
        <v>25</v>
      </c>
      <c r="E341" s="21">
        <v>7.99</v>
      </c>
    </row>
    <row r="342" spans="1:5">
      <c r="A342" s="8">
        <v>8756</v>
      </c>
      <c r="B342" s="8" t="s">
        <v>143</v>
      </c>
      <c r="C342" s="20" t="s">
        <v>432</v>
      </c>
      <c r="D342" s="20">
        <v>45547</v>
      </c>
      <c r="E342" s="21">
        <v>7.99</v>
      </c>
    </row>
    <row r="343" spans="1:5">
      <c r="A343" s="8">
        <v>9121</v>
      </c>
      <c r="B343" s="8" t="s">
        <v>262</v>
      </c>
      <c r="C343" s="20" t="s">
        <v>314</v>
      </c>
      <c r="D343" s="20">
        <v>45638</v>
      </c>
      <c r="E343" s="21">
        <v>7.99</v>
      </c>
    </row>
    <row r="344" spans="1:5">
      <c r="A344" s="8">
        <v>6471</v>
      </c>
      <c r="B344" s="8" t="s">
        <v>88</v>
      </c>
      <c r="C344" s="20" t="s">
        <v>433</v>
      </c>
      <c r="D344" s="20" t="s">
        <v>87</v>
      </c>
      <c r="E344" s="21">
        <v>7.99</v>
      </c>
    </row>
    <row r="345" spans="1:5">
      <c r="A345" s="8">
        <v>6601</v>
      </c>
      <c r="B345" s="8" t="s">
        <v>434</v>
      </c>
      <c r="C345" s="20" t="s">
        <v>354</v>
      </c>
      <c r="D345" s="20" t="s">
        <v>103</v>
      </c>
      <c r="E345" s="21">
        <v>7.99</v>
      </c>
    </row>
    <row r="346" spans="1:5">
      <c r="A346" s="8">
        <v>4340</v>
      </c>
      <c r="B346" s="8" t="s">
        <v>435</v>
      </c>
      <c r="C346" s="20" t="s">
        <v>436</v>
      </c>
      <c r="D346" s="20">
        <v>45485</v>
      </c>
      <c r="E346" s="21">
        <v>15.99</v>
      </c>
    </row>
    <row r="347" spans="1:5">
      <c r="A347" s="8">
        <v>5112</v>
      </c>
      <c r="B347" s="8" t="s">
        <v>228</v>
      </c>
      <c r="C347" s="20">
        <v>45423</v>
      </c>
      <c r="D347" s="20" t="s">
        <v>42</v>
      </c>
      <c r="E347" s="21">
        <v>15.99</v>
      </c>
    </row>
    <row r="348" spans="1:5">
      <c r="A348" s="8">
        <v>5700</v>
      </c>
      <c r="B348" s="8" t="s">
        <v>242</v>
      </c>
      <c r="C348" s="20" t="s">
        <v>437</v>
      </c>
      <c r="D348" s="20">
        <v>45547</v>
      </c>
      <c r="E348" s="21">
        <v>11.99</v>
      </c>
    </row>
    <row r="349" spans="1:5">
      <c r="A349" s="8">
        <v>8617</v>
      </c>
      <c r="B349" s="8" t="s">
        <v>140</v>
      </c>
      <c r="C349" s="20" t="s">
        <v>438</v>
      </c>
      <c r="D349" s="20">
        <v>45608</v>
      </c>
      <c r="E349" s="21">
        <v>15.99</v>
      </c>
    </row>
    <row r="350" spans="1:5">
      <c r="A350" s="8">
        <v>9149</v>
      </c>
      <c r="B350" s="8" t="s">
        <v>439</v>
      </c>
      <c r="C350" s="20">
        <v>45047</v>
      </c>
      <c r="D350" s="20" t="s">
        <v>72</v>
      </c>
      <c r="E350" s="21">
        <v>15.99</v>
      </c>
    </row>
    <row r="351" spans="1:5">
      <c r="A351" s="8">
        <v>8651</v>
      </c>
      <c r="B351" s="8" t="s">
        <v>283</v>
      </c>
      <c r="C351" s="20" t="s">
        <v>440</v>
      </c>
      <c r="D351" s="20" t="s">
        <v>214</v>
      </c>
      <c r="E351" s="21">
        <v>15.99</v>
      </c>
    </row>
    <row r="352" spans="1:5">
      <c r="A352" s="8">
        <v>1495</v>
      </c>
      <c r="B352" s="8" t="s">
        <v>441</v>
      </c>
      <c r="C352" s="20" t="s">
        <v>440</v>
      </c>
      <c r="D352" s="20" t="s">
        <v>82</v>
      </c>
      <c r="E352" s="21">
        <v>15.99</v>
      </c>
    </row>
    <row r="353" spans="1:5">
      <c r="A353" s="8">
        <v>7359</v>
      </c>
      <c r="B353" s="8" t="s">
        <v>190</v>
      </c>
      <c r="C353" s="20" t="s">
        <v>442</v>
      </c>
      <c r="D353" s="20" t="s">
        <v>72</v>
      </c>
      <c r="E353" s="21">
        <v>15.99</v>
      </c>
    </row>
    <row r="354" spans="1:5">
      <c r="A354" s="8">
        <v>6525</v>
      </c>
      <c r="B354" s="8" t="s">
        <v>284</v>
      </c>
      <c r="C354" s="20" t="s">
        <v>443</v>
      </c>
      <c r="D354" s="20" t="s">
        <v>82</v>
      </c>
      <c r="E354" s="21">
        <v>15.99</v>
      </c>
    </row>
    <row r="355" spans="1:5">
      <c r="A355" s="8">
        <v>7207</v>
      </c>
      <c r="B355" s="8" t="s">
        <v>383</v>
      </c>
      <c r="C355" s="20" t="s">
        <v>440</v>
      </c>
      <c r="D355" s="20" t="s">
        <v>72</v>
      </c>
      <c r="E355" s="21">
        <v>7.99</v>
      </c>
    </row>
    <row r="356" spans="1:5">
      <c r="A356" s="8">
        <v>2361</v>
      </c>
      <c r="B356" s="8" t="s">
        <v>444</v>
      </c>
      <c r="C356" s="20" t="s">
        <v>436</v>
      </c>
      <c r="D356" s="20" t="s">
        <v>87</v>
      </c>
      <c r="E356" s="21">
        <v>15.99</v>
      </c>
    </row>
    <row r="357" spans="1:5">
      <c r="A357" s="8">
        <v>8766</v>
      </c>
      <c r="B357" s="8" t="s">
        <v>445</v>
      </c>
      <c r="C357" s="20" t="s">
        <v>446</v>
      </c>
      <c r="D357" s="20" t="s">
        <v>99</v>
      </c>
      <c r="E357" s="21">
        <v>15.99</v>
      </c>
    </row>
    <row r="358" spans="1:5">
      <c r="A358" s="8">
        <v>7236</v>
      </c>
      <c r="B358" s="8" t="s">
        <v>52</v>
      </c>
      <c r="C358" s="20" t="s">
        <v>447</v>
      </c>
      <c r="D358" s="20">
        <v>45577</v>
      </c>
      <c r="E358" s="21">
        <v>7.99</v>
      </c>
    </row>
    <row r="359" spans="1:5">
      <c r="A359" s="8">
        <v>8605</v>
      </c>
      <c r="B359" s="8" t="s">
        <v>143</v>
      </c>
      <c r="C359" s="20" t="s">
        <v>429</v>
      </c>
      <c r="D359" s="20">
        <v>45303</v>
      </c>
      <c r="E359" s="21">
        <v>11.99</v>
      </c>
    </row>
    <row r="360" spans="1:5">
      <c r="A360" s="8">
        <v>1055</v>
      </c>
      <c r="B360" s="8" t="s">
        <v>275</v>
      </c>
      <c r="C360" s="20" t="s">
        <v>279</v>
      </c>
      <c r="D360" s="20">
        <v>45638</v>
      </c>
      <c r="E360" s="21">
        <v>15.99</v>
      </c>
    </row>
    <row r="361" spans="1:5">
      <c r="A361" s="8">
        <v>7986</v>
      </c>
      <c r="B361" s="8" t="s">
        <v>184</v>
      </c>
      <c r="C361" s="20" t="s">
        <v>267</v>
      </c>
      <c r="D361" s="20">
        <v>45577</v>
      </c>
      <c r="E361" s="21">
        <v>15.99</v>
      </c>
    </row>
    <row r="362" spans="1:5">
      <c r="A362" s="8">
        <v>6170</v>
      </c>
      <c r="B362" s="8" t="s">
        <v>244</v>
      </c>
      <c r="C362" s="20" t="s">
        <v>392</v>
      </c>
      <c r="D362" s="20" t="s">
        <v>82</v>
      </c>
      <c r="E362" s="21">
        <v>15.99</v>
      </c>
    </row>
    <row r="363" spans="1:5">
      <c r="A363" s="8">
        <v>7172</v>
      </c>
      <c r="B363" s="8" t="s">
        <v>448</v>
      </c>
      <c r="C363" s="20">
        <v>45176</v>
      </c>
      <c r="D363" s="20" t="s">
        <v>82</v>
      </c>
      <c r="E363" s="21">
        <v>11.99</v>
      </c>
    </row>
    <row r="364" spans="1:5">
      <c r="A364" s="8">
        <v>7408</v>
      </c>
      <c r="B364" s="8" t="s">
        <v>236</v>
      </c>
      <c r="C364" s="20" t="s">
        <v>449</v>
      </c>
      <c r="D364" s="20" t="s">
        <v>156</v>
      </c>
      <c r="E364" s="21">
        <v>15.99</v>
      </c>
    </row>
    <row r="365" spans="1:5">
      <c r="A365" s="8">
        <v>7274</v>
      </c>
      <c r="B365" s="8" t="s">
        <v>304</v>
      </c>
      <c r="C365" s="20">
        <v>45264</v>
      </c>
      <c r="D365" s="20">
        <v>45455</v>
      </c>
      <c r="E365" s="21">
        <v>11.99</v>
      </c>
    </row>
    <row r="366" spans="1:5">
      <c r="A366" s="8">
        <v>6001</v>
      </c>
      <c r="B366" s="8" t="s">
        <v>276</v>
      </c>
      <c r="C366" s="20">
        <v>45331</v>
      </c>
      <c r="D366" s="20" t="s">
        <v>105</v>
      </c>
      <c r="E366" s="21">
        <v>15.99</v>
      </c>
    </row>
    <row r="367" spans="1:5">
      <c r="A367" s="8">
        <v>9418</v>
      </c>
      <c r="B367" s="8" t="s">
        <v>450</v>
      </c>
      <c r="C367" s="20" t="s">
        <v>451</v>
      </c>
      <c r="D367" s="20" t="s">
        <v>214</v>
      </c>
      <c r="E367" s="21">
        <v>7.99</v>
      </c>
    </row>
    <row r="368" spans="1:5">
      <c r="A368" s="8">
        <v>9354</v>
      </c>
      <c r="B368" s="8" t="s">
        <v>441</v>
      </c>
      <c r="C368" s="20" t="s">
        <v>416</v>
      </c>
      <c r="D368" s="20" t="s">
        <v>90</v>
      </c>
      <c r="E368" s="21">
        <v>11.99</v>
      </c>
    </row>
    <row r="369" spans="1:5">
      <c r="A369" s="8">
        <v>8122</v>
      </c>
      <c r="B369" s="8" t="s">
        <v>452</v>
      </c>
      <c r="C369" s="20">
        <v>45605</v>
      </c>
      <c r="D369" s="20" t="s">
        <v>168</v>
      </c>
      <c r="E369" s="21">
        <v>15.99</v>
      </c>
    </row>
    <row r="370" spans="1:5">
      <c r="A370" s="8">
        <v>1765</v>
      </c>
      <c r="B370" s="8" t="s">
        <v>453</v>
      </c>
      <c r="C370" s="20" t="s">
        <v>454</v>
      </c>
      <c r="D370" s="20" t="s">
        <v>156</v>
      </c>
      <c r="E370" s="21">
        <v>11.99</v>
      </c>
    </row>
    <row r="371" spans="1:5">
      <c r="A371" s="8">
        <v>5352</v>
      </c>
      <c r="B371" s="8" t="s">
        <v>290</v>
      </c>
      <c r="C371" s="20" t="s">
        <v>455</v>
      </c>
      <c r="D371" s="20" t="s">
        <v>42</v>
      </c>
      <c r="E371" s="21">
        <v>15.99</v>
      </c>
    </row>
    <row r="372" spans="1:5">
      <c r="A372" s="8">
        <v>7578</v>
      </c>
      <c r="B372" s="8" t="s">
        <v>130</v>
      </c>
      <c r="C372" s="20">
        <v>44995</v>
      </c>
      <c r="D372" s="20">
        <v>45363</v>
      </c>
      <c r="E372" s="21">
        <v>11.99</v>
      </c>
    </row>
    <row r="373" spans="1:5">
      <c r="A373" s="8">
        <v>8912</v>
      </c>
      <c r="B373" s="8" t="s">
        <v>169</v>
      </c>
      <c r="C373" s="20">
        <v>45421</v>
      </c>
      <c r="D373" s="20" t="s">
        <v>134</v>
      </c>
      <c r="E373" s="21">
        <v>15.99</v>
      </c>
    </row>
    <row r="374" spans="1:5">
      <c r="A374" s="8">
        <v>6641</v>
      </c>
      <c r="B374" s="8" t="s">
        <v>140</v>
      </c>
      <c r="C374" s="20" t="s">
        <v>192</v>
      </c>
      <c r="D374" s="20">
        <v>45516</v>
      </c>
      <c r="E374" s="21">
        <v>7.99</v>
      </c>
    </row>
    <row r="375" spans="1:5">
      <c r="A375" s="8">
        <v>9664</v>
      </c>
      <c r="B375" s="8" t="s">
        <v>456</v>
      </c>
      <c r="C375" s="20">
        <v>45237</v>
      </c>
      <c r="D375" s="20" t="s">
        <v>82</v>
      </c>
      <c r="E375" s="21">
        <v>11.99</v>
      </c>
    </row>
    <row r="376" spans="1:5">
      <c r="A376" s="8">
        <v>9134</v>
      </c>
      <c r="B376" s="8" t="s">
        <v>130</v>
      </c>
      <c r="C376" s="20" t="s">
        <v>457</v>
      </c>
      <c r="D376" s="20" t="s">
        <v>54</v>
      </c>
      <c r="E376" s="21">
        <v>15.99</v>
      </c>
    </row>
    <row r="377" spans="1:5">
      <c r="A377" s="8">
        <v>6663</v>
      </c>
      <c r="B377" s="8" t="s">
        <v>184</v>
      </c>
      <c r="C377" s="20" t="s">
        <v>303</v>
      </c>
      <c r="D377" s="20">
        <v>45485</v>
      </c>
      <c r="E377" s="21">
        <v>7.99</v>
      </c>
    </row>
    <row r="378" spans="1:5">
      <c r="A378" s="8">
        <v>9800</v>
      </c>
      <c r="B378" s="8" t="s">
        <v>458</v>
      </c>
      <c r="C378" s="20" t="s">
        <v>163</v>
      </c>
      <c r="D378" s="20">
        <v>45424</v>
      </c>
      <c r="E378" s="21">
        <v>15.99</v>
      </c>
    </row>
    <row r="379" spans="1:5">
      <c r="A379" s="8">
        <v>2363</v>
      </c>
      <c r="B379" s="8" t="s">
        <v>408</v>
      </c>
      <c r="C379" s="20" t="s">
        <v>459</v>
      </c>
      <c r="D379" s="20">
        <v>45303</v>
      </c>
      <c r="E379" s="21">
        <v>7.99</v>
      </c>
    </row>
    <row r="380" spans="1:5">
      <c r="A380" s="8">
        <v>4875</v>
      </c>
      <c r="B380" s="8" t="s">
        <v>272</v>
      </c>
      <c r="C380" s="20" t="s">
        <v>460</v>
      </c>
      <c r="D380" s="20" t="s">
        <v>109</v>
      </c>
      <c r="E380" s="21">
        <v>7.99</v>
      </c>
    </row>
    <row r="381" spans="1:5">
      <c r="A381" s="8">
        <v>8961</v>
      </c>
      <c r="B381" s="8" t="s">
        <v>137</v>
      </c>
      <c r="C381" s="20">
        <v>45176</v>
      </c>
      <c r="D381" s="20">
        <v>45485</v>
      </c>
      <c r="E381" s="21">
        <v>11.99</v>
      </c>
    </row>
    <row r="382" spans="1:5">
      <c r="A382" s="8">
        <v>1539</v>
      </c>
      <c r="B382" s="8" t="s">
        <v>77</v>
      </c>
      <c r="C382" s="20" t="s">
        <v>461</v>
      </c>
      <c r="D382" s="20" t="s">
        <v>168</v>
      </c>
      <c r="E382" s="21">
        <v>15.99</v>
      </c>
    </row>
    <row r="383" spans="1:5">
      <c r="A383" s="8">
        <v>4037</v>
      </c>
      <c r="B383" s="8" t="s">
        <v>405</v>
      </c>
      <c r="C383" s="20" t="s">
        <v>462</v>
      </c>
      <c r="D383" s="20" t="s">
        <v>42</v>
      </c>
      <c r="E383" s="21">
        <v>11.99</v>
      </c>
    </row>
    <row r="384" spans="1:5">
      <c r="A384" s="8">
        <v>4239</v>
      </c>
      <c r="B384" s="8" t="s">
        <v>272</v>
      </c>
      <c r="C384" s="20" t="s">
        <v>258</v>
      </c>
      <c r="D384" s="20" t="s">
        <v>109</v>
      </c>
      <c r="E384" s="21">
        <v>7.99</v>
      </c>
    </row>
    <row r="385" spans="1:5">
      <c r="A385" s="8">
        <v>4364</v>
      </c>
      <c r="B385" s="8" t="s">
        <v>355</v>
      </c>
      <c r="C385" s="20" t="s">
        <v>326</v>
      </c>
      <c r="D385" s="20">
        <v>45303</v>
      </c>
      <c r="E385" s="21">
        <v>7.99</v>
      </c>
    </row>
    <row r="386" spans="1:5">
      <c r="A386" s="8">
        <v>8946</v>
      </c>
      <c r="B386" s="8" t="s">
        <v>463</v>
      </c>
      <c r="C386" s="20" t="s">
        <v>95</v>
      </c>
      <c r="D386" s="20" t="s">
        <v>42</v>
      </c>
      <c r="E386" s="21">
        <v>15.99</v>
      </c>
    </row>
    <row r="387" spans="1:5">
      <c r="A387" s="8">
        <v>5911</v>
      </c>
      <c r="B387" s="8" t="s">
        <v>130</v>
      </c>
      <c r="C387" s="20">
        <v>45323</v>
      </c>
      <c r="D387" s="20">
        <v>45577</v>
      </c>
      <c r="E387" s="21">
        <v>7.99</v>
      </c>
    </row>
    <row r="388" spans="1:5">
      <c r="A388" s="8">
        <v>8033</v>
      </c>
      <c r="B388" s="8" t="s">
        <v>379</v>
      </c>
      <c r="C388" s="20" t="s">
        <v>464</v>
      </c>
      <c r="D388" s="20" t="s">
        <v>105</v>
      </c>
      <c r="E388" s="21">
        <v>15.99</v>
      </c>
    </row>
    <row r="389" spans="1:5">
      <c r="A389" s="8">
        <v>6603</v>
      </c>
      <c r="B389" s="8" t="s">
        <v>280</v>
      </c>
      <c r="C389" s="20" t="s">
        <v>121</v>
      </c>
      <c r="D389" s="20">
        <v>45485</v>
      </c>
      <c r="E389" s="21">
        <v>11.99</v>
      </c>
    </row>
    <row r="390" spans="1:5">
      <c r="A390" s="8">
        <v>9630</v>
      </c>
      <c r="B390" s="8" t="s">
        <v>101</v>
      </c>
      <c r="C390" s="20">
        <v>44932</v>
      </c>
      <c r="D390" s="20" t="s">
        <v>214</v>
      </c>
      <c r="E390" s="21">
        <v>7.99</v>
      </c>
    </row>
    <row r="391" spans="1:5">
      <c r="A391" s="8">
        <v>1691</v>
      </c>
      <c r="B391" s="8" t="s">
        <v>147</v>
      </c>
      <c r="C391" s="20">
        <v>45025</v>
      </c>
      <c r="D391" s="20">
        <v>45485</v>
      </c>
      <c r="E391" s="21">
        <v>11.99</v>
      </c>
    </row>
    <row r="392" spans="1:5">
      <c r="A392" s="8">
        <v>5590</v>
      </c>
      <c r="B392" s="8" t="s">
        <v>88</v>
      </c>
      <c r="C392" s="20" t="s">
        <v>465</v>
      </c>
      <c r="D392" s="20" t="s">
        <v>35</v>
      </c>
      <c r="E392" s="21">
        <v>7.99</v>
      </c>
    </row>
    <row r="393" spans="1:5">
      <c r="A393" s="8">
        <v>8645</v>
      </c>
      <c r="B393" s="8" t="s">
        <v>257</v>
      </c>
      <c r="C393" s="20" t="s">
        <v>466</v>
      </c>
      <c r="D393" s="20" t="s">
        <v>168</v>
      </c>
      <c r="E393" s="21">
        <v>11.99</v>
      </c>
    </row>
    <row r="394" spans="1:5">
      <c r="A394" s="8">
        <v>7663</v>
      </c>
      <c r="B394" s="8" t="s">
        <v>179</v>
      </c>
      <c r="C394" s="20">
        <v>45417</v>
      </c>
      <c r="D394" s="20" t="s">
        <v>105</v>
      </c>
      <c r="E394" s="21">
        <v>7.99</v>
      </c>
    </row>
    <row r="395" spans="1:5">
      <c r="A395" s="8">
        <v>2647</v>
      </c>
      <c r="B395" s="8" t="s">
        <v>224</v>
      </c>
      <c r="C395" s="20" t="s">
        <v>467</v>
      </c>
      <c r="D395" s="20" t="s">
        <v>72</v>
      </c>
      <c r="E395" s="21">
        <v>7.99</v>
      </c>
    </row>
    <row r="396" spans="1:5">
      <c r="A396" s="8">
        <v>6539</v>
      </c>
      <c r="B396" s="8" t="s">
        <v>201</v>
      </c>
      <c r="C396" s="20" t="s">
        <v>468</v>
      </c>
      <c r="D396" s="20">
        <v>45303</v>
      </c>
      <c r="E396" s="21">
        <v>11.99</v>
      </c>
    </row>
    <row r="397" spans="1:5">
      <c r="A397" s="8">
        <v>3472</v>
      </c>
      <c r="B397" s="8" t="s">
        <v>153</v>
      </c>
      <c r="C397" s="20" t="s">
        <v>469</v>
      </c>
      <c r="D397" s="20" t="s">
        <v>109</v>
      </c>
      <c r="E397" s="21">
        <v>7.99</v>
      </c>
    </row>
    <row r="398" spans="1:5">
      <c r="A398" s="8">
        <v>4314</v>
      </c>
      <c r="B398" s="8" t="s">
        <v>373</v>
      </c>
      <c r="C398" s="20">
        <v>45206</v>
      </c>
      <c r="D398" s="20" t="s">
        <v>35</v>
      </c>
      <c r="E398" s="21">
        <v>7.99</v>
      </c>
    </row>
    <row r="399" spans="1:5">
      <c r="A399" s="8">
        <v>6739</v>
      </c>
      <c r="B399" s="8" t="s">
        <v>357</v>
      </c>
      <c r="C399" s="20" t="s">
        <v>470</v>
      </c>
      <c r="D399" s="20">
        <v>45303</v>
      </c>
      <c r="E399" s="21">
        <v>11.99</v>
      </c>
    </row>
    <row r="400" spans="1:5">
      <c r="A400" s="8">
        <v>6368</v>
      </c>
      <c r="B400" s="8" t="s">
        <v>41</v>
      </c>
      <c r="C400" s="20" t="s">
        <v>471</v>
      </c>
      <c r="D400" s="20" t="s">
        <v>42</v>
      </c>
      <c r="E400" s="21">
        <v>11.99</v>
      </c>
    </row>
    <row r="401" spans="1:5">
      <c r="A401" s="8">
        <v>7309</v>
      </c>
      <c r="B401" s="8" t="s">
        <v>176</v>
      </c>
      <c r="C401" s="20" t="s">
        <v>472</v>
      </c>
      <c r="D401" s="20" t="s">
        <v>54</v>
      </c>
      <c r="E401" s="21">
        <v>15.99</v>
      </c>
    </row>
    <row r="402" spans="1:5">
      <c r="A402" s="8">
        <v>3976</v>
      </c>
      <c r="B402" s="8" t="s">
        <v>297</v>
      </c>
      <c r="C402" s="20">
        <v>45118</v>
      </c>
      <c r="D402" s="20">
        <v>45363</v>
      </c>
      <c r="E402" s="21">
        <v>7.99</v>
      </c>
    </row>
    <row r="403" spans="1:5">
      <c r="A403" s="8">
        <v>7230</v>
      </c>
      <c r="B403" s="8" t="s">
        <v>473</v>
      </c>
      <c r="C403" s="20" t="s">
        <v>474</v>
      </c>
      <c r="D403" s="20" t="s">
        <v>25</v>
      </c>
      <c r="E403" s="21">
        <v>11.99</v>
      </c>
    </row>
    <row r="404" spans="1:5">
      <c r="A404" s="8">
        <v>8888</v>
      </c>
      <c r="B404" s="8" t="s">
        <v>344</v>
      </c>
      <c r="C404" s="20" t="s">
        <v>475</v>
      </c>
      <c r="D404" s="20" t="s">
        <v>25</v>
      </c>
      <c r="E404" s="21">
        <v>15.99</v>
      </c>
    </row>
    <row r="405" spans="1:5">
      <c r="A405" s="8">
        <v>1194</v>
      </c>
      <c r="B405" s="8" t="s">
        <v>357</v>
      </c>
      <c r="C405" s="20" t="s">
        <v>203</v>
      </c>
      <c r="D405" s="20">
        <v>45334</v>
      </c>
      <c r="E405" s="21">
        <v>7.99</v>
      </c>
    </row>
    <row r="406" spans="1:5">
      <c r="A406" s="8">
        <v>6983</v>
      </c>
      <c r="B406" s="8" t="s">
        <v>88</v>
      </c>
      <c r="C406" s="20" t="s">
        <v>476</v>
      </c>
      <c r="D406" s="20">
        <v>45485</v>
      </c>
      <c r="E406" s="21">
        <v>11.99</v>
      </c>
    </row>
    <row r="407" spans="1:5">
      <c r="A407" s="8">
        <v>1413</v>
      </c>
      <c r="B407" s="8" t="s">
        <v>98</v>
      </c>
      <c r="C407" s="20" t="s">
        <v>477</v>
      </c>
      <c r="D407" s="20" t="s">
        <v>90</v>
      </c>
      <c r="E407" s="21">
        <v>11.99</v>
      </c>
    </row>
    <row r="408" spans="1:5">
      <c r="A408" s="8">
        <v>9509</v>
      </c>
      <c r="B408" s="8" t="s">
        <v>232</v>
      </c>
      <c r="C408" s="20" t="s">
        <v>407</v>
      </c>
      <c r="D408" s="20" t="s">
        <v>214</v>
      </c>
      <c r="E408" s="21">
        <v>11.99</v>
      </c>
    </row>
    <row r="409" spans="1:5">
      <c r="A409" s="8">
        <v>6330</v>
      </c>
      <c r="B409" s="8" t="s">
        <v>478</v>
      </c>
      <c r="C409" s="20" t="s">
        <v>479</v>
      </c>
      <c r="D409" s="20">
        <v>45394</v>
      </c>
      <c r="E409" s="21">
        <v>7.99</v>
      </c>
    </row>
    <row r="410" spans="1:5">
      <c r="A410" s="8">
        <v>2504</v>
      </c>
      <c r="B410" s="8" t="s">
        <v>480</v>
      </c>
      <c r="C410" s="20" t="s">
        <v>481</v>
      </c>
      <c r="D410" s="20" t="s">
        <v>35</v>
      </c>
      <c r="E410" s="21">
        <v>11.99</v>
      </c>
    </row>
    <row r="411" spans="1:5">
      <c r="A411" s="8">
        <v>6593</v>
      </c>
      <c r="B411" s="8" t="s">
        <v>357</v>
      </c>
      <c r="C411" s="20" t="s">
        <v>327</v>
      </c>
      <c r="D411" s="20">
        <v>45485</v>
      </c>
      <c r="E411" s="21">
        <v>11.99</v>
      </c>
    </row>
    <row r="412" spans="1:5">
      <c r="A412" s="8">
        <v>9537</v>
      </c>
      <c r="B412" s="8" t="s">
        <v>357</v>
      </c>
      <c r="C412" s="20" t="s">
        <v>305</v>
      </c>
      <c r="D412" s="20" t="s">
        <v>84</v>
      </c>
      <c r="E412" s="21">
        <v>11.99</v>
      </c>
    </row>
    <row r="413" spans="1:5">
      <c r="A413" s="8">
        <v>9628</v>
      </c>
      <c r="B413" s="8" t="s">
        <v>211</v>
      </c>
      <c r="C413" s="20" t="s">
        <v>482</v>
      </c>
      <c r="D413" s="20">
        <v>45608</v>
      </c>
      <c r="E413" s="21">
        <v>7.99</v>
      </c>
    </row>
    <row r="414" spans="1:5">
      <c r="A414" s="8">
        <v>4024</v>
      </c>
      <c r="B414" s="8" t="s">
        <v>244</v>
      </c>
      <c r="C414" s="20" t="s">
        <v>483</v>
      </c>
      <c r="D414" s="20">
        <v>45485</v>
      </c>
      <c r="E414" s="21">
        <v>7.99</v>
      </c>
    </row>
    <row r="415" spans="1:5">
      <c r="A415" s="8">
        <v>5321</v>
      </c>
      <c r="B415" s="8" t="s">
        <v>304</v>
      </c>
      <c r="C415" s="20" t="s">
        <v>484</v>
      </c>
      <c r="D415" s="20">
        <v>45577</v>
      </c>
      <c r="E415" s="21">
        <v>7.99</v>
      </c>
    </row>
    <row r="416" spans="1:5">
      <c r="A416" s="8">
        <v>3926</v>
      </c>
      <c r="B416" s="8" t="s">
        <v>485</v>
      </c>
      <c r="C416" s="20" t="s">
        <v>84</v>
      </c>
      <c r="D416" s="20" t="s">
        <v>87</v>
      </c>
      <c r="E416" s="21">
        <v>7.99</v>
      </c>
    </row>
    <row r="417" spans="1:5">
      <c r="A417" s="8">
        <v>8738</v>
      </c>
      <c r="B417" s="8" t="s">
        <v>140</v>
      </c>
      <c r="C417" s="20" t="s">
        <v>300</v>
      </c>
      <c r="D417" s="20" t="s">
        <v>168</v>
      </c>
      <c r="E417" s="21">
        <v>7.99</v>
      </c>
    </row>
    <row r="418" spans="1:5">
      <c r="A418" s="8">
        <v>2701</v>
      </c>
      <c r="B418" s="8" t="s">
        <v>355</v>
      </c>
      <c r="C418" s="20">
        <v>45417</v>
      </c>
      <c r="D418" s="20">
        <v>45303</v>
      </c>
      <c r="E418" s="21">
        <v>11.99</v>
      </c>
    </row>
    <row r="419" spans="1:5">
      <c r="A419" s="8">
        <v>5339</v>
      </c>
      <c r="B419" s="8" t="s">
        <v>486</v>
      </c>
      <c r="C419" s="20" t="s">
        <v>487</v>
      </c>
      <c r="D419" s="20" t="s">
        <v>42</v>
      </c>
      <c r="E419" s="21">
        <v>15.99</v>
      </c>
    </row>
    <row r="420" spans="1:5">
      <c r="A420" s="8">
        <v>1612</v>
      </c>
      <c r="B420" s="8" t="s">
        <v>488</v>
      </c>
      <c r="C420" s="20" t="s">
        <v>354</v>
      </c>
      <c r="D420" s="20">
        <v>45394</v>
      </c>
      <c r="E420" s="21">
        <v>7.99</v>
      </c>
    </row>
    <row r="421" spans="1:5">
      <c r="A421" s="8">
        <v>5407</v>
      </c>
      <c r="B421" s="8" t="s">
        <v>101</v>
      </c>
      <c r="C421" s="20" t="s">
        <v>187</v>
      </c>
      <c r="D421" s="20">
        <v>45394</v>
      </c>
      <c r="E421" s="21">
        <v>7.99</v>
      </c>
    </row>
    <row r="422" spans="1:5">
      <c r="A422" s="8">
        <v>8225</v>
      </c>
      <c r="B422" s="8" t="s">
        <v>380</v>
      </c>
      <c r="C422" s="20">
        <v>45509</v>
      </c>
      <c r="D422" s="20" t="s">
        <v>156</v>
      </c>
      <c r="E422" s="21">
        <v>15.99</v>
      </c>
    </row>
    <row r="423" spans="1:5">
      <c r="A423" s="8">
        <v>4714</v>
      </c>
      <c r="B423" s="8" t="s">
        <v>489</v>
      </c>
      <c r="C423" s="20" t="s">
        <v>490</v>
      </c>
      <c r="D423" s="20" t="s">
        <v>84</v>
      </c>
      <c r="E423" s="21">
        <v>11.99</v>
      </c>
    </row>
    <row r="424" spans="1:5">
      <c r="A424" s="8">
        <v>3826</v>
      </c>
      <c r="B424" s="8" t="s">
        <v>357</v>
      </c>
      <c r="C424" s="20">
        <v>45332</v>
      </c>
      <c r="D424" s="20" t="s">
        <v>129</v>
      </c>
      <c r="E424" s="21">
        <v>11.99</v>
      </c>
    </row>
    <row r="425" spans="1:5">
      <c r="A425" s="8">
        <v>3781</v>
      </c>
      <c r="B425" s="8" t="s">
        <v>491</v>
      </c>
      <c r="C425" s="20" t="s">
        <v>72</v>
      </c>
      <c r="D425" s="20" t="s">
        <v>168</v>
      </c>
      <c r="E425" s="21">
        <v>15.99</v>
      </c>
    </row>
    <row r="426" spans="1:5">
      <c r="A426" s="8">
        <v>5635</v>
      </c>
      <c r="B426" s="8" t="s">
        <v>492</v>
      </c>
      <c r="C426" s="20" t="s">
        <v>292</v>
      </c>
      <c r="D426" s="20" t="s">
        <v>156</v>
      </c>
      <c r="E426" s="21">
        <v>7.99</v>
      </c>
    </row>
    <row r="427" spans="1:5">
      <c r="A427" s="8">
        <v>2291</v>
      </c>
      <c r="B427" s="8" t="s">
        <v>197</v>
      </c>
      <c r="C427" s="20">
        <v>45264</v>
      </c>
      <c r="D427" s="20">
        <v>45303</v>
      </c>
      <c r="E427" s="21">
        <v>7.99</v>
      </c>
    </row>
    <row r="428" spans="1:5">
      <c r="A428" s="8">
        <v>3119</v>
      </c>
      <c r="B428" s="8" t="s">
        <v>450</v>
      </c>
      <c r="C428" s="20" t="s">
        <v>493</v>
      </c>
      <c r="D428" s="20" t="s">
        <v>25</v>
      </c>
      <c r="E428" s="21">
        <v>7.99</v>
      </c>
    </row>
    <row r="429" spans="1:5">
      <c r="A429" s="8">
        <v>5280</v>
      </c>
      <c r="B429" s="8" t="s">
        <v>494</v>
      </c>
      <c r="C429" s="20" t="s">
        <v>151</v>
      </c>
      <c r="D429" s="20" t="s">
        <v>168</v>
      </c>
      <c r="E429" s="21">
        <v>7.99</v>
      </c>
    </row>
    <row r="430" spans="1:5">
      <c r="A430" s="8">
        <v>2546</v>
      </c>
      <c r="B430" s="8" t="s">
        <v>495</v>
      </c>
      <c r="C430" s="20" t="s">
        <v>496</v>
      </c>
      <c r="D430" s="20">
        <v>45363</v>
      </c>
      <c r="E430" s="21">
        <v>15.99</v>
      </c>
    </row>
    <row r="431" spans="1:5">
      <c r="A431" s="8">
        <v>5975</v>
      </c>
      <c r="B431" s="8" t="s">
        <v>143</v>
      </c>
      <c r="C431" s="20" t="s">
        <v>321</v>
      </c>
      <c r="D431" s="20" t="s">
        <v>72</v>
      </c>
      <c r="E431" s="21">
        <v>7.99</v>
      </c>
    </row>
    <row r="432" spans="1:5">
      <c r="A432" s="8">
        <v>9113</v>
      </c>
      <c r="B432" s="8" t="s">
        <v>236</v>
      </c>
      <c r="C432" s="20" t="s">
        <v>497</v>
      </c>
      <c r="D432" s="20" t="s">
        <v>90</v>
      </c>
      <c r="E432" s="21">
        <v>7.99</v>
      </c>
    </row>
    <row r="433" spans="1:5">
      <c r="A433" s="8">
        <v>6250</v>
      </c>
      <c r="B433" s="8" t="s">
        <v>498</v>
      </c>
      <c r="C433" s="20">
        <v>45511</v>
      </c>
      <c r="D433" s="20" t="s">
        <v>82</v>
      </c>
      <c r="E433" s="21">
        <v>15.99</v>
      </c>
    </row>
    <row r="434" spans="1:5">
      <c r="A434" s="8">
        <v>6190</v>
      </c>
      <c r="B434" s="8" t="s">
        <v>499</v>
      </c>
      <c r="C434" s="20" t="s">
        <v>390</v>
      </c>
      <c r="D434" s="20">
        <v>45516</v>
      </c>
      <c r="E434" s="21">
        <v>7.99</v>
      </c>
    </row>
    <row r="435" spans="1:5">
      <c r="A435" s="8">
        <v>5713</v>
      </c>
      <c r="B435" s="8" t="s">
        <v>500</v>
      </c>
      <c r="C435" s="20" t="s">
        <v>466</v>
      </c>
      <c r="D435" s="20" t="s">
        <v>156</v>
      </c>
      <c r="E435" s="21">
        <v>7.99</v>
      </c>
    </row>
    <row r="436" spans="1:5">
      <c r="A436" s="8">
        <v>1932</v>
      </c>
      <c r="B436" s="8" t="s">
        <v>169</v>
      </c>
      <c r="C436" s="20" t="s">
        <v>501</v>
      </c>
      <c r="D436" s="20" t="s">
        <v>72</v>
      </c>
      <c r="E436" s="21">
        <v>7.99</v>
      </c>
    </row>
    <row r="437" spans="1:5">
      <c r="A437" s="8">
        <v>6527</v>
      </c>
      <c r="B437" s="8" t="s">
        <v>502</v>
      </c>
      <c r="C437" s="20" t="s">
        <v>503</v>
      </c>
      <c r="D437" s="20" t="s">
        <v>109</v>
      </c>
      <c r="E437" s="21">
        <v>7.99</v>
      </c>
    </row>
    <row r="438" spans="1:5">
      <c r="A438" s="8">
        <v>9363</v>
      </c>
      <c r="B438" s="8" t="s">
        <v>140</v>
      </c>
      <c r="C438" s="20">
        <v>45422</v>
      </c>
      <c r="D438" s="20" t="s">
        <v>109</v>
      </c>
      <c r="E438" s="21">
        <v>11.99</v>
      </c>
    </row>
    <row r="439" spans="1:5">
      <c r="A439" s="8">
        <v>5019</v>
      </c>
      <c r="B439" s="8" t="s">
        <v>147</v>
      </c>
      <c r="C439" s="20">
        <v>45332</v>
      </c>
      <c r="D439" s="20">
        <v>45638</v>
      </c>
      <c r="E439" s="21">
        <v>15.99</v>
      </c>
    </row>
    <row r="440" spans="1:5">
      <c r="A440" s="8">
        <v>9258</v>
      </c>
      <c r="B440" s="8" t="s">
        <v>504</v>
      </c>
      <c r="C440" s="20" t="s">
        <v>358</v>
      </c>
      <c r="D440" s="20">
        <v>45455</v>
      </c>
      <c r="E440" s="21">
        <v>15.99</v>
      </c>
    </row>
    <row r="441" spans="1:5">
      <c r="A441" s="8">
        <v>7512</v>
      </c>
      <c r="B441" s="8" t="s">
        <v>505</v>
      </c>
      <c r="C441" s="20" t="s">
        <v>506</v>
      </c>
      <c r="D441" s="20" t="s">
        <v>156</v>
      </c>
      <c r="E441" s="21">
        <v>11.99</v>
      </c>
    </row>
    <row r="442" spans="1:5">
      <c r="A442" s="8">
        <v>8195</v>
      </c>
      <c r="B442" s="8" t="s">
        <v>507</v>
      </c>
      <c r="C442" s="20" t="s">
        <v>412</v>
      </c>
      <c r="D442" s="20" t="s">
        <v>84</v>
      </c>
      <c r="E442" s="21">
        <v>11.99</v>
      </c>
    </row>
    <row r="443" spans="1:5">
      <c r="A443" s="8">
        <v>8242</v>
      </c>
      <c r="B443" s="8" t="s">
        <v>257</v>
      </c>
      <c r="C443" s="20" t="s">
        <v>229</v>
      </c>
      <c r="D443" s="20">
        <v>45394</v>
      </c>
      <c r="E443" s="21">
        <v>11.99</v>
      </c>
    </row>
    <row r="444" spans="1:5">
      <c r="A444" s="8">
        <v>2220</v>
      </c>
      <c r="B444" s="8" t="s">
        <v>448</v>
      </c>
      <c r="C444" s="20" t="s">
        <v>221</v>
      </c>
      <c r="D444" s="20" t="s">
        <v>105</v>
      </c>
      <c r="E444" s="21">
        <v>15.99</v>
      </c>
    </row>
    <row r="445" spans="1:5">
      <c r="A445" s="8">
        <v>9308</v>
      </c>
      <c r="B445" s="8" t="s">
        <v>88</v>
      </c>
      <c r="C445" s="20" t="s">
        <v>287</v>
      </c>
      <c r="D445" s="20" t="s">
        <v>87</v>
      </c>
      <c r="E445" s="21">
        <v>11.99</v>
      </c>
    </row>
    <row r="446" spans="1:5">
      <c r="A446" s="8">
        <v>3437</v>
      </c>
      <c r="B446" s="8" t="s">
        <v>215</v>
      </c>
      <c r="C446" s="20" t="s">
        <v>427</v>
      </c>
      <c r="D446" s="20">
        <v>45424</v>
      </c>
      <c r="E446" s="21">
        <v>7.99</v>
      </c>
    </row>
    <row r="447" spans="1:5">
      <c r="A447" s="8">
        <v>8305</v>
      </c>
      <c r="B447" s="8" t="s">
        <v>140</v>
      </c>
      <c r="C447" s="20" t="s">
        <v>457</v>
      </c>
      <c r="D447" s="20">
        <v>45455</v>
      </c>
      <c r="E447" s="21">
        <v>11.99</v>
      </c>
    </row>
    <row r="448" spans="1:5">
      <c r="A448" s="8">
        <v>6773</v>
      </c>
      <c r="B448" s="8" t="s">
        <v>473</v>
      </c>
      <c r="C448" s="20">
        <v>45445</v>
      </c>
      <c r="D448" s="20" t="s">
        <v>168</v>
      </c>
      <c r="E448" s="21">
        <v>7.99</v>
      </c>
    </row>
    <row r="449" spans="1:5">
      <c r="A449" s="8">
        <v>3010</v>
      </c>
      <c r="B449" s="8" t="s">
        <v>280</v>
      </c>
      <c r="C449" s="20">
        <v>45362</v>
      </c>
      <c r="D449" s="20" t="s">
        <v>156</v>
      </c>
      <c r="E449" s="21">
        <v>11.99</v>
      </c>
    </row>
    <row r="450" spans="1:5">
      <c r="A450" s="8">
        <v>3622</v>
      </c>
      <c r="B450" s="8" t="s">
        <v>284</v>
      </c>
      <c r="C450" s="20" t="s">
        <v>348</v>
      </c>
      <c r="D450" s="20">
        <v>45547</v>
      </c>
      <c r="E450" s="21">
        <v>7.99</v>
      </c>
    </row>
    <row r="451" spans="1:5">
      <c r="A451" s="8">
        <v>6006</v>
      </c>
      <c r="B451" s="8" t="s">
        <v>106</v>
      </c>
      <c r="C451" s="20">
        <v>45482</v>
      </c>
      <c r="D451" s="20" t="s">
        <v>54</v>
      </c>
      <c r="E451" s="21">
        <v>11.99</v>
      </c>
    </row>
    <row r="452" spans="1:5">
      <c r="A452" s="8">
        <v>1338</v>
      </c>
      <c r="B452" s="8" t="s">
        <v>148</v>
      </c>
      <c r="C452" s="20" t="s">
        <v>154</v>
      </c>
      <c r="D452" s="20">
        <v>45334</v>
      </c>
      <c r="E452" s="21">
        <v>15.99</v>
      </c>
    </row>
    <row r="453" spans="1:5">
      <c r="A453" s="8">
        <v>6722</v>
      </c>
      <c r="B453" s="8" t="s">
        <v>138</v>
      </c>
      <c r="C453" s="20">
        <v>45143</v>
      </c>
      <c r="D453" s="20" t="s">
        <v>99</v>
      </c>
      <c r="E453" s="21">
        <v>15.99</v>
      </c>
    </row>
    <row r="454" spans="1:5">
      <c r="A454" s="8">
        <v>5871</v>
      </c>
      <c r="B454" s="8" t="s">
        <v>508</v>
      </c>
      <c r="C454" s="20" t="s">
        <v>509</v>
      </c>
      <c r="D454" s="20">
        <v>45394</v>
      </c>
      <c r="E454" s="21">
        <v>7.99</v>
      </c>
    </row>
    <row r="455" spans="1:5">
      <c r="A455" s="8">
        <v>9290</v>
      </c>
      <c r="B455" s="8" t="s">
        <v>510</v>
      </c>
      <c r="C455" s="20">
        <v>45180</v>
      </c>
      <c r="D455" s="20">
        <v>45516</v>
      </c>
      <c r="E455" s="21">
        <v>15.99</v>
      </c>
    </row>
    <row r="456" spans="1:5">
      <c r="A456" s="8">
        <v>8567</v>
      </c>
      <c r="B456" s="8" t="s">
        <v>88</v>
      </c>
      <c r="C456" s="20" t="s">
        <v>95</v>
      </c>
      <c r="D456" s="20" t="s">
        <v>25</v>
      </c>
      <c r="E456" s="21">
        <v>7.99</v>
      </c>
    </row>
    <row r="457" spans="1:5">
      <c r="A457" s="8">
        <v>5253</v>
      </c>
      <c r="B457" s="8" t="s">
        <v>502</v>
      </c>
      <c r="C457" s="20">
        <v>45119</v>
      </c>
      <c r="D457" s="20" t="s">
        <v>156</v>
      </c>
      <c r="E457" s="21">
        <v>11.99</v>
      </c>
    </row>
    <row r="458" spans="1:5">
      <c r="A458" s="8">
        <v>8172</v>
      </c>
      <c r="B458" s="8" t="s">
        <v>511</v>
      </c>
      <c r="C458" s="20" t="s">
        <v>512</v>
      </c>
      <c r="D458" s="20" t="s">
        <v>72</v>
      </c>
      <c r="E458" s="21">
        <v>11.99</v>
      </c>
    </row>
    <row r="459" spans="1:5">
      <c r="A459" s="8">
        <v>2154</v>
      </c>
      <c r="B459" s="8" t="s">
        <v>96</v>
      </c>
      <c r="C459" s="20">
        <v>45242</v>
      </c>
      <c r="D459" s="20">
        <v>45424</v>
      </c>
      <c r="E459" s="21">
        <v>7.99</v>
      </c>
    </row>
    <row r="460" spans="1:5">
      <c r="A460" s="8">
        <v>5013</v>
      </c>
      <c r="B460" s="8" t="s">
        <v>513</v>
      </c>
      <c r="C460" s="20" t="s">
        <v>514</v>
      </c>
      <c r="D460" s="20" t="s">
        <v>156</v>
      </c>
      <c r="E460" s="21">
        <v>15.99</v>
      </c>
    </row>
    <row r="461" spans="1:5">
      <c r="A461" s="8">
        <v>4211</v>
      </c>
      <c r="B461" s="8" t="s">
        <v>515</v>
      </c>
      <c r="C461" s="20">
        <v>45483</v>
      </c>
      <c r="D461" s="20">
        <v>45303</v>
      </c>
      <c r="E461" s="21">
        <v>7.99</v>
      </c>
    </row>
    <row r="462" spans="1:5">
      <c r="A462" s="8">
        <v>4408</v>
      </c>
      <c r="B462" s="8" t="s">
        <v>238</v>
      </c>
      <c r="C462" s="20" t="s">
        <v>516</v>
      </c>
      <c r="D462" s="20" t="s">
        <v>90</v>
      </c>
      <c r="E462" s="21">
        <v>7.99</v>
      </c>
    </row>
    <row r="463" spans="1:5">
      <c r="A463" s="8">
        <v>8473</v>
      </c>
      <c r="B463" s="8" t="s">
        <v>517</v>
      </c>
      <c r="C463" s="20" t="s">
        <v>308</v>
      </c>
      <c r="D463" s="20">
        <v>45638</v>
      </c>
      <c r="E463" s="21">
        <v>11.99</v>
      </c>
    </row>
    <row r="464" spans="1:5">
      <c r="A464" s="8">
        <v>7510</v>
      </c>
      <c r="B464" s="8" t="s">
        <v>518</v>
      </c>
      <c r="C464" s="20" t="s">
        <v>519</v>
      </c>
      <c r="D464" s="20" t="s">
        <v>168</v>
      </c>
      <c r="E464" s="21">
        <v>7.99</v>
      </c>
    </row>
    <row r="465" spans="1:5">
      <c r="A465" s="8">
        <v>5376</v>
      </c>
      <c r="B465" s="8" t="s">
        <v>224</v>
      </c>
      <c r="C465" s="20">
        <v>45111</v>
      </c>
      <c r="D465" s="20" t="s">
        <v>214</v>
      </c>
      <c r="E465" s="21">
        <v>7.99</v>
      </c>
    </row>
    <row r="466" spans="1:5">
      <c r="A466" s="8">
        <v>8005</v>
      </c>
      <c r="B466" s="8" t="s">
        <v>254</v>
      </c>
      <c r="C466" s="20">
        <v>45141</v>
      </c>
      <c r="D466" s="20" t="s">
        <v>42</v>
      </c>
      <c r="E466" s="21">
        <v>7.99</v>
      </c>
    </row>
    <row r="467" spans="1:5">
      <c r="A467" s="8">
        <v>7439</v>
      </c>
      <c r="B467" s="8" t="s">
        <v>199</v>
      </c>
      <c r="C467" s="20" t="s">
        <v>520</v>
      </c>
      <c r="D467" s="20">
        <v>45424</v>
      </c>
      <c r="E467" s="21">
        <v>15.99</v>
      </c>
    </row>
    <row r="468" spans="1:5">
      <c r="A468" s="8">
        <v>3699</v>
      </c>
      <c r="B468" s="8" t="s">
        <v>411</v>
      </c>
      <c r="C468" s="20" t="s">
        <v>437</v>
      </c>
      <c r="D468" s="20" t="s">
        <v>156</v>
      </c>
      <c r="E468" s="21">
        <v>15.99</v>
      </c>
    </row>
    <row r="469" spans="1:5">
      <c r="A469" s="8">
        <v>3162</v>
      </c>
      <c r="B469" s="8" t="s">
        <v>157</v>
      </c>
      <c r="C469" s="20" t="s">
        <v>229</v>
      </c>
      <c r="D469" s="20" t="s">
        <v>25</v>
      </c>
      <c r="E469" s="21">
        <v>15.99</v>
      </c>
    </row>
    <row r="470" spans="1:5">
      <c r="A470" s="8">
        <v>8798</v>
      </c>
      <c r="B470" s="8" t="s">
        <v>521</v>
      </c>
      <c r="C470" s="20" t="s">
        <v>522</v>
      </c>
      <c r="D470" s="20" t="s">
        <v>35</v>
      </c>
      <c r="E470" s="21">
        <v>15.99</v>
      </c>
    </row>
    <row r="471" spans="1:5">
      <c r="A471" s="8">
        <v>6400</v>
      </c>
      <c r="B471" s="8" t="s">
        <v>177</v>
      </c>
      <c r="C471" s="20" t="s">
        <v>346</v>
      </c>
      <c r="D471" s="20" t="s">
        <v>42</v>
      </c>
      <c r="E471" s="21">
        <v>11.99</v>
      </c>
    </row>
    <row r="472" spans="1:5">
      <c r="A472" s="8">
        <v>9404</v>
      </c>
      <c r="B472" s="8" t="s">
        <v>157</v>
      </c>
      <c r="C472" s="20">
        <v>45208</v>
      </c>
      <c r="D472" s="20">
        <v>45363</v>
      </c>
      <c r="E472" s="21">
        <v>15.99</v>
      </c>
    </row>
    <row r="473" spans="1:5">
      <c r="A473" s="8">
        <v>8151</v>
      </c>
      <c r="B473" s="8" t="s">
        <v>106</v>
      </c>
      <c r="C473" s="20" t="s">
        <v>523</v>
      </c>
      <c r="D473" s="20" t="s">
        <v>156</v>
      </c>
      <c r="E473" s="21">
        <v>11.99</v>
      </c>
    </row>
    <row r="474" spans="1:5">
      <c r="A474" s="8">
        <v>7742</v>
      </c>
      <c r="B474" s="8" t="s">
        <v>153</v>
      </c>
      <c r="C474" s="20" t="s">
        <v>420</v>
      </c>
      <c r="D474" s="20" t="s">
        <v>82</v>
      </c>
      <c r="E474" s="21">
        <v>11.99</v>
      </c>
    </row>
    <row r="475" spans="1:5">
      <c r="A475" s="8">
        <v>4553</v>
      </c>
      <c r="B475" s="8" t="s">
        <v>387</v>
      </c>
      <c r="C475" s="20" t="s">
        <v>524</v>
      </c>
      <c r="D475" s="20" t="s">
        <v>99</v>
      </c>
      <c r="E475" s="21">
        <v>7.99</v>
      </c>
    </row>
    <row r="476" spans="1:5">
      <c r="A476" s="8">
        <v>6919</v>
      </c>
      <c r="B476" s="8" t="s">
        <v>525</v>
      </c>
      <c r="C476" s="20" t="s">
        <v>308</v>
      </c>
      <c r="D476" s="20" t="s">
        <v>156</v>
      </c>
      <c r="E476" s="21">
        <v>7.99</v>
      </c>
    </row>
    <row r="477" spans="1:5">
      <c r="A477" s="8">
        <v>7168</v>
      </c>
      <c r="B477" s="8" t="s">
        <v>367</v>
      </c>
      <c r="C477" s="20">
        <v>45566</v>
      </c>
      <c r="D477" s="20" t="s">
        <v>134</v>
      </c>
      <c r="E477" s="21">
        <v>11.99</v>
      </c>
    </row>
    <row r="478" spans="1:5">
      <c r="A478" s="8">
        <v>6474</v>
      </c>
      <c r="B478" s="8" t="s">
        <v>272</v>
      </c>
      <c r="C478" s="20" t="s">
        <v>526</v>
      </c>
      <c r="D478" s="20" t="s">
        <v>54</v>
      </c>
      <c r="E478" s="21">
        <v>15.99</v>
      </c>
    </row>
    <row r="479" spans="1:5">
      <c r="A479" s="8">
        <v>4242</v>
      </c>
      <c r="B479" s="8" t="s">
        <v>41</v>
      </c>
      <c r="C479" s="20">
        <v>45088</v>
      </c>
      <c r="D479" s="20" t="s">
        <v>35</v>
      </c>
      <c r="E479" s="21">
        <v>7.99</v>
      </c>
    </row>
    <row r="480" spans="1:5">
      <c r="A480" s="8">
        <v>3395</v>
      </c>
      <c r="B480" s="8" t="s">
        <v>157</v>
      </c>
      <c r="C480" s="20" t="s">
        <v>315</v>
      </c>
      <c r="D480" s="20" t="s">
        <v>168</v>
      </c>
      <c r="E480" s="21">
        <v>7.99</v>
      </c>
    </row>
    <row r="481" spans="1:5">
      <c r="A481" s="8">
        <v>8694</v>
      </c>
      <c r="B481" s="8" t="s">
        <v>527</v>
      </c>
      <c r="C481" s="20" t="s">
        <v>528</v>
      </c>
      <c r="D481" s="20">
        <v>45363</v>
      </c>
      <c r="E481" s="21">
        <v>15.99</v>
      </c>
    </row>
    <row r="482" spans="1:5">
      <c r="A482" s="8">
        <v>7150</v>
      </c>
      <c r="B482" s="8" t="s">
        <v>138</v>
      </c>
      <c r="C482" s="20" t="s">
        <v>180</v>
      </c>
      <c r="D482" s="20">
        <v>45485</v>
      </c>
      <c r="E482" s="21">
        <v>7.99</v>
      </c>
    </row>
    <row r="483" spans="1:5">
      <c r="A483" s="8">
        <v>4111</v>
      </c>
      <c r="B483" s="8" t="s">
        <v>359</v>
      </c>
      <c r="C483" s="20" t="s">
        <v>529</v>
      </c>
      <c r="D483" s="20" t="s">
        <v>99</v>
      </c>
      <c r="E483" s="21">
        <v>11.99</v>
      </c>
    </row>
    <row r="484" spans="1:5">
      <c r="A484" s="8">
        <v>3532</v>
      </c>
      <c r="B484" s="8" t="s">
        <v>357</v>
      </c>
      <c r="C484" s="20" t="s">
        <v>530</v>
      </c>
      <c r="D484" s="20" t="s">
        <v>35</v>
      </c>
      <c r="E484" s="21">
        <v>7.99</v>
      </c>
    </row>
    <row r="485" spans="1:5">
      <c r="A485" s="8">
        <v>5375</v>
      </c>
      <c r="B485" s="8" t="s">
        <v>531</v>
      </c>
      <c r="C485" s="20" t="s">
        <v>163</v>
      </c>
      <c r="D485" s="20" t="s">
        <v>90</v>
      </c>
      <c r="E485" s="21">
        <v>15.99</v>
      </c>
    </row>
    <row r="486" spans="1:5">
      <c r="A486" s="8">
        <v>8881</v>
      </c>
      <c r="B486" s="8" t="s">
        <v>275</v>
      </c>
      <c r="C486" s="20" t="s">
        <v>454</v>
      </c>
      <c r="D486" s="20" t="s">
        <v>156</v>
      </c>
      <c r="E486" s="21">
        <v>11.99</v>
      </c>
    </row>
    <row r="487" spans="1:5">
      <c r="A487" s="8">
        <v>1235</v>
      </c>
      <c r="B487" s="8" t="s">
        <v>101</v>
      </c>
      <c r="C487" s="20" t="s">
        <v>526</v>
      </c>
      <c r="D487" s="20" t="s">
        <v>99</v>
      </c>
      <c r="E487" s="21">
        <v>15.99</v>
      </c>
    </row>
    <row r="488" spans="1:5">
      <c r="A488" s="8">
        <v>2533</v>
      </c>
      <c r="B488" s="8" t="s">
        <v>311</v>
      </c>
      <c r="C488" s="20">
        <v>44996</v>
      </c>
      <c r="D488" s="20" t="s">
        <v>109</v>
      </c>
      <c r="E488" s="21">
        <v>15.99</v>
      </c>
    </row>
    <row r="489" spans="1:5">
      <c r="A489" s="8">
        <v>2734</v>
      </c>
      <c r="B489" s="8" t="s">
        <v>288</v>
      </c>
      <c r="C489" s="20">
        <v>45449</v>
      </c>
      <c r="D489" s="20">
        <v>45303</v>
      </c>
      <c r="E489" s="21">
        <v>11.99</v>
      </c>
    </row>
    <row r="490" spans="1:5">
      <c r="A490" s="8">
        <v>4129</v>
      </c>
      <c r="B490" s="8" t="s">
        <v>240</v>
      </c>
      <c r="C490" s="20" t="s">
        <v>198</v>
      </c>
      <c r="D490" s="20" t="s">
        <v>87</v>
      </c>
      <c r="E490" s="21">
        <v>11.99</v>
      </c>
    </row>
    <row r="491" spans="1:5">
      <c r="A491" s="8">
        <v>3762</v>
      </c>
      <c r="B491" s="8" t="s">
        <v>318</v>
      </c>
      <c r="C491" s="20" t="s">
        <v>433</v>
      </c>
      <c r="D491" s="20" t="s">
        <v>90</v>
      </c>
      <c r="E491" s="21">
        <v>11.99</v>
      </c>
    </row>
    <row r="492" spans="1:5">
      <c r="A492" s="8">
        <v>4341</v>
      </c>
      <c r="B492" s="8" t="s">
        <v>532</v>
      </c>
      <c r="C492" s="20">
        <v>44932</v>
      </c>
      <c r="D492" s="20">
        <v>45485</v>
      </c>
      <c r="E492" s="21">
        <v>11.99</v>
      </c>
    </row>
    <row r="493" spans="1:5">
      <c r="A493" s="8">
        <v>6638</v>
      </c>
      <c r="B493" s="8" t="s">
        <v>533</v>
      </c>
      <c r="C493" s="20">
        <v>44967</v>
      </c>
      <c r="D493" s="20">
        <v>45608</v>
      </c>
      <c r="E493" s="21">
        <v>11.99</v>
      </c>
    </row>
    <row r="494" spans="1:5">
      <c r="A494" s="8">
        <v>5861</v>
      </c>
      <c r="B494" s="8" t="s">
        <v>325</v>
      </c>
      <c r="C494" s="20">
        <v>45143</v>
      </c>
      <c r="D494" s="20">
        <v>45363</v>
      </c>
      <c r="E494" s="21">
        <v>15.99</v>
      </c>
    </row>
    <row r="495" spans="1:5">
      <c r="A495" s="8">
        <v>8815</v>
      </c>
      <c r="B495" s="8" t="s">
        <v>345</v>
      </c>
      <c r="C495" s="20" t="s">
        <v>534</v>
      </c>
      <c r="D495" s="20">
        <v>45303</v>
      </c>
      <c r="E495" s="21">
        <v>7.99</v>
      </c>
    </row>
    <row r="496" spans="1:5">
      <c r="A496" s="8">
        <v>8793</v>
      </c>
      <c r="B496" s="8" t="s">
        <v>148</v>
      </c>
      <c r="C496" s="20" t="s">
        <v>95</v>
      </c>
      <c r="D496" s="20" t="s">
        <v>134</v>
      </c>
      <c r="E496" s="21">
        <v>7.99</v>
      </c>
    </row>
    <row r="497" spans="1:5">
      <c r="A497" s="8">
        <v>3469</v>
      </c>
      <c r="B497" s="8" t="s">
        <v>122</v>
      </c>
      <c r="C497" s="20">
        <v>45085</v>
      </c>
      <c r="D497" s="20" t="s">
        <v>103</v>
      </c>
      <c r="E497" s="21">
        <v>7.99</v>
      </c>
    </row>
    <row r="498" spans="1:5">
      <c r="A498" s="8">
        <v>3654</v>
      </c>
      <c r="B498" s="8" t="s">
        <v>153</v>
      </c>
      <c r="C498" s="20" t="s">
        <v>535</v>
      </c>
      <c r="D498" s="20" t="s">
        <v>42</v>
      </c>
      <c r="E498" s="21">
        <v>15.99</v>
      </c>
    </row>
    <row r="499" spans="1:5">
      <c r="A499" s="8">
        <v>9555</v>
      </c>
      <c r="B499" s="8" t="s">
        <v>345</v>
      </c>
      <c r="C499" s="20">
        <v>45330</v>
      </c>
      <c r="D499" s="20" t="s">
        <v>82</v>
      </c>
      <c r="E499" s="21">
        <v>11.99</v>
      </c>
    </row>
    <row r="500" spans="1:5">
      <c r="A500" s="8">
        <v>4028</v>
      </c>
      <c r="B500" s="8" t="s">
        <v>228</v>
      </c>
      <c r="C500" s="20">
        <v>45387</v>
      </c>
      <c r="D500" s="20">
        <v>45547</v>
      </c>
      <c r="E500" s="21">
        <v>7.99</v>
      </c>
    </row>
    <row r="501" spans="1:5">
      <c r="A501" s="8">
        <v>9499</v>
      </c>
      <c r="B501" s="8" t="s">
        <v>190</v>
      </c>
      <c r="C501" s="20" t="s">
        <v>412</v>
      </c>
      <c r="D501" s="20" t="s">
        <v>42</v>
      </c>
      <c r="E501" s="21">
        <v>11.99</v>
      </c>
    </row>
    <row r="502" spans="1:5">
      <c r="A502" s="8">
        <v>8628</v>
      </c>
      <c r="B502" s="8" t="s">
        <v>164</v>
      </c>
      <c r="C502" s="20" t="s">
        <v>161</v>
      </c>
      <c r="D502" s="20" t="s">
        <v>168</v>
      </c>
      <c r="E502" s="21">
        <v>11.99</v>
      </c>
    </row>
    <row r="503" spans="1:5">
      <c r="A503" s="8">
        <v>9942</v>
      </c>
      <c r="B503" s="8" t="s">
        <v>157</v>
      </c>
      <c r="C503" s="20">
        <v>45024</v>
      </c>
      <c r="D503" s="20" t="s">
        <v>84</v>
      </c>
      <c r="E503" s="21">
        <v>15.99</v>
      </c>
    </row>
    <row r="504" spans="1:5">
      <c r="A504" s="8">
        <v>4044</v>
      </c>
      <c r="B504" s="8" t="s">
        <v>536</v>
      </c>
      <c r="C504" s="20">
        <v>45022</v>
      </c>
      <c r="D504" s="20" t="s">
        <v>109</v>
      </c>
      <c r="E504" s="21">
        <v>15.99</v>
      </c>
    </row>
    <row r="505" spans="1:5">
      <c r="A505" s="8">
        <v>8143</v>
      </c>
      <c r="B505" s="8" t="s">
        <v>106</v>
      </c>
      <c r="C505" s="20" t="s">
        <v>537</v>
      </c>
      <c r="D505" s="20">
        <v>45608</v>
      </c>
      <c r="E505" s="21">
        <v>7.99</v>
      </c>
    </row>
    <row r="506" spans="1:5">
      <c r="A506" s="8">
        <v>3984</v>
      </c>
      <c r="B506" s="8" t="s">
        <v>257</v>
      </c>
      <c r="C506" s="20" t="s">
        <v>538</v>
      </c>
      <c r="D506" s="20">
        <v>45303</v>
      </c>
      <c r="E506" s="21">
        <v>15.99</v>
      </c>
    </row>
    <row r="507" spans="1:5">
      <c r="A507" s="8">
        <v>9294</v>
      </c>
      <c r="B507" s="8" t="s">
        <v>539</v>
      </c>
      <c r="C507" s="20" t="s">
        <v>279</v>
      </c>
      <c r="D507" s="20" t="s">
        <v>134</v>
      </c>
      <c r="E507" s="21">
        <v>11.99</v>
      </c>
    </row>
    <row r="508" spans="1:5">
      <c r="A508" s="8">
        <v>4769</v>
      </c>
      <c r="B508" s="8" t="s">
        <v>157</v>
      </c>
      <c r="C508" s="20">
        <v>45446</v>
      </c>
      <c r="D508" s="20" t="s">
        <v>72</v>
      </c>
      <c r="E508" s="21">
        <v>7.99</v>
      </c>
    </row>
    <row r="509" spans="1:5">
      <c r="A509" s="8">
        <v>8864</v>
      </c>
      <c r="B509" s="8" t="s">
        <v>157</v>
      </c>
      <c r="C509" s="20" t="s">
        <v>540</v>
      </c>
      <c r="D509" s="20" t="s">
        <v>168</v>
      </c>
      <c r="E509" s="21">
        <v>11.99</v>
      </c>
    </row>
    <row r="510" spans="1:5">
      <c r="A510" s="8">
        <v>1857</v>
      </c>
      <c r="B510" s="8" t="s">
        <v>541</v>
      </c>
      <c r="C510" s="20">
        <v>45388</v>
      </c>
      <c r="D510" s="20" t="s">
        <v>109</v>
      </c>
      <c r="E510" s="21">
        <v>15.99</v>
      </c>
    </row>
    <row r="511" spans="1:5">
      <c r="A511" s="8">
        <v>5566</v>
      </c>
      <c r="B511" s="8" t="s">
        <v>345</v>
      </c>
      <c r="C511" s="20" t="s">
        <v>213</v>
      </c>
      <c r="D511" s="20">
        <v>45485</v>
      </c>
      <c r="E511" s="21">
        <v>11.99</v>
      </c>
    </row>
    <row r="512" spans="1:5">
      <c r="A512" s="8">
        <v>1373</v>
      </c>
      <c r="B512" s="8" t="s">
        <v>147</v>
      </c>
      <c r="C512" s="20" t="s">
        <v>306</v>
      </c>
      <c r="D512" s="20">
        <v>45638</v>
      </c>
      <c r="E512" s="21">
        <v>7.99</v>
      </c>
    </row>
    <row r="513" spans="1:5">
      <c r="A513" s="8">
        <v>6345</v>
      </c>
      <c r="B513" s="8" t="s">
        <v>542</v>
      </c>
      <c r="C513" s="20">
        <v>44927</v>
      </c>
      <c r="D513" s="20">
        <v>45547</v>
      </c>
      <c r="E513" s="21">
        <v>7.99</v>
      </c>
    </row>
    <row r="514" spans="1:5">
      <c r="A514" s="8">
        <v>3234</v>
      </c>
      <c r="B514" s="8" t="s">
        <v>143</v>
      </c>
      <c r="C514" s="20">
        <v>45292</v>
      </c>
      <c r="D514" s="20">
        <v>45485</v>
      </c>
      <c r="E514" s="21">
        <v>11.99</v>
      </c>
    </row>
    <row r="515" spans="1:5">
      <c r="A515" s="8">
        <v>6998</v>
      </c>
      <c r="B515" s="8" t="s">
        <v>126</v>
      </c>
      <c r="C515" s="20" t="s">
        <v>543</v>
      </c>
      <c r="D515" s="20">
        <v>45334</v>
      </c>
      <c r="E515" s="21">
        <v>7.99</v>
      </c>
    </row>
    <row r="516" spans="1:5">
      <c r="A516" s="8">
        <v>5809</v>
      </c>
      <c r="B516" s="8" t="s">
        <v>238</v>
      </c>
      <c r="C516" s="20" t="s">
        <v>497</v>
      </c>
      <c r="D516" s="20" t="s">
        <v>54</v>
      </c>
      <c r="E516" s="21">
        <v>7.99</v>
      </c>
    </row>
    <row r="517" spans="1:5">
      <c r="A517" s="8">
        <v>6522</v>
      </c>
      <c r="B517" s="8" t="s">
        <v>544</v>
      </c>
      <c r="C517" s="20">
        <v>45208</v>
      </c>
      <c r="D517" s="20" t="s">
        <v>99</v>
      </c>
      <c r="E517" s="21">
        <v>11.99</v>
      </c>
    </row>
    <row r="518" spans="1:5">
      <c r="A518" s="8">
        <v>3892</v>
      </c>
      <c r="B518" s="8" t="s">
        <v>280</v>
      </c>
      <c r="C518" s="20" t="s">
        <v>416</v>
      </c>
      <c r="D518" s="20">
        <v>45363</v>
      </c>
      <c r="E518" s="21">
        <v>7.99</v>
      </c>
    </row>
    <row r="519" spans="1:5">
      <c r="A519" s="8">
        <v>4427</v>
      </c>
      <c r="B519" s="8" t="s">
        <v>545</v>
      </c>
      <c r="C519" s="20" t="s">
        <v>71</v>
      </c>
      <c r="D519" s="20" t="s">
        <v>105</v>
      </c>
      <c r="E519" s="21">
        <v>7.99</v>
      </c>
    </row>
    <row r="520" spans="1:5">
      <c r="A520" s="8">
        <v>8145</v>
      </c>
      <c r="B520" s="8" t="s">
        <v>546</v>
      </c>
      <c r="C520" s="20">
        <v>45201</v>
      </c>
      <c r="D520" s="20" t="s">
        <v>134</v>
      </c>
      <c r="E520" s="21">
        <v>15.99</v>
      </c>
    </row>
    <row r="521" spans="1:5">
      <c r="A521" s="8">
        <v>1150</v>
      </c>
      <c r="B521" s="8" t="s">
        <v>224</v>
      </c>
      <c r="C521" s="20" t="s">
        <v>398</v>
      </c>
      <c r="D521" s="20" t="s">
        <v>168</v>
      </c>
      <c r="E521" s="21">
        <v>11.99</v>
      </c>
    </row>
    <row r="522" spans="1:5">
      <c r="A522" s="8">
        <v>7366</v>
      </c>
      <c r="B522" s="8" t="s">
        <v>547</v>
      </c>
      <c r="C522" s="20" t="s">
        <v>523</v>
      </c>
      <c r="D522" s="20" t="s">
        <v>35</v>
      </c>
      <c r="E522" s="21">
        <v>7.99</v>
      </c>
    </row>
    <row r="523" spans="1:5">
      <c r="A523" s="8">
        <v>3004</v>
      </c>
      <c r="B523" s="8" t="s">
        <v>304</v>
      </c>
      <c r="C523" s="20" t="s">
        <v>548</v>
      </c>
      <c r="D523" s="20" t="s">
        <v>103</v>
      </c>
      <c r="E523" s="21">
        <v>11.99</v>
      </c>
    </row>
    <row r="524" spans="1:5">
      <c r="A524" s="8">
        <v>9934</v>
      </c>
      <c r="B524" s="8" t="s">
        <v>549</v>
      </c>
      <c r="C524" s="20" t="s">
        <v>433</v>
      </c>
      <c r="D524" s="20" t="s">
        <v>129</v>
      </c>
      <c r="E524" s="21">
        <v>15.99</v>
      </c>
    </row>
    <row r="525" spans="1:5">
      <c r="A525" s="8">
        <v>1228</v>
      </c>
      <c r="B525" s="8" t="s">
        <v>263</v>
      </c>
      <c r="C525" s="20" t="s">
        <v>550</v>
      </c>
      <c r="D525" s="20" t="s">
        <v>42</v>
      </c>
      <c r="E525" s="21">
        <v>7.99</v>
      </c>
    </row>
    <row r="526" spans="1:5">
      <c r="A526" s="8">
        <v>5806</v>
      </c>
      <c r="B526" s="8" t="s">
        <v>551</v>
      </c>
      <c r="C526" s="20">
        <v>45299</v>
      </c>
      <c r="D526" s="20" t="s">
        <v>35</v>
      </c>
      <c r="E526" s="21">
        <v>7.99</v>
      </c>
    </row>
    <row r="527" spans="1:5">
      <c r="A527" s="8">
        <v>7538</v>
      </c>
      <c r="B527" s="8" t="s">
        <v>232</v>
      </c>
      <c r="C527" s="20">
        <v>45631</v>
      </c>
      <c r="D527" s="20" t="s">
        <v>214</v>
      </c>
      <c r="E527" s="21">
        <v>7.99</v>
      </c>
    </row>
    <row r="528" spans="1:5">
      <c r="A528" s="8">
        <v>1035</v>
      </c>
      <c r="B528" s="8" t="s">
        <v>201</v>
      </c>
      <c r="C528" s="20" t="s">
        <v>141</v>
      </c>
      <c r="D528" s="20" t="s">
        <v>82</v>
      </c>
      <c r="E528" s="21">
        <v>11.99</v>
      </c>
    </row>
    <row r="529" spans="1:5">
      <c r="A529" s="8">
        <v>8399</v>
      </c>
      <c r="B529" s="8" t="s">
        <v>382</v>
      </c>
      <c r="C529" s="20">
        <v>45049</v>
      </c>
      <c r="D529" s="20">
        <v>45363</v>
      </c>
      <c r="E529" s="21">
        <v>11.99</v>
      </c>
    </row>
    <row r="530" spans="1:5">
      <c r="A530" s="8">
        <v>1912</v>
      </c>
      <c r="B530" s="8" t="s">
        <v>281</v>
      </c>
      <c r="C530" s="20" t="s">
        <v>410</v>
      </c>
      <c r="D530" s="20" t="s">
        <v>42</v>
      </c>
      <c r="E530" s="21">
        <v>11.99</v>
      </c>
    </row>
    <row r="531" spans="1:5">
      <c r="A531" s="8">
        <v>6604</v>
      </c>
      <c r="B531" s="8" t="s">
        <v>148</v>
      </c>
      <c r="C531" s="20" t="s">
        <v>552</v>
      </c>
      <c r="D531" s="20" t="s">
        <v>82</v>
      </c>
      <c r="E531" s="21">
        <v>15.99</v>
      </c>
    </row>
    <row r="532" spans="1:5">
      <c r="A532" s="8">
        <v>8952</v>
      </c>
      <c r="B532" s="8" t="s">
        <v>183</v>
      </c>
      <c r="C532" s="20">
        <v>45140</v>
      </c>
      <c r="D532" s="20" t="s">
        <v>82</v>
      </c>
      <c r="E532" s="21">
        <v>11.99</v>
      </c>
    </row>
    <row r="533" spans="1:5">
      <c r="A533" s="8">
        <v>2549</v>
      </c>
      <c r="B533" s="8" t="s">
        <v>152</v>
      </c>
      <c r="C533" s="20" t="s">
        <v>348</v>
      </c>
      <c r="D533" s="20" t="s">
        <v>214</v>
      </c>
      <c r="E533" s="21">
        <v>11.99</v>
      </c>
    </row>
    <row r="534" spans="1:5">
      <c r="A534" s="8">
        <v>8954</v>
      </c>
      <c r="B534" s="8" t="s">
        <v>238</v>
      </c>
      <c r="C534" s="20" t="s">
        <v>534</v>
      </c>
      <c r="D534" s="20" t="s">
        <v>99</v>
      </c>
      <c r="E534" s="21">
        <v>15.99</v>
      </c>
    </row>
    <row r="535" spans="1:5">
      <c r="A535" s="8">
        <v>1922</v>
      </c>
      <c r="B535" s="8" t="s">
        <v>104</v>
      </c>
      <c r="C535" s="20">
        <v>45303</v>
      </c>
      <c r="D535" s="20">
        <v>45363</v>
      </c>
      <c r="E535" s="21">
        <v>11.99</v>
      </c>
    </row>
    <row r="536" spans="1:5">
      <c r="A536" s="8">
        <v>9861</v>
      </c>
      <c r="B536" s="8" t="s">
        <v>140</v>
      </c>
      <c r="C536" s="20">
        <v>45119</v>
      </c>
      <c r="D536" s="20" t="s">
        <v>129</v>
      </c>
      <c r="E536" s="21">
        <v>15.99</v>
      </c>
    </row>
    <row r="537" spans="1:5">
      <c r="A537" s="8">
        <v>4383</v>
      </c>
      <c r="B537" s="8" t="s">
        <v>553</v>
      </c>
      <c r="C537" s="20">
        <v>45513</v>
      </c>
      <c r="D537" s="20" t="s">
        <v>90</v>
      </c>
      <c r="E537" s="21">
        <v>15.99</v>
      </c>
    </row>
    <row r="538" spans="1:5">
      <c r="A538" s="8">
        <v>4328</v>
      </c>
      <c r="B538" s="8" t="s">
        <v>120</v>
      </c>
      <c r="C538" s="20" t="s">
        <v>554</v>
      </c>
      <c r="D538" s="20" t="s">
        <v>156</v>
      </c>
      <c r="E538" s="21">
        <v>11.99</v>
      </c>
    </row>
    <row r="539" spans="1:5">
      <c r="A539" s="8">
        <v>4622</v>
      </c>
      <c r="B539" s="8" t="s">
        <v>191</v>
      </c>
      <c r="C539" s="20" t="s">
        <v>84</v>
      </c>
      <c r="D539" s="20" t="s">
        <v>35</v>
      </c>
      <c r="E539" s="21">
        <v>7.99</v>
      </c>
    </row>
    <row r="540" spans="1:5">
      <c r="A540" s="8">
        <v>7828</v>
      </c>
      <c r="B540" s="8" t="s">
        <v>555</v>
      </c>
      <c r="C540" s="20">
        <v>45142</v>
      </c>
      <c r="D540" s="20">
        <v>45334</v>
      </c>
      <c r="E540" s="21">
        <v>7.99</v>
      </c>
    </row>
    <row r="541" spans="1:5">
      <c r="A541" s="8">
        <v>1393</v>
      </c>
      <c r="B541" s="8" t="s">
        <v>254</v>
      </c>
      <c r="C541" s="20" t="s">
        <v>556</v>
      </c>
      <c r="D541" s="20">
        <v>45363</v>
      </c>
      <c r="E541" s="21">
        <v>7.99</v>
      </c>
    </row>
    <row r="542" spans="1:5">
      <c r="A542" s="8">
        <v>9239</v>
      </c>
      <c r="B542" s="8" t="s">
        <v>257</v>
      </c>
      <c r="C542" s="20" t="s">
        <v>87</v>
      </c>
      <c r="D542" s="20" t="s">
        <v>134</v>
      </c>
      <c r="E542" s="21">
        <v>15.99</v>
      </c>
    </row>
    <row r="543" spans="1:5">
      <c r="A543" s="8">
        <v>1636</v>
      </c>
      <c r="B543" s="8" t="s">
        <v>147</v>
      </c>
      <c r="C543" s="20" t="s">
        <v>557</v>
      </c>
      <c r="D543" s="20">
        <v>45455</v>
      </c>
      <c r="E543" s="21">
        <v>11.99</v>
      </c>
    </row>
    <row r="544" spans="1:5">
      <c r="A544" s="8">
        <v>4401</v>
      </c>
      <c r="B544" s="8" t="s">
        <v>558</v>
      </c>
      <c r="C544" s="20" t="s">
        <v>559</v>
      </c>
      <c r="D544" s="20" t="s">
        <v>35</v>
      </c>
      <c r="E544" s="21">
        <v>15.99</v>
      </c>
    </row>
    <row r="545" spans="1:5">
      <c r="A545" s="8">
        <v>7135</v>
      </c>
      <c r="B545" s="8" t="s">
        <v>560</v>
      </c>
      <c r="C545" s="20">
        <v>45272</v>
      </c>
      <c r="D545" s="20" t="s">
        <v>72</v>
      </c>
      <c r="E545" s="21">
        <v>15.99</v>
      </c>
    </row>
    <row r="546" spans="1:5">
      <c r="A546" s="8">
        <v>8923</v>
      </c>
      <c r="B546" s="8" t="s">
        <v>184</v>
      </c>
      <c r="C546" s="20">
        <v>45608</v>
      </c>
      <c r="D546" s="20">
        <v>45577</v>
      </c>
      <c r="E546" s="21">
        <v>11.99</v>
      </c>
    </row>
    <row r="547" spans="1:5">
      <c r="A547" s="8">
        <v>9748</v>
      </c>
      <c r="B547" s="8" t="s">
        <v>323</v>
      </c>
      <c r="C547" s="20">
        <v>45272</v>
      </c>
      <c r="D547" s="20">
        <v>45485</v>
      </c>
      <c r="E547" s="21">
        <v>15.99</v>
      </c>
    </row>
    <row r="548" spans="1:5">
      <c r="A548" s="8">
        <v>7046</v>
      </c>
      <c r="B548" s="8" t="s">
        <v>344</v>
      </c>
      <c r="C548" s="20" t="s">
        <v>561</v>
      </c>
      <c r="D548" s="20">
        <v>45577</v>
      </c>
      <c r="E548" s="21">
        <v>15.99</v>
      </c>
    </row>
    <row r="549" spans="1:5">
      <c r="A549" s="8">
        <v>9688</v>
      </c>
      <c r="B549" s="8" t="s">
        <v>562</v>
      </c>
      <c r="C549" s="20" t="s">
        <v>455</v>
      </c>
      <c r="D549" s="20">
        <v>45394</v>
      </c>
      <c r="E549" s="21">
        <v>7.99</v>
      </c>
    </row>
    <row r="550" spans="1:5">
      <c r="A550" s="8">
        <v>6720</v>
      </c>
      <c r="B550" s="8" t="s">
        <v>157</v>
      </c>
      <c r="C550" s="20">
        <v>45145</v>
      </c>
      <c r="D550" s="20" t="s">
        <v>25</v>
      </c>
      <c r="E550" s="21">
        <v>15.99</v>
      </c>
    </row>
    <row r="551" spans="1:5">
      <c r="A551" s="8">
        <v>2766</v>
      </c>
      <c r="B551" s="8" t="s">
        <v>563</v>
      </c>
      <c r="C551" s="20">
        <v>45139</v>
      </c>
      <c r="D551" s="20" t="s">
        <v>87</v>
      </c>
      <c r="E551" s="21">
        <v>7.99</v>
      </c>
    </row>
    <row r="552" spans="1:5">
      <c r="A552" s="8">
        <v>3847</v>
      </c>
      <c r="B552" s="8" t="s">
        <v>114</v>
      </c>
      <c r="C552" s="20">
        <v>45415</v>
      </c>
      <c r="D552" s="20" t="s">
        <v>109</v>
      </c>
      <c r="E552" s="21">
        <v>11.99</v>
      </c>
    </row>
    <row r="553" spans="1:5">
      <c r="A553" s="8">
        <v>8554</v>
      </c>
      <c r="B553" s="8" t="s">
        <v>153</v>
      </c>
      <c r="C553" s="20">
        <v>44969</v>
      </c>
      <c r="D553" s="20" t="s">
        <v>134</v>
      </c>
      <c r="E553" s="21">
        <v>15.99</v>
      </c>
    </row>
    <row r="554" spans="1:5">
      <c r="A554" s="8">
        <v>6569</v>
      </c>
      <c r="B554" s="8" t="s">
        <v>34</v>
      </c>
      <c r="C554" s="20" t="s">
        <v>526</v>
      </c>
      <c r="D554" s="20" t="s">
        <v>87</v>
      </c>
      <c r="E554" s="21">
        <v>7.99</v>
      </c>
    </row>
    <row r="555" spans="1:5">
      <c r="A555" s="8">
        <v>6391</v>
      </c>
      <c r="B555" s="8" t="s">
        <v>257</v>
      </c>
      <c r="C555" s="20">
        <v>45601</v>
      </c>
      <c r="D555" s="20" t="s">
        <v>156</v>
      </c>
      <c r="E555" s="21">
        <v>15.99</v>
      </c>
    </row>
    <row r="556" spans="1:5">
      <c r="A556" s="8">
        <v>4883</v>
      </c>
      <c r="B556" s="8" t="s">
        <v>564</v>
      </c>
      <c r="C556" s="20">
        <v>45475</v>
      </c>
      <c r="D556" s="20">
        <v>45547</v>
      </c>
      <c r="E556" s="21">
        <v>15.99</v>
      </c>
    </row>
    <row r="557" spans="1:5">
      <c r="A557" s="8">
        <v>4530</v>
      </c>
      <c r="B557" s="8" t="s">
        <v>226</v>
      </c>
      <c r="C557" s="20" t="s">
        <v>565</v>
      </c>
      <c r="D557" s="20" t="s">
        <v>214</v>
      </c>
      <c r="E557" s="21">
        <v>7.99</v>
      </c>
    </row>
    <row r="558" spans="1:5">
      <c r="A558" s="8">
        <v>6531</v>
      </c>
      <c r="B558" s="8" t="s">
        <v>280</v>
      </c>
      <c r="C558" s="20">
        <v>45109</v>
      </c>
      <c r="D558" s="20">
        <v>45638</v>
      </c>
      <c r="E558" s="21">
        <v>11.99</v>
      </c>
    </row>
    <row r="559" spans="1:5">
      <c r="A559" s="8">
        <v>9701</v>
      </c>
      <c r="B559" s="8" t="s">
        <v>566</v>
      </c>
      <c r="C559" s="20" t="s">
        <v>567</v>
      </c>
      <c r="D559" s="20" t="s">
        <v>214</v>
      </c>
      <c r="E559" s="21">
        <v>7.99</v>
      </c>
    </row>
    <row r="560" spans="1:5">
      <c r="A560" s="8">
        <v>4702</v>
      </c>
      <c r="B560" s="8" t="s">
        <v>383</v>
      </c>
      <c r="C560" s="20" t="s">
        <v>568</v>
      </c>
      <c r="D560" s="20">
        <v>45608</v>
      </c>
      <c r="E560" s="21">
        <v>7.99</v>
      </c>
    </row>
    <row r="561" spans="1:5">
      <c r="A561" s="8">
        <v>3163</v>
      </c>
      <c r="B561" s="8" t="s">
        <v>409</v>
      </c>
      <c r="C561" s="20">
        <v>45633</v>
      </c>
      <c r="D561" s="20" t="s">
        <v>90</v>
      </c>
      <c r="E561" s="21">
        <v>11.99</v>
      </c>
    </row>
    <row r="562" spans="1:5">
      <c r="A562" s="8">
        <v>8719</v>
      </c>
      <c r="B562" s="8" t="s">
        <v>126</v>
      </c>
      <c r="C562" s="20" t="s">
        <v>569</v>
      </c>
      <c r="D562" s="20" t="s">
        <v>214</v>
      </c>
      <c r="E562" s="21">
        <v>15.99</v>
      </c>
    </row>
    <row r="563" spans="1:5">
      <c r="A563" s="8">
        <v>1282</v>
      </c>
      <c r="B563" s="8" t="s">
        <v>120</v>
      </c>
      <c r="C563" s="20">
        <v>45577</v>
      </c>
      <c r="D563" s="20" t="s">
        <v>99</v>
      </c>
      <c r="E563" s="21">
        <v>15.99</v>
      </c>
    </row>
    <row r="564" spans="1:5">
      <c r="A564" s="8">
        <v>4538</v>
      </c>
      <c r="B564" s="8" t="s">
        <v>290</v>
      </c>
      <c r="C564" s="20" t="s">
        <v>570</v>
      </c>
      <c r="D564" s="20" t="s">
        <v>42</v>
      </c>
      <c r="E564" s="21">
        <v>15.99</v>
      </c>
    </row>
    <row r="565" spans="1:5">
      <c r="A565" s="8">
        <v>9538</v>
      </c>
      <c r="B565" s="8" t="s">
        <v>280</v>
      </c>
      <c r="C565" s="20" t="s">
        <v>443</v>
      </c>
      <c r="D565" s="20" t="s">
        <v>90</v>
      </c>
      <c r="E565" s="21">
        <v>15.99</v>
      </c>
    </row>
    <row r="566" spans="1:5">
      <c r="A566" s="8">
        <v>5109</v>
      </c>
      <c r="B566" s="8" t="s">
        <v>179</v>
      </c>
      <c r="C566" s="20" t="s">
        <v>571</v>
      </c>
      <c r="D566" s="20" t="s">
        <v>25</v>
      </c>
      <c r="E566" s="21">
        <v>11.99</v>
      </c>
    </row>
    <row r="567" spans="1:5">
      <c r="A567" s="8">
        <v>7947</v>
      </c>
      <c r="B567" s="8" t="s">
        <v>572</v>
      </c>
      <c r="C567" s="20">
        <v>45241</v>
      </c>
      <c r="D567" s="20" t="s">
        <v>72</v>
      </c>
      <c r="E567" s="21">
        <v>15.99</v>
      </c>
    </row>
    <row r="568" spans="1:5">
      <c r="A568" s="8">
        <v>7546</v>
      </c>
      <c r="B568" s="8" t="s">
        <v>147</v>
      </c>
      <c r="C568" s="20" t="s">
        <v>573</v>
      </c>
      <c r="D568" s="20">
        <v>45577</v>
      </c>
      <c r="E568" s="21">
        <v>7.99</v>
      </c>
    </row>
    <row r="569" spans="1:5">
      <c r="A569" s="8">
        <v>4213</v>
      </c>
      <c r="B569" s="8" t="s">
        <v>574</v>
      </c>
      <c r="C569" s="20">
        <v>45150</v>
      </c>
      <c r="D569" s="20" t="s">
        <v>109</v>
      </c>
      <c r="E569" s="21">
        <v>7.99</v>
      </c>
    </row>
    <row r="570" spans="1:5">
      <c r="A570" s="8">
        <v>3135</v>
      </c>
      <c r="B570" s="8" t="s">
        <v>325</v>
      </c>
      <c r="C570" s="20">
        <v>45479</v>
      </c>
      <c r="D570" s="20" t="s">
        <v>156</v>
      </c>
      <c r="E570" s="21">
        <v>7.99</v>
      </c>
    </row>
    <row r="571" spans="1:5">
      <c r="A571" s="8">
        <v>9916</v>
      </c>
      <c r="B571" s="8" t="s">
        <v>531</v>
      </c>
      <c r="C571" s="20" t="s">
        <v>575</v>
      </c>
      <c r="D571" s="20" t="s">
        <v>134</v>
      </c>
      <c r="E571" s="21">
        <v>7.99</v>
      </c>
    </row>
    <row r="572" spans="1:5">
      <c r="A572" s="8">
        <v>2784</v>
      </c>
      <c r="B572" s="8" t="s">
        <v>138</v>
      </c>
      <c r="C572" s="20" t="s">
        <v>576</v>
      </c>
      <c r="D572" s="20" t="s">
        <v>25</v>
      </c>
      <c r="E572" s="21">
        <v>7.99</v>
      </c>
    </row>
    <row r="573" spans="1:5">
      <c r="A573" s="8">
        <v>5916</v>
      </c>
      <c r="B573" s="8" t="s">
        <v>148</v>
      </c>
      <c r="C573" s="20" t="s">
        <v>493</v>
      </c>
      <c r="D573" s="20">
        <v>45547</v>
      </c>
      <c r="E573" s="21">
        <v>15.99</v>
      </c>
    </row>
    <row r="574" spans="1:5">
      <c r="A574" s="8">
        <v>1674</v>
      </c>
      <c r="B574" s="8" t="s">
        <v>177</v>
      </c>
      <c r="C574" s="20" t="s">
        <v>577</v>
      </c>
      <c r="D574" s="20" t="s">
        <v>35</v>
      </c>
      <c r="E574" s="21">
        <v>11.99</v>
      </c>
    </row>
    <row r="575" spans="1:5">
      <c r="A575" s="8">
        <v>2095</v>
      </c>
      <c r="B575" s="8" t="s">
        <v>357</v>
      </c>
      <c r="C575" s="20" t="s">
        <v>327</v>
      </c>
      <c r="D575" s="20" t="s">
        <v>168</v>
      </c>
      <c r="E575" s="21">
        <v>11.99</v>
      </c>
    </row>
    <row r="576" spans="1:5">
      <c r="A576" s="8">
        <v>9594</v>
      </c>
      <c r="B576" s="8" t="s">
        <v>138</v>
      </c>
      <c r="C576" s="20" t="s">
        <v>578</v>
      </c>
      <c r="D576" s="20">
        <v>45363</v>
      </c>
      <c r="E576" s="21">
        <v>7.99</v>
      </c>
    </row>
    <row r="577" spans="1:5">
      <c r="A577" s="8">
        <v>6750</v>
      </c>
      <c r="B577" s="8" t="s">
        <v>23</v>
      </c>
      <c r="C577" s="20" t="s">
        <v>410</v>
      </c>
      <c r="D577" s="20">
        <v>45334</v>
      </c>
      <c r="E577" s="21">
        <v>7.99</v>
      </c>
    </row>
    <row r="578" spans="1:5">
      <c r="A578" s="8">
        <v>7235</v>
      </c>
      <c r="B578" s="8" t="s">
        <v>171</v>
      </c>
      <c r="C578" s="20">
        <v>44986</v>
      </c>
      <c r="D578" s="20" t="s">
        <v>168</v>
      </c>
      <c r="E578" s="21">
        <v>7.99</v>
      </c>
    </row>
    <row r="579" spans="1:5">
      <c r="A579" s="8">
        <v>3910</v>
      </c>
      <c r="B579" s="8" t="s">
        <v>260</v>
      </c>
      <c r="C579" s="20" t="s">
        <v>198</v>
      </c>
      <c r="D579" s="20">
        <v>45516</v>
      </c>
      <c r="E579" s="21">
        <v>11.99</v>
      </c>
    </row>
    <row r="580" spans="1:5">
      <c r="A580" s="8">
        <v>8190</v>
      </c>
      <c r="B580" s="8" t="s">
        <v>579</v>
      </c>
      <c r="C580" s="20" t="s">
        <v>461</v>
      </c>
      <c r="D580" s="20">
        <v>45547</v>
      </c>
      <c r="E580" s="21">
        <v>11.99</v>
      </c>
    </row>
    <row r="581" spans="1:5">
      <c r="A581" s="8">
        <v>5315</v>
      </c>
      <c r="B581" s="8" t="s">
        <v>580</v>
      </c>
      <c r="C581" s="20" t="s">
        <v>581</v>
      </c>
      <c r="D581" s="20" t="s">
        <v>54</v>
      </c>
      <c r="E581" s="21">
        <v>7.99</v>
      </c>
    </row>
    <row r="582" spans="1:5">
      <c r="A582" s="8">
        <v>7503</v>
      </c>
      <c r="B582" s="8" t="s">
        <v>153</v>
      </c>
      <c r="C582" s="20" t="s">
        <v>582</v>
      </c>
      <c r="D582" s="20">
        <v>45363</v>
      </c>
      <c r="E582" s="21">
        <v>15.99</v>
      </c>
    </row>
    <row r="583" spans="1:5">
      <c r="A583" s="8">
        <v>5788</v>
      </c>
      <c r="B583" s="8" t="s">
        <v>186</v>
      </c>
      <c r="C583" s="20">
        <v>45051</v>
      </c>
      <c r="D583" s="20" t="s">
        <v>109</v>
      </c>
      <c r="E583" s="21">
        <v>11.99</v>
      </c>
    </row>
    <row r="584" spans="1:5">
      <c r="A584" s="8">
        <v>7030</v>
      </c>
      <c r="B584" s="8" t="s">
        <v>583</v>
      </c>
      <c r="C584" s="20" t="s">
        <v>239</v>
      </c>
      <c r="D584" s="20" t="s">
        <v>109</v>
      </c>
      <c r="E584" s="21">
        <v>15.99</v>
      </c>
    </row>
    <row r="585" spans="1:5">
      <c r="A585" s="8">
        <v>6619</v>
      </c>
      <c r="B585" s="8" t="s">
        <v>408</v>
      </c>
      <c r="C585" s="20" t="s">
        <v>293</v>
      </c>
      <c r="D585" s="20" t="s">
        <v>129</v>
      </c>
      <c r="E585" s="21">
        <v>15.99</v>
      </c>
    </row>
    <row r="586" spans="1:5">
      <c r="A586" s="8">
        <v>6319</v>
      </c>
      <c r="B586" s="8" t="s">
        <v>584</v>
      </c>
      <c r="C586" s="20">
        <v>44988</v>
      </c>
      <c r="D586" s="20" t="s">
        <v>129</v>
      </c>
      <c r="E586" s="21">
        <v>7.99</v>
      </c>
    </row>
    <row r="587" spans="1:5">
      <c r="A587" s="8">
        <v>6268</v>
      </c>
      <c r="B587" s="8" t="s">
        <v>313</v>
      </c>
      <c r="C587" s="20" t="s">
        <v>585</v>
      </c>
      <c r="D587" s="20" t="s">
        <v>214</v>
      </c>
      <c r="E587" s="21">
        <v>15.99</v>
      </c>
    </row>
    <row r="588" spans="1:5">
      <c r="A588" s="8">
        <v>5016</v>
      </c>
      <c r="B588" s="8" t="s">
        <v>424</v>
      </c>
      <c r="C588" s="20" t="s">
        <v>586</v>
      </c>
      <c r="D588" s="20">
        <v>45608</v>
      </c>
      <c r="E588" s="21">
        <v>11.99</v>
      </c>
    </row>
    <row r="589" spans="1:5">
      <c r="A589" s="8">
        <v>3888</v>
      </c>
      <c r="B589" s="8" t="s">
        <v>176</v>
      </c>
      <c r="C589" s="20" t="s">
        <v>554</v>
      </c>
      <c r="D589" s="20" t="s">
        <v>42</v>
      </c>
      <c r="E589" s="21">
        <v>15.99</v>
      </c>
    </row>
    <row r="590" spans="1:5">
      <c r="A590" s="8">
        <v>9918</v>
      </c>
      <c r="B590" s="8" t="s">
        <v>238</v>
      </c>
      <c r="C590" s="20" t="s">
        <v>587</v>
      </c>
      <c r="D590" s="20">
        <v>45638</v>
      </c>
      <c r="E590" s="21">
        <v>11.99</v>
      </c>
    </row>
    <row r="591" spans="1:5">
      <c r="A591" s="8">
        <v>7305</v>
      </c>
      <c r="B591" s="8" t="s">
        <v>224</v>
      </c>
      <c r="C591" s="20">
        <v>44960</v>
      </c>
      <c r="D591" s="20">
        <v>45334</v>
      </c>
      <c r="E591" s="21">
        <v>7.99</v>
      </c>
    </row>
    <row r="592" spans="1:5">
      <c r="A592" s="8">
        <v>5719</v>
      </c>
      <c r="B592" s="8" t="s">
        <v>531</v>
      </c>
      <c r="C592" s="20" t="s">
        <v>588</v>
      </c>
      <c r="D592" s="20" t="s">
        <v>129</v>
      </c>
      <c r="E592" s="21">
        <v>11.99</v>
      </c>
    </row>
    <row r="593" spans="1:5">
      <c r="A593" s="8">
        <v>2334</v>
      </c>
      <c r="B593" s="8" t="s">
        <v>473</v>
      </c>
      <c r="C593" s="20" t="s">
        <v>358</v>
      </c>
      <c r="D593" s="20" t="s">
        <v>156</v>
      </c>
      <c r="E593" s="21">
        <v>11.99</v>
      </c>
    </row>
    <row r="594" spans="1:5">
      <c r="A594" s="8">
        <v>1006</v>
      </c>
      <c r="B594" s="8" t="s">
        <v>589</v>
      </c>
      <c r="C594" s="20" t="s">
        <v>590</v>
      </c>
      <c r="D594" s="20" t="s">
        <v>168</v>
      </c>
      <c r="E594" s="21">
        <v>11.99</v>
      </c>
    </row>
    <row r="595" spans="1:5">
      <c r="A595" s="8">
        <v>6719</v>
      </c>
      <c r="B595" s="8" t="s">
        <v>114</v>
      </c>
      <c r="C595" s="20" t="s">
        <v>336</v>
      </c>
      <c r="D595" s="20" t="s">
        <v>87</v>
      </c>
      <c r="E595" s="21">
        <v>15.99</v>
      </c>
    </row>
    <row r="596" spans="1:5">
      <c r="A596" s="8">
        <v>6138</v>
      </c>
      <c r="B596" s="8" t="s">
        <v>70</v>
      </c>
      <c r="C596" s="20">
        <v>45536</v>
      </c>
      <c r="D596" s="20" t="s">
        <v>109</v>
      </c>
      <c r="E596" s="21">
        <v>15.99</v>
      </c>
    </row>
    <row r="597" spans="1:5">
      <c r="A597" s="8">
        <v>1255</v>
      </c>
      <c r="B597" s="8" t="s">
        <v>122</v>
      </c>
      <c r="C597" s="20">
        <v>45112</v>
      </c>
      <c r="D597" s="20">
        <v>45577</v>
      </c>
      <c r="E597" s="21">
        <v>11.99</v>
      </c>
    </row>
    <row r="598" spans="1:5">
      <c r="A598" s="8">
        <v>5528</v>
      </c>
      <c r="B598" s="8" t="s">
        <v>179</v>
      </c>
      <c r="C598" s="20" t="s">
        <v>512</v>
      </c>
      <c r="D598" s="20">
        <v>45577</v>
      </c>
      <c r="E598" s="21">
        <v>11.99</v>
      </c>
    </row>
    <row r="599" spans="1:5">
      <c r="A599" s="8">
        <v>2517</v>
      </c>
      <c r="B599" s="8" t="s">
        <v>157</v>
      </c>
      <c r="C599" s="20" t="s">
        <v>591</v>
      </c>
      <c r="D599" s="20">
        <v>45303</v>
      </c>
      <c r="E599" s="21">
        <v>7.99</v>
      </c>
    </row>
    <row r="600" spans="1:5">
      <c r="A600" s="8">
        <v>9593</v>
      </c>
      <c r="B600" s="8" t="s">
        <v>592</v>
      </c>
      <c r="C600" s="20">
        <v>45270</v>
      </c>
      <c r="D600" s="20" t="s">
        <v>156</v>
      </c>
      <c r="E600" s="21">
        <v>15.99</v>
      </c>
    </row>
    <row r="601" spans="1:5">
      <c r="A601" s="8">
        <v>7507</v>
      </c>
      <c r="B601" s="8" t="s">
        <v>404</v>
      </c>
      <c r="C601" s="20">
        <v>45446</v>
      </c>
      <c r="D601" s="20">
        <v>45577</v>
      </c>
      <c r="E601" s="21">
        <v>11.99</v>
      </c>
    </row>
    <row r="602" spans="1:5">
      <c r="A602" s="8">
        <v>2884</v>
      </c>
      <c r="B602" s="8" t="s">
        <v>549</v>
      </c>
      <c r="C602" s="20" t="s">
        <v>462</v>
      </c>
      <c r="D602" s="20" t="s">
        <v>35</v>
      </c>
      <c r="E602" s="21">
        <v>15.99</v>
      </c>
    </row>
    <row r="603" spans="1:5">
      <c r="A603" s="8">
        <v>6374</v>
      </c>
      <c r="B603" s="8" t="s">
        <v>495</v>
      </c>
      <c r="C603" s="20">
        <v>45114</v>
      </c>
      <c r="D603" s="20" t="s">
        <v>54</v>
      </c>
      <c r="E603" s="21">
        <v>15.99</v>
      </c>
    </row>
    <row r="604" spans="1:5">
      <c r="A604" s="8">
        <v>6888</v>
      </c>
      <c r="B604" s="8" t="s">
        <v>196</v>
      </c>
      <c r="C604" s="20">
        <v>45509</v>
      </c>
      <c r="D604" s="20">
        <v>45363</v>
      </c>
      <c r="E604" s="21">
        <v>15.99</v>
      </c>
    </row>
    <row r="605" spans="1:5">
      <c r="A605" s="8">
        <v>2788</v>
      </c>
      <c r="B605" s="8" t="s">
        <v>593</v>
      </c>
      <c r="C605" s="20">
        <v>45171</v>
      </c>
      <c r="D605" s="20">
        <v>45455</v>
      </c>
      <c r="E605" s="21">
        <v>15.99</v>
      </c>
    </row>
    <row r="606" spans="1:5">
      <c r="A606" s="8">
        <v>7892</v>
      </c>
      <c r="B606" s="8" t="s">
        <v>137</v>
      </c>
      <c r="C606" s="20">
        <v>45327</v>
      </c>
      <c r="D606" s="20" t="s">
        <v>87</v>
      </c>
      <c r="E606" s="21">
        <v>7.99</v>
      </c>
    </row>
    <row r="607" spans="1:5">
      <c r="A607" s="8">
        <v>4576</v>
      </c>
      <c r="B607" s="8" t="s">
        <v>138</v>
      </c>
      <c r="C607" s="20" t="s">
        <v>594</v>
      </c>
      <c r="D607" s="20" t="s">
        <v>129</v>
      </c>
      <c r="E607" s="21">
        <v>15.99</v>
      </c>
    </row>
    <row r="608" spans="1:5">
      <c r="A608" s="8">
        <v>8901</v>
      </c>
      <c r="B608" s="8" t="s">
        <v>595</v>
      </c>
      <c r="C608" s="20">
        <v>45536</v>
      </c>
      <c r="D608" s="20" t="s">
        <v>168</v>
      </c>
      <c r="E608" s="21">
        <v>11.99</v>
      </c>
    </row>
    <row r="609" spans="1:5">
      <c r="A609" s="8">
        <v>5147</v>
      </c>
      <c r="B609" s="8" t="s">
        <v>140</v>
      </c>
      <c r="C609" s="20" t="s">
        <v>596</v>
      </c>
      <c r="D609" s="20" t="s">
        <v>42</v>
      </c>
      <c r="E609" s="21">
        <v>7.99</v>
      </c>
    </row>
    <row r="610" spans="1:5">
      <c r="A610" s="8">
        <v>8646</v>
      </c>
      <c r="B610" s="8" t="s">
        <v>294</v>
      </c>
      <c r="C610" s="20" t="s">
        <v>597</v>
      </c>
      <c r="D610" s="20">
        <v>45455</v>
      </c>
      <c r="E610" s="21">
        <v>7.99</v>
      </c>
    </row>
    <row r="611" spans="1:5">
      <c r="A611" s="8">
        <v>8343</v>
      </c>
      <c r="B611" s="8" t="s">
        <v>140</v>
      </c>
      <c r="C611" s="20">
        <v>45333</v>
      </c>
      <c r="D611" s="20" t="s">
        <v>72</v>
      </c>
      <c r="E611" s="21">
        <v>7.99</v>
      </c>
    </row>
    <row r="612" spans="1:5">
      <c r="A612" s="8">
        <v>9332</v>
      </c>
      <c r="B612" s="8" t="s">
        <v>41</v>
      </c>
      <c r="C612" s="20" t="s">
        <v>397</v>
      </c>
      <c r="D612" s="20" t="s">
        <v>103</v>
      </c>
      <c r="E612" s="21">
        <v>15.99</v>
      </c>
    </row>
    <row r="613" spans="1:5">
      <c r="A613" s="8">
        <v>7398</v>
      </c>
      <c r="B613" s="8" t="s">
        <v>349</v>
      </c>
      <c r="C613" s="20" t="s">
        <v>565</v>
      </c>
      <c r="D613" s="20" t="s">
        <v>35</v>
      </c>
      <c r="E613" s="21">
        <v>11.99</v>
      </c>
    </row>
    <row r="614" spans="1:5">
      <c r="A614" s="8">
        <v>3572</v>
      </c>
      <c r="B614" s="8" t="s">
        <v>598</v>
      </c>
      <c r="C614" s="20">
        <v>45386</v>
      </c>
      <c r="D614" s="20" t="s">
        <v>35</v>
      </c>
      <c r="E614" s="21">
        <v>11.99</v>
      </c>
    </row>
    <row r="615" spans="1:5">
      <c r="A615" s="8">
        <v>4590</v>
      </c>
      <c r="B615" s="8" t="s">
        <v>553</v>
      </c>
      <c r="C615" s="20" t="s">
        <v>237</v>
      </c>
      <c r="D615" s="20">
        <v>45363</v>
      </c>
      <c r="E615" s="21">
        <v>11.99</v>
      </c>
    </row>
    <row r="616" spans="1:5">
      <c r="A616" s="8">
        <v>1831</v>
      </c>
      <c r="B616" s="8" t="s">
        <v>88</v>
      </c>
      <c r="C616" s="20">
        <v>45636</v>
      </c>
      <c r="D616" s="20">
        <v>45608</v>
      </c>
      <c r="E616" s="21">
        <v>7.99</v>
      </c>
    </row>
    <row r="617" spans="1:5">
      <c r="A617" s="8">
        <v>6899</v>
      </c>
      <c r="B617" s="8" t="s">
        <v>284</v>
      </c>
      <c r="C617" s="20">
        <v>45050</v>
      </c>
      <c r="D617" s="20">
        <v>45424</v>
      </c>
      <c r="E617" s="21">
        <v>15.99</v>
      </c>
    </row>
    <row r="618" spans="1:5">
      <c r="A618" s="8">
        <v>1148</v>
      </c>
      <c r="B618" s="8" t="s">
        <v>88</v>
      </c>
      <c r="C618" s="20" t="s">
        <v>265</v>
      </c>
      <c r="D618" s="20" t="s">
        <v>105</v>
      </c>
      <c r="E618" s="21">
        <v>15.99</v>
      </c>
    </row>
    <row r="619" spans="1:5">
      <c r="A619" s="8">
        <v>3745</v>
      </c>
      <c r="B619" s="8" t="s">
        <v>325</v>
      </c>
      <c r="C619" s="20">
        <v>45635</v>
      </c>
      <c r="D619" s="20" t="s">
        <v>129</v>
      </c>
      <c r="E619" s="21">
        <v>11.99</v>
      </c>
    </row>
    <row r="620" spans="1:5">
      <c r="A620" s="8">
        <v>5084</v>
      </c>
      <c r="B620" s="8" t="s">
        <v>599</v>
      </c>
      <c r="C620" s="20" t="s">
        <v>195</v>
      </c>
      <c r="D620" s="20" t="s">
        <v>82</v>
      </c>
      <c r="E620" s="21">
        <v>11.99</v>
      </c>
    </row>
    <row r="621" spans="1:5">
      <c r="A621" s="8">
        <v>7179</v>
      </c>
      <c r="B621" s="8" t="s">
        <v>157</v>
      </c>
      <c r="C621" s="20">
        <v>45178</v>
      </c>
      <c r="D621" s="20" t="s">
        <v>168</v>
      </c>
      <c r="E621" s="21">
        <v>11.99</v>
      </c>
    </row>
    <row r="622" spans="1:5">
      <c r="A622" s="8">
        <v>1005</v>
      </c>
      <c r="B622" s="8" t="s">
        <v>304</v>
      </c>
      <c r="C622" s="20" t="s">
        <v>402</v>
      </c>
      <c r="D622" s="20">
        <v>45577</v>
      </c>
      <c r="E622" s="21">
        <v>11.99</v>
      </c>
    </row>
    <row r="623" spans="1:5">
      <c r="A623" s="8">
        <v>6405</v>
      </c>
      <c r="B623" s="8" t="s">
        <v>598</v>
      </c>
      <c r="C623" s="20" t="s">
        <v>600</v>
      </c>
      <c r="D623" s="20">
        <v>45608</v>
      </c>
      <c r="E623" s="21">
        <v>11.99</v>
      </c>
    </row>
    <row r="624" spans="1:5">
      <c r="A624" s="8">
        <v>5215</v>
      </c>
      <c r="B624" s="8" t="s">
        <v>41</v>
      </c>
      <c r="C624" s="20" t="s">
        <v>412</v>
      </c>
      <c r="D624" s="20" t="s">
        <v>72</v>
      </c>
      <c r="E624" s="21">
        <v>7.99</v>
      </c>
    </row>
    <row r="625" spans="1:5">
      <c r="A625" s="8">
        <v>7525</v>
      </c>
      <c r="B625" s="8" t="s">
        <v>318</v>
      </c>
      <c r="C625" s="20" t="s">
        <v>601</v>
      </c>
      <c r="D625" s="20" t="s">
        <v>103</v>
      </c>
      <c r="E625" s="21">
        <v>15.99</v>
      </c>
    </row>
    <row r="626" spans="1:5">
      <c r="A626" s="8">
        <v>9115</v>
      </c>
      <c r="B626" s="8" t="s">
        <v>88</v>
      </c>
      <c r="C626" s="20" t="s">
        <v>324</v>
      </c>
      <c r="D626" s="20" t="s">
        <v>72</v>
      </c>
      <c r="E626" s="21">
        <v>11.99</v>
      </c>
    </row>
    <row r="627" spans="1:5">
      <c r="A627" s="8">
        <v>6454</v>
      </c>
      <c r="B627" s="8" t="s">
        <v>191</v>
      </c>
      <c r="C627" s="20">
        <v>45508</v>
      </c>
      <c r="D627" s="20" t="s">
        <v>35</v>
      </c>
      <c r="E627" s="21">
        <v>15.99</v>
      </c>
    </row>
    <row r="628" spans="1:5">
      <c r="A628" s="8">
        <v>4781</v>
      </c>
      <c r="B628" s="8" t="s">
        <v>602</v>
      </c>
      <c r="C628" s="20" t="s">
        <v>371</v>
      </c>
      <c r="D628" s="20">
        <v>45303</v>
      </c>
      <c r="E628" s="21">
        <v>15.99</v>
      </c>
    </row>
    <row r="629" spans="1:5">
      <c r="A629" s="8">
        <v>5040</v>
      </c>
      <c r="B629" s="8" t="s">
        <v>603</v>
      </c>
      <c r="C629" s="20">
        <v>45028</v>
      </c>
      <c r="D629" s="20">
        <v>45334</v>
      </c>
      <c r="E629" s="21">
        <v>11.99</v>
      </c>
    </row>
    <row r="630" spans="1:5">
      <c r="A630" s="8">
        <v>3209</v>
      </c>
      <c r="B630" s="8" t="s">
        <v>347</v>
      </c>
      <c r="C630" s="20" t="s">
        <v>576</v>
      </c>
      <c r="D630" s="20" t="s">
        <v>214</v>
      </c>
      <c r="E630" s="21">
        <v>7.99</v>
      </c>
    </row>
    <row r="631" spans="1:5">
      <c r="A631" s="8">
        <v>8703</v>
      </c>
      <c r="B631" s="8" t="s">
        <v>254</v>
      </c>
      <c r="C631" s="20">
        <v>45450</v>
      </c>
      <c r="D631" s="20" t="s">
        <v>82</v>
      </c>
      <c r="E631" s="21">
        <v>15.99</v>
      </c>
    </row>
    <row r="632" spans="1:5">
      <c r="A632" s="8">
        <v>2536</v>
      </c>
      <c r="B632" s="8" t="s">
        <v>272</v>
      </c>
      <c r="C632" s="20" t="s">
        <v>358</v>
      </c>
      <c r="D632" s="20" t="s">
        <v>42</v>
      </c>
      <c r="E632" s="21">
        <v>15.99</v>
      </c>
    </row>
    <row r="633" spans="1:5">
      <c r="A633" s="8">
        <v>2057</v>
      </c>
      <c r="B633" s="8" t="s">
        <v>604</v>
      </c>
      <c r="C633" s="20" t="s">
        <v>605</v>
      </c>
      <c r="D633" s="20" t="s">
        <v>109</v>
      </c>
      <c r="E633" s="21">
        <v>7.99</v>
      </c>
    </row>
    <row r="634" spans="1:5">
      <c r="A634" s="8">
        <v>5627</v>
      </c>
      <c r="B634" s="8" t="s">
        <v>606</v>
      </c>
      <c r="C634" s="20">
        <v>45474</v>
      </c>
      <c r="D634" s="20">
        <v>45424</v>
      </c>
      <c r="E634" s="21">
        <v>11.99</v>
      </c>
    </row>
    <row r="635" spans="1:5">
      <c r="A635" s="8">
        <v>4763</v>
      </c>
      <c r="B635" s="8" t="s">
        <v>266</v>
      </c>
      <c r="C635" s="20">
        <v>45628</v>
      </c>
      <c r="D635" s="20">
        <v>45424</v>
      </c>
      <c r="E635" s="21">
        <v>15.99</v>
      </c>
    </row>
    <row r="636" spans="1:5">
      <c r="A636" s="8">
        <v>4577</v>
      </c>
      <c r="B636" s="8" t="s">
        <v>190</v>
      </c>
      <c r="C636" s="20" t="s">
        <v>523</v>
      </c>
      <c r="D636" s="20">
        <v>45608</v>
      </c>
      <c r="E636" s="21">
        <v>11.99</v>
      </c>
    </row>
    <row r="637" spans="1:5">
      <c r="A637" s="8">
        <v>5216</v>
      </c>
      <c r="B637" s="8" t="s">
        <v>367</v>
      </c>
      <c r="C637" s="20" t="s">
        <v>607</v>
      </c>
      <c r="D637" s="20" t="s">
        <v>134</v>
      </c>
      <c r="E637" s="21">
        <v>15.99</v>
      </c>
    </row>
    <row r="638" spans="1:5">
      <c r="A638" s="8">
        <v>3941</v>
      </c>
      <c r="B638" s="8" t="s">
        <v>608</v>
      </c>
      <c r="C638" s="20" t="s">
        <v>454</v>
      </c>
      <c r="D638" s="20" t="s">
        <v>168</v>
      </c>
      <c r="E638" s="21">
        <v>11.99</v>
      </c>
    </row>
    <row r="639" spans="1:5">
      <c r="A639" s="8">
        <v>4396</v>
      </c>
      <c r="B639" s="8" t="s">
        <v>234</v>
      </c>
      <c r="C639" s="20">
        <v>44958</v>
      </c>
      <c r="D639" s="20" t="s">
        <v>72</v>
      </c>
      <c r="E639" s="21">
        <v>15.99</v>
      </c>
    </row>
    <row r="640" spans="1:5">
      <c r="A640" s="8">
        <v>4865</v>
      </c>
      <c r="B640" s="8" t="s">
        <v>98</v>
      </c>
      <c r="C640" s="20" t="s">
        <v>609</v>
      </c>
      <c r="D640" s="20" t="s">
        <v>105</v>
      </c>
      <c r="E640" s="21">
        <v>7.99</v>
      </c>
    </row>
    <row r="641" spans="1:5">
      <c r="A641" s="8">
        <v>2497</v>
      </c>
      <c r="B641" s="8" t="s">
        <v>382</v>
      </c>
      <c r="C641" s="20" t="s">
        <v>410</v>
      </c>
      <c r="D641" s="20" t="s">
        <v>90</v>
      </c>
      <c r="E641" s="21">
        <v>7.99</v>
      </c>
    </row>
    <row r="642" spans="1:5">
      <c r="A642" s="8">
        <v>4945</v>
      </c>
      <c r="B642" s="8" t="s">
        <v>313</v>
      </c>
      <c r="C642" s="20">
        <v>45387</v>
      </c>
      <c r="D642" s="20" t="s">
        <v>82</v>
      </c>
      <c r="E642" s="21">
        <v>11.99</v>
      </c>
    </row>
    <row r="643" spans="1:5">
      <c r="A643" s="8">
        <v>5227</v>
      </c>
      <c r="B643" s="8" t="s">
        <v>610</v>
      </c>
      <c r="C643" s="20" t="s">
        <v>611</v>
      </c>
      <c r="D643" s="20">
        <v>45455</v>
      </c>
      <c r="E643" s="21">
        <v>7.99</v>
      </c>
    </row>
    <row r="644" spans="1:5">
      <c r="A644" s="8">
        <v>2150</v>
      </c>
      <c r="B644" s="8" t="s">
        <v>311</v>
      </c>
      <c r="C644" s="20">
        <v>45630</v>
      </c>
      <c r="D644" s="20">
        <v>45547</v>
      </c>
      <c r="E644" s="21">
        <v>11.99</v>
      </c>
    </row>
    <row r="645" spans="1:5">
      <c r="A645" s="8">
        <v>7145</v>
      </c>
      <c r="B645" s="8" t="s">
        <v>612</v>
      </c>
      <c r="C645" s="20" t="s">
        <v>403</v>
      </c>
      <c r="D645" s="20" t="s">
        <v>82</v>
      </c>
      <c r="E645" s="21">
        <v>7.99</v>
      </c>
    </row>
    <row r="646" spans="1:5">
      <c r="A646" s="8">
        <v>2040</v>
      </c>
      <c r="B646" s="8" t="s">
        <v>613</v>
      </c>
      <c r="C646" s="20">
        <v>45606</v>
      </c>
      <c r="D646" s="20" t="s">
        <v>90</v>
      </c>
      <c r="E646" s="21">
        <v>7.99</v>
      </c>
    </row>
    <row r="647" spans="1:5">
      <c r="A647" s="8">
        <v>4191</v>
      </c>
      <c r="B647" s="8" t="s">
        <v>270</v>
      </c>
      <c r="C647" s="20" t="s">
        <v>310</v>
      </c>
      <c r="D647" s="20">
        <v>45363</v>
      </c>
      <c r="E647" s="21">
        <v>7.99</v>
      </c>
    </row>
    <row r="648" spans="1:5">
      <c r="A648" s="8">
        <v>4336</v>
      </c>
      <c r="B648" s="8" t="s">
        <v>88</v>
      </c>
      <c r="C648" s="20">
        <v>44965</v>
      </c>
      <c r="D648" s="20">
        <v>45608</v>
      </c>
      <c r="E648" s="21">
        <v>15.99</v>
      </c>
    </row>
    <row r="649" spans="1:5">
      <c r="A649" s="8">
        <v>5438</v>
      </c>
      <c r="B649" s="8" t="s">
        <v>411</v>
      </c>
      <c r="C649" s="20">
        <v>45087</v>
      </c>
      <c r="D649" s="20" t="s">
        <v>90</v>
      </c>
      <c r="E649" s="21">
        <v>11.99</v>
      </c>
    </row>
    <row r="650" spans="1:5">
      <c r="A650" s="8">
        <v>9857</v>
      </c>
      <c r="B650" s="8" t="s">
        <v>247</v>
      </c>
      <c r="C650" s="20" t="s">
        <v>614</v>
      </c>
      <c r="D650" s="20">
        <v>45334</v>
      </c>
      <c r="E650" s="21">
        <v>7.99</v>
      </c>
    </row>
    <row r="651" spans="1:5">
      <c r="A651" s="8">
        <v>4767</v>
      </c>
      <c r="B651" s="8" t="s">
        <v>98</v>
      </c>
      <c r="C651" s="20" t="s">
        <v>167</v>
      </c>
      <c r="D651" s="20" t="s">
        <v>156</v>
      </c>
      <c r="E651" s="21">
        <v>15.99</v>
      </c>
    </row>
    <row r="652" spans="1:5">
      <c r="A652" s="8">
        <v>9374</v>
      </c>
      <c r="B652" s="8" t="s">
        <v>224</v>
      </c>
      <c r="C652" s="20" t="s">
        <v>72</v>
      </c>
      <c r="D652" s="20">
        <v>45303</v>
      </c>
      <c r="E652" s="21">
        <v>15.99</v>
      </c>
    </row>
    <row r="653" spans="1:5">
      <c r="A653" s="8">
        <v>3918</v>
      </c>
      <c r="B653" s="8" t="s">
        <v>88</v>
      </c>
      <c r="C653" s="20" t="s">
        <v>309</v>
      </c>
      <c r="D653" s="20" t="s">
        <v>105</v>
      </c>
      <c r="E653" s="21">
        <v>7.99</v>
      </c>
    </row>
    <row r="654" spans="1:5">
      <c r="A654" s="8">
        <v>9866</v>
      </c>
      <c r="B654" s="8" t="s">
        <v>138</v>
      </c>
      <c r="C654" s="20">
        <v>45633</v>
      </c>
      <c r="D654" s="20" t="s">
        <v>72</v>
      </c>
      <c r="E654" s="21">
        <v>11.99</v>
      </c>
    </row>
    <row r="655" spans="1:5">
      <c r="A655" s="8">
        <v>6389</v>
      </c>
      <c r="B655" s="8" t="s">
        <v>541</v>
      </c>
      <c r="C655" s="20" t="s">
        <v>615</v>
      </c>
      <c r="D655" s="20" t="s">
        <v>103</v>
      </c>
      <c r="E655" s="21">
        <v>11.99</v>
      </c>
    </row>
    <row r="656" spans="1:5">
      <c r="A656" s="8">
        <v>8733</v>
      </c>
      <c r="B656" s="8" t="s">
        <v>294</v>
      </c>
      <c r="C656" s="20">
        <v>45449</v>
      </c>
      <c r="D656" s="20" t="s">
        <v>129</v>
      </c>
      <c r="E656" s="21">
        <v>15.99</v>
      </c>
    </row>
    <row r="657" spans="1:5">
      <c r="A657" s="8">
        <v>8105</v>
      </c>
      <c r="B657" s="8" t="s">
        <v>52</v>
      </c>
      <c r="C657" s="20" t="s">
        <v>616</v>
      </c>
      <c r="D657" s="20" t="s">
        <v>214</v>
      </c>
      <c r="E657" s="21">
        <v>15.99</v>
      </c>
    </row>
    <row r="658" spans="1:5">
      <c r="A658" s="8">
        <v>3443</v>
      </c>
      <c r="B658" s="8" t="s">
        <v>190</v>
      </c>
      <c r="C658" s="20">
        <v>45294</v>
      </c>
      <c r="D658" s="20">
        <v>45424</v>
      </c>
      <c r="E658" s="21">
        <v>15.99</v>
      </c>
    </row>
    <row r="659" spans="1:5">
      <c r="A659" s="8">
        <v>2664</v>
      </c>
      <c r="B659" s="8" t="s">
        <v>98</v>
      </c>
      <c r="C659" s="20" t="s">
        <v>388</v>
      </c>
      <c r="D659" s="20" t="s">
        <v>99</v>
      </c>
      <c r="E659" s="21">
        <v>7.99</v>
      </c>
    </row>
    <row r="660" spans="1:5">
      <c r="A660" s="8">
        <v>1782</v>
      </c>
      <c r="B660" s="8" t="s">
        <v>617</v>
      </c>
      <c r="C660" s="20">
        <v>44931</v>
      </c>
      <c r="D660" s="20" t="s">
        <v>168</v>
      </c>
      <c r="E660" s="21">
        <v>15.99</v>
      </c>
    </row>
    <row r="661" spans="1:5">
      <c r="A661" s="8">
        <v>1337</v>
      </c>
      <c r="B661" s="8" t="s">
        <v>618</v>
      </c>
      <c r="C661" s="20" t="s">
        <v>522</v>
      </c>
      <c r="D661" s="20" t="s">
        <v>129</v>
      </c>
      <c r="E661" s="21">
        <v>7.99</v>
      </c>
    </row>
    <row r="662" spans="1:5">
      <c r="A662" s="8">
        <v>5901</v>
      </c>
      <c r="B662" s="8" t="s">
        <v>41</v>
      </c>
      <c r="C662" s="20">
        <v>45081</v>
      </c>
      <c r="D662" s="20" t="s">
        <v>103</v>
      </c>
      <c r="E662" s="21">
        <v>7.99</v>
      </c>
    </row>
    <row r="663" spans="1:5">
      <c r="A663" s="8">
        <v>2731</v>
      </c>
      <c r="B663" s="8" t="s">
        <v>619</v>
      </c>
      <c r="C663" s="20">
        <v>45602</v>
      </c>
      <c r="D663" s="20" t="s">
        <v>25</v>
      </c>
      <c r="E663" s="21">
        <v>15.99</v>
      </c>
    </row>
    <row r="664" spans="1:5">
      <c r="A664" s="8">
        <v>8307</v>
      </c>
      <c r="B664" s="8" t="s">
        <v>245</v>
      </c>
      <c r="C664" s="20">
        <v>45383</v>
      </c>
      <c r="D664" s="20">
        <v>45455</v>
      </c>
      <c r="E664" s="21">
        <v>7.99</v>
      </c>
    </row>
    <row r="665" spans="1:5">
      <c r="A665" s="8">
        <v>8019</v>
      </c>
      <c r="B665" s="8" t="s">
        <v>620</v>
      </c>
      <c r="C665" s="20" t="s">
        <v>182</v>
      </c>
      <c r="D665" s="20" t="s">
        <v>54</v>
      </c>
      <c r="E665" s="21">
        <v>11.99</v>
      </c>
    </row>
    <row r="666" spans="1:5">
      <c r="A666" s="8">
        <v>4847</v>
      </c>
      <c r="B666" s="8" t="s">
        <v>238</v>
      </c>
      <c r="C666" s="20">
        <v>45303</v>
      </c>
      <c r="D666" s="20" t="s">
        <v>90</v>
      </c>
      <c r="E666" s="21">
        <v>15.99</v>
      </c>
    </row>
    <row r="667" spans="1:5">
      <c r="A667" s="8">
        <v>9822</v>
      </c>
      <c r="B667" s="8" t="s">
        <v>212</v>
      </c>
      <c r="C667" s="20" t="s">
        <v>581</v>
      </c>
      <c r="D667" s="20" t="s">
        <v>25</v>
      </c>
      <c r="E667" s="21">
        <v>7.99</v>
      </c>
    </row>
    <row r="668" spans="1:5">
      <c r="A668" s="8">
        <v>9141</v>
      </c>
      <c r="B668" s="8" t="s">
        <v>621</v>
      </c>
      <c r="C668" s="20" t="s">
        <v>622</v>
      </c>
      <c r="D668" s="20" t="s">
        <v>87</v>
      </c>
      <c r="E668" s="21">
        <v>7.99</v>
      </c>
    </row>
    <row r="669" spans="1:5">
      <c r="A669" s="8">
        <v>7539</v>
      </c>
      <c r="B669" s="8" t="s">
        <v>606</v>
      </c>
      <c r="C669" s="20">
        <v>44935</v>
      </c>
      <c r="D669" s="20">
        <v>45516</v>
      </c>
      <c r="E669" s="21">
        <v>7.99</v>
      </c>
    </row>
    <row r="670" spans="1:5">
      <c r="A670" s="8">
        <v>1390</v>
      </c>
      <c r="B670" s="8" t="s">
        <v>623</v>
      </c>
      <c r="C670" s="20" t="s">
        <v>407</v>
      </c>
      <c r="D670" s="20" t="s">
        <v>168</v>
      </c>
      <c r="E670" s="21">
        <v>11.99</v>
      </c>
    </row>
    <row r="671" spans="1:5">
      <c r="A671" s="8">
        <v>9505</v>
      </c>
      <c r="B671" s="8" t="s">
        <v>284</v>
      </c>
      <c r="C671" s="20" t="s">
        <v>601</v>
      </c>
      <c r="D671" s="20">
        <v>45394</v>
      </c>
      <c r="E671" s="21">
        <v>15.99</v>
      </c>
    </row>
    <row r="672" spans="1:5">
      <c r="A672" s="8">
        <v>6741</v>
      </c>
      <c r="B672" s="8" t="s">
        <v>259</v>
      </c>
      <c r="C672" s="20" t="s">
        <v>225</v>
      </c>
      <c r="D672" s="20" t="s">
        <v>84</v>
      </c>
      <c r="E672" s="21">
        <v>7.99</v>
      </c>
    </row>
    <row r="673" spans="1:5">
      <c r="A673" s="8">
        <v>1790</v>
      </c>
      <c r="B673" s="8" t="s">
        <v>624</v>
      </c>
      <c r="C673" s="20">
        <v>45599</v>
      </c>
      <c r="D673" s="20">
        <v>45303</v>
      </c>
      <c r="E673" s="21">
        <v>11.99</v>
      </c>
    </row>
    <row r="674" spans="1:5">
      <c r="A674" s="8">
        <v>6491</v>
      </c>
      <c r="B674" s="8" t="s">
        <v>625</v>
      </c>
      <c r="C674" s="20" t="s">
        <v>519</v>
      </c>
      <c r="D674" s="20" t="s">
        <v>105</v>
      </c>
      <c r="E674" s="21">
        <v>7.99</v>
      </c>
    </row>
    <row r="675" spans="1:5">
      <c r="A675" s="8">
        <v>3102</v>
      </c>
      <c r="B675" s="8" t="s">
        <v>260</v>
      </c>
      <c r="C675" s="20">
        <v>45360</v>
      </c>
      <c r="D675" s="20" t="s">
        <v>99</v>
      </c>
      <c r="E675" s="21">
        <v>7.99</v>
      </c>
    </row>
    <row r="676" spans="1:5">
      <c r="A676" s="8">
        <v>1300</v>
      </c>
      <c r="B676" s="8" t="s">
        <v>626</v>
      </c>
      <c r="C676" s="20" t="s">
        <v>627</v>
      </c>
      <c r="D676" s="20" t="s">
        <v>129</v>
      </c>
      <c r="E676" s="21">
        <v>11.99</v>
      </c>
    </row>
    <row r="677" spans="1:5">
      <c r="A677" s="8">
        <v>5410</v>
      </c>
      <c r="B677" s="8" t="s">
        <v>628</v>
      </c>
      <c r="C677" s="20">
        <v>45084</v>
      </c>
      <c r="D677" s="20">
        <v>45303</v>
      </c>
      <c r="E677" s="21">
        <v>15.99</v>
      </c>
    </row>
    <row r="678" spans="1:5">
      <c r="A678" s="8">
        <v>2714</v>
      </c>
      <c r="B678" s="8" t="s">
        <v>629</v>
      </c>
      <c r="C678" s="20">
        <v>45547</v>
      </c>
      <c r="D678" s="20" t="s">
        <v>105</v>
      </c>
      <c r="E678" s="21">
        <v>11.99</v>
      </c>
    </row>
    <row r="679" spans="1:5">
      <c r="A679" s="8">
        <v>4700</v>
      </c>
      <c r="B679" s="8" t="s">
        <v>179</v>
      </c>
      <c r="C679" s="20" t="s">
        <v>317</v>
      </c>
      <c r="D679" s="20">
        <v>45394</v>
      </c>
      <c r="E679" s="21">
        <v>7.99</v>
      </c>
    </row>
    <row r="680" spans="1:5">
      <c r="A680" s="8">
        <v>7589</v>
      </c>
      <c r="B680" s="8" t="s">
        <v>280</v>
      </c>
      <c r="C680" s="20">
        <v>45115</v>
      </c>
      <c r="D680" s="20">
        <v>45334</v>
      </c>
      <c r="E680" s="21">
        <v>15.99</v>
      </c>
    </row>
    <row r="681" spans="1:5">
      <c r="A681" s="8">
        <v>6866</v>
      </c>
      <c r="B681" s="8" t="s">
        <v>199</v>
      </c>
      <c r="C681" s="20" t="s">
        <v>95</v>
      </c>
      <c r="D681" s="20" t="s">
        <v>156</v>
      </c>
      <c r="E681" s="21">
        <v>11.99</v>
      </c>
    </row>
    <row r="682" spans="1:5">
      <c r="A682" s="8">
        <v>6960</v>
      </c>
      <c r="B682" s="8" t="s">
        <v>630</v>
      </c>
      <c r="C682" s="20">
        <v>45271</v>
      </c>
      <c r="D682" s="20" t="s">
        <v>214</v>
      </c>
      <c r="E682" s="21">
        <v>15.99</v>
      </c>
    </row>
    <row r="683" spans="1:5">
      <c r="A683" s="8">
        <v>5808</v>
      </c>
      <c r="B683" s="8" t="s">
        <v>491</v>
      </c>
      <c r="C683" s="20" t="s">
        <v>543</v>
      </c>
      <c r="D683" s="20" t="s">
        <v>54</v>
      </c>
      <c r="E683" s="21">
        <v>15.99</v>
      </c>
    </row>
    <row r="684" spans="1:5">
      <c r="A684" s="8">
        <v>5525</v>
      </c>
      <c r="B684" s="8" t="s">
        <v>224</v>
      </c>
      <c r="C684" s="20">
        <v>45056</v>
      </c>
      <c r="D684" s="20">
        <v>45455</v>
      </c>
      <c r="E684" s="21">
        <v>15.99</v>
      </c>
    </row>
    <row r="685" spans="1:5">
      <c r="A685" s="8">
        <v>1272</v>
      </c>
      <c r="B685" s="8" t="s">
        <v>272</v>
      </c>
      <c r="C685" s="20" t="s">
        <v>324</v>
      </c>
      <c r="D685" s="20" t="s">
        <v>84</v>
      </c>
      <c r="E685" s="21">
        <v>15.99</v>
      </c>
    </row>
    <row r="686" spans="1:5">
      <c r="A686" s="8">
        <v>8063</v>
      </c>
      <c r="B686" s="8" t="s">
        <v>304</v>
      </c>
      <c r="C686" s="20" t="s">
        <v>627</v>
      </c>
      <c r="D686" s="20">
        <v>45638</v>
      </c>
      <c r="E686" s="21">
        <v>7.99</v>
      </c>
    </row>
    <row r="687" spans="1:5">
      <c r="A687" s="8">
        <v>1856</v>
      </c>
      <c r="B687" s="8" t="s">
        <v>631</v>
      </c>
      <c r="C687" s="20" t="s">
        <v>616</v>
      </c>
      <c r="D687" s="20">
        <v>45608</v>
      </c>
      <c r="E687" s="21">
        <v>15.99</v>
      </c>
    </row>
    <row r="688" spans="1:5">
      <c r="A688" s="8">
        <v>2830</v>
      </c>
      <c r="B688" s="8" t="s">
        <v>579</v>
      </c>
      <c r="C688" s="20">
        <v>44990</v>
      </c>
      <c r="D688" s="20">
        <v>45516</v>
      </c>
      <c r="E688" s="21">
        <v>11.99</v>
      </c>
    </row>
    <row r="689" spans="1:5">
      <c r="A689" s="8">
        <v>3287</v>
      </c>
      <c r="B689" s="8" t="s">
        <v>508</v>
      </c>
      <c r="C689" s="20" t="s">
        <v>609</v>
      </c>
      <c r="D689" s="20" t="s">
        <v>134</v>
      </c>
      <c r="E689" s="21">
        <v>15.99</v>
      </c>
    </row>
    <row r="690" spans="1:5">
      <c r="A690" s="8">
        <v>5679</v>
      </c>
      <c r="B690" s="8" t="s">
        <v>444</v>
      </c>
      <c r="C690" s="20" t="s">
        <v>526</v>
      </c>
      <c r="D690" s="20">
        <v>45455</v>
      </c>
      <c r="E690" s="21">
        <v>15.99</v>
      </c>
    </row>
    <row r="691" spans="1:5">
      <c r="A691" s="8">
        <v>6399</v>
      </c>
      <c r="B691" s="8" t="s">
        <v>157</v>
      </c>
      <c r="C691" s="20">
        <v>44927</v>
      </c>
      <c r="D691" s="20">
        <v>45424</v>
      </c>
      <c r="E691" s="21">
        <v>11.99</v>
      </c>
    </row>
    <row r="692" spans="1:5">
      <c r="A692" s="8">
        <v>8753</v>
      </c>
      <c r="B692" s="8" t="s">
        <v>257</v>
      </c>
      <c r="C692" s="20" t="s">
        <v>632</v>
      </c>
      <c r="D692" s="20" t="s">
        <v>90</v>
      </c>
      <c r="E692" s="21">
        <v>11.99</v>
      </c>
    </row>
    <row r="693" spans="1:5">
      <c r="A693" s="8">
        <v>9267</v>
      </c>
      <c r="B693" s="8" t="s">
        <v>284</v>
      </c>
      <c r="C693" s="20">
        <v>45478</v>
      </c>
      <c r="D693" s="20" t="s">
        <v>156</v>
      </c>
      <c r="E693" s="21">
        <v>15.99</v>
      </c>
    </row>
    <row r="694" spans="1:5">
      <c r="A694" s="8">
        <v>9846</v>
      </c>
      <c r="B694" s="8" t="s">
        <v>128</v>
      </c>
      <c r="C694" s="20" t="s">
        <v>633</v>
      </c>
      <c r="D694" s="20" t="s">
        <v>25</v>
      </c>
      <c r="E694" s="21">
        <v>7.99</v>
      </c>
    </row>
    <row r="695" spans="1:5">
      <c r="A695" s="8">
        <v>2382</v>
      </c>
      <c r="B695" s="8" t="s">
        <v>584</v>
      </c>
      <c r="C695" s="20">
        <v>45571</v>
      </c>
      <c r="D695" s="20">
        <v>45547</v>
      </c>
      <c r="E695" s="21">
        <v>15.99</v>
      </c>
    </row>
    <row r="696" spans="1:5">
      <c r="A696" s="8">
        <v>3593</v>
      </c>
      <c r="B696" s="8" t="s">
        <v>335</v>
      </c>
      <c r="C696" s="20" t="s">
        <v>634</v>
      </c>
      <c r="D696" s="20" t="s">
        <v>156</v>
      </c>
      <c r="E696" s="21">
        <v>7.99</v>
      </c>
    </row>
    <row r="697" spans="1:5">
      <c r="A697" s="8">
        <v>4097</v>
      </c>
      <c r="B697" s="8" t="s">
        <v>280</v>
      </c>
      <c r="C697" s="20" t="s">
        <v>412</v>
      </c>
      <c r="D697" s="20" t="s">
        <v>129</v>
      </c>
      <c r="E697" s="21">
        <v>7.99</v>
      </c>
    </row>
    <row r="698" spans="1:5">
      <c r="A698" s="8">
        <v>2886</v>
      </c>
      <c r="B698" s="8" t="s">
        <v>106</v>
      </c>
      <c r="C698" s="20" t="s">
        <v>173</v>
      </c>
      <c r="D698" s="20" t="s">
        <v>214</v>
      </c>
      <c r="E698" s="21">
        <v>15.99</v>
      </c>
    </row>
    <row r="699" spans="1:5">
      <c r="A699" s="8">
        <v>3255</v>
      </c>
      <c r="B699" s="8" t="s">
        <v>547</v>
      </c>
      <c r="C699" s="20">
        <v>45444</v>
      </c>
      <c r="D699" s="20" t="s">
        <v>99</v>
      </c>
      <c r="E699" s="21">
        <v>7.99</v>
      </c>
    </row>
    <row r="700" spans="1:5">
      <c r="A700" s="8">
        <v>6752</v>
      </c>
      <c r="B700" s="8" t="s">
        <v>194</v>
      </c>
      <c r="C700" s="20" t="s">
        <v>571</v>
      </c>
      <c r="D700" s="20">
        <v>45547</v>
      </c>
      <c r="E700" s="21">
        <v>11.99</v>
      </c>
    </row>
    <row r="701" spans="1:5">
      <c r="A701" s="8">
        <v>7945</v>
      </c>
      <c r="B701" s="8" t="s">
        <v>631</v>
      </c>
      <c r="C701" s="20" t="s">
        <v>227</v>
      </c>
      <c r="D701" s="20" t="s">
        <v>168</v>
      </c>
      <c r="E701" s="21">
        <v>11.99</v>
      </c>
    </row>
    <row r="702" spans="1:5">
      <c r="A702" s="8">
        <v>6658</v>
      </c>
      <c r="B702" s="8" t="s">
        <v>157</v>
      </c>
      <c r="C702" s="20">
        <v>45295</v>
      </c>
      <c r="D702" s="20">
        <v>45424</v>
      </c>
      <c r="E702" s="21">
        <v>7.99</v>
      </c>
    </row>
    <row r="703" spans="1:5">
      <c r="A703" s="8">
        <v>5468</v>
      </c>
      <c r="B703" s="8" t="s">
        <v>635</v>
      </c>
      <c r="C703" s="20">
        <v>45326</v>
      </c>
      <c r="D703" s="20" t="s">
        <v>84</v>
      </c>
      <c r="E703" s="21">
        <v>11.99</v>
      </c>
    </row>
    <row r="704" spans="1:5">
      <c r="A704" s="8">
        <v>7451</v>
      </c>
      <c r="B704" s="8" t="s">
        <v>244</v>
      </c>
      <c r="C704" s="20" t="s">
        <v>636</v>
      </c>
      <c r="D704" s="20">
        <v>45547</v>
      </c>
      <c r="E704" s="21">
        <v>15.99</v>
      </c>
    </row>
    <row r="705" spans="1:5">
      <c r="A705" s="8">
        <v>1253</v>
      </c>
      <c r="B705" s="8" t="s">
        <v>157</v>
      </c>
      <c r="C705" s="20">
        <v>45542</v>
      </c>
      <c r="D705" s="20">
        <v>45424</v>
      </c>
      <c r="E705" s="21">
        <v>11.99</v>
      </c>
    </row>
    <row r="706" spans="1:5">
      <c r="A706" s="8">
        <v>6746</v>
      </c>
      <c r="B706" s="8" t="s">
        <v>558</v>
      </c>
      <c r="C706" s="20">
        <v>45333</v>
      </c>
      <c r="D706" s="20" t="s">
        <v>105</v>
      </c>
      <c r="E706" s="21">
        <v>7.99</v>
      </c>
    </row>
    <row r="707" spans="1:5">
      <c r="A707" s="8">
        <v>8089</v>
      </c>
      <c r="B707" s="8" t="s">
        <v>232</v>
      </c>
      <c r="C707" s="20">
        <v>45510</v>
      </c>
      <c r="D707" s="20" t="s">
        <v>99</v>
      </c>
      <c r="E707" s="21">
        <v>7.99</v>
      </c>
    </row>
    <row r="708" spans="1:5">
      <c r="A708" s="8">
        <v>8045</v>
      </c>
      <c r="B708" s="8" t="s">
        <v>304</v>
      </c>
      <c r="C708" s="20">
        <v>44996</v>
      </c>
      <c r="D708" s="20">
        <v>45334</v>
      </c>
      <c r="E708" s="21">
        <v>7.99</v>
      </c>
    </row>
    <row r="709" spans="1:5">
      <c r="A709" s="8">
        <v>9417</v>
      </c>
      <c r="B709" s="8" t="s">
        <v>126</v>
      </c>
      <c r="C709" s="20" t="s">
        <v>264</v>
      </c>
      <c r="D709" s="20" t="s">
        <v>105</v>
      </c>
      <c r="E709" s="21">
        <v>11.99</v>
      </c>
    </row>
    <row r="710" spans="1:5">
      <c r="A710" s="8">
        <v>3217</v>
      </c>
      <c r="B710" s="8" t="s">
        <v>140</v>
      </c>
      <c r="C710" s="20">
        <v>45509</v>
      </c>
      <c r="D710" s="20" t="s">
        <v>129</v>
      </c>
      <c r="E710" s="21">
        <v>15.99</v>
      </c>
    </row>
    <row r="711" spans="1:5">
      <c r="A711" s="8">
        <v>4234</v>
      </c>
      <c r="B711" s="8" t="s">
        <v>157</v>
      </c>
      <c r="C711" s="20">
        <v>45139</v>
      </c>
      <c r="D711" s="20" t="s">
        <v>54</v>
      </c>
      <c r="E711" s="21">
        <v>15.99</v>
      </c>
    </row>
    <row r="712" spans="1:5">
      <c r="A712" s="8">
        <v>1118</v>
      </c>
      <c r="B712" s="8" t="s">
        <v>240</v>
      </c>
      <c r="C712" s="20">
        <v>45475</v>
      </c>
      <c r="D712" s="20">
        <v>45608</v>
      </c>
      <c r="E712" s="21">
        <v>15.99</v>
      </c>
    </row>
    <row r="713" spans="1:5">
      <c r="A713" s="8">
        <v>4027</v>
      </c>
      <c r="B713" s="8" t="s">
        <v>631</v>
      </c>
      <c r="C713" s="20" t="s">
        <v>447</v>
      </c>
      <c r="D713" s="20" t="s">
        <v>156</v>
      </c>
      <c r="E713" s="21">
        <v>15.99</v>
      </c>
    </row>
    <row r="714" spans="1:5">
      <c r="A714" s="8">
        <v>8451</v>
      </c>
      <c r="B714" s="8" t="s">
        <v>637</v>
      </c>
      <c r="C714" s="20">
        <v>44960</v>
      </c>
      <c r="D714" s="20" t="s">
        <v>109</v>
      </c>
      <c r="E714" s="21">
        <v>11.99</v>
      </c>
    </row>
    <row r="715" spans="1:5">
      <c r="A715" s="8">
        <v>6647</v>
      </c>
      <c r="B715" s="8" t="s">
        <v>88</v>
      </c>
      <c r="C715" s="20" t="s">
        <v>638</v>
      </c>
      <c r="D715" s="20" t="s">
        <v>168</v>
      </c>
      <c r="E715" s="21">
        <v>15.99</v>
      </c>
    </row>
    <row r="716" spans="1:5">
      <c r="A716" s="8">
        <v>4002</v>
      </c>
      <c r="B716" s="8" t="s">
        <v>441</v>
      </c>
      <c r="C716" s="20">
        <v>45477</v>
      </c>
      <c r="D716" s="20">
        <v>45608</v>
      </c>
      <c r="E716" s="21">
        <v>11.99</v>
      </c>
    </row>
    <row r="717" spans="1:5">
      <c r="A717" s="8">
        <v>6910</v>
      </c>
      <c r="B717" s="8" t="s">
        <v>347</v>
      </c>
      <c r="C717" s="20">
        <v>44988</v>
      </c>
      <c r="D717" s="20" t="s">
        <v>99</v>
      </c>
      <c r="E717" s="21">
        <v>7.99</v>
      </c>
    </row>
    <row r="718" spans="1:5">
      <c r="A718" s="8">
        <v>3164</v>
      </c>
      <c r="B718" s="8" t="s">
        <v>325</v>
      </c>
      <c r="C718" s="20" t="s">
        <v>113</v>
      </c>
      <c r="D718" s="20" t="s">
        <v>25</v>
      </c>
      <c r="E718" s="21">
        <v>15.99</v>
      </c>
    </row>
    <row r="719" spans="1:5">
      <c r="A719" s="8">
        <v>2400</v>
      </c>
      <c r="B719" s="8" t="s">
        <v>138</v>
      </c>
      <c r="C719" s="20">
        <v>45180</v>
      </c>
      <c r="D719" s="20">
        <v>45638</v>
      </c>
      <c r="E719" s="21">
        <v>15.99</v>
      </c>
    </row>
    <row r="720" spans="1:5">
      <c r="A720" s="8">
        <v>5499</v>
      </c>
      <c r="B720" s="8" t="s">
        <v>404</v>
      </c>
      <c r="C720" s="20" t="s">
        <v>173</v>
      </c>
      <c r="D720" s="20">
        <v>45334</v>
      </c>
      <c r="E720" s="21">
        <v>15.99</v>
      </c>
    </row>
    <row r="721" spans="1:5">
      <c r="A721" s="8">
        <v>7221</v>
      </c>
      <c r="B721" s="8" t="s">
        <v>367</v>
      </c>
      <c r="C721" s="20" t="s">
        <v>178</v>
      </c>
      <c r="D721" s="20" t="s">
        <v>87</v>
      </c>
      <c r="E721" s="21">
        <v>15.99</v>
      </c>
    </row>
    <row r="722" spans="1:5">
      <c r="A722" s="8">
        <v>4556</v>
      </c>
      <c r="B722" s="8" t="s">
        <v>120</v>
      </c>
      <c r="C722" s="20">
        <v>45201</v>
      </c>
      <c r="D722" s="20" t="s">
        <v>168</v>
      </c>
      <c r="E722" s="21">
        <v>11.99</v>
      </c>
    </row>
    <row r="723" spans="1:5">
      <c r="A723" s="8">
        <v>7175</v>
      </c>
      <c r="B723" s="8" t="s">
        <v>517</v>
      </c>
      <c r="C723" s="20" t="s">
        <v>639</v>
      </c>
      <c r="D723" s="20" t="s">
        <v>35</v>
      </c>
      <c r="E723" s="21">
        <v>11.99</v>
      </c>
    </row>
    <row r="724" spans="1:5">
      <c r="A724" s="8">
        <v>7072</v>
      </c>
      <c r="B724" s="8" t="s">
        <v>592</v>
      </c>
      <c r="C724" s="20">
        <v>45109</v>
      </c>
      <c r="D724" s="20" t="s">
        <v>54</v>
      </c>
      <c r="E724" s="21">
        <v>15.99</v>
      </c>
    </row>
    <row r="725" spans="1:5">
      <c r="A725" s="8">
        <v>4320</v>
      </c>
      <c r="B725" s="8" t="s">
        <v>307</v>
      </c>
      <c r="C725" s="20">
        <v>45292</v>
      </c>
      <c r="D725" s="20" t="s">
        <v>72</v>
      </c>
      <c r="E725" s="21">
        <v>15.99</v>
      </c>
    </row>
    <row r="726" spans="1:5">
      <c r="A726" s="8">
        <v>3558</v>
      </c>
      <c r="B726" s="8" t="s">
        <v>640</v>
      </c>
      <c r="C726" s="20">
        <v>45292</v>
      </c>
      <c r="D726" s="20" t="s">
        <v>129</v>
      </c>
      <c r="E726" s="21">
        <v>15.99</v>
      </c>
    </row>
    <row r="727" spans="1:5">
      <c r="A727" s="8">
        <v>8581</v>
      </c>
      <c r="B727" s="8" t="s">
        <v>196</v>
      </c>
      <c r="C727" s="20" t="s">
        <v>641</v>
      </c>
      <c r="D727" s="20" t="s">
        <v>84</v>
      </c>
      <c r="E727" s="21">
        <v>11.99</v>
      </c>
    </row>
    <row r="728" spans="1:5">
      <c r="A728" s="8">
        <v>5827</v>
      </c>
      <c r="B728" s="8" t="s">
        <v>224</v>
      </c>
      <c r="C728" s="20" t="s">
        <v>642</v>
      </c>
      <c r="D728" s="20">
        <v>45334</v>
      </c>
      <c r="E728" s="21">
        <v>15.99</v>
      </c>
    </row>
    <row r="729" spans="1:5">
      <c r="A729" s="8">
        <v>6929</v>
      </c>
      <c r="B729" s="8" t="s">
        <v>114</v>
      </c>
      <c r="C729" s="20" t="s">
        <v>418</v>
      </c>
      <c r="D729" s="20">
        <v>45424</v>
      </c>
      <c r="E729" s="21">
        <v>11.99</v>
      </c>
    </row>
    <row r="730" spans="1:5">
      <c r="A730" s="8">
        <v>9179</v>
      </c>
      <c r="B730" s="8" t="s">
        <v>643</v>
      </c>
      <c r="C730" s="20">
        <v>45608</v>
      </c>
      <c r="D730" s="20" t="s">
        <v>99</v>
      </c>
      <c r="E730" s="21">
        <v>15.99</v>
      </c>
    </row>
    <row r="731" spans="1:5">
      <c r="A731" s="8">
        <v>7580</v>
      </c>
      <c r="B731" s="8" t="s">
        <v>52</v>
      </c>
      <c r="C731" s="20">
        <v>45140</v>
      </c>
      <c r="D731" s="20" t="s">
        <v>134</v>
      </c>
      <c r="E731" s="21">
        <v>7.99</v>
      </c>
    </row>
    <row r="732" spans="1:5">
      <c r="A732" s="8">
        <v>3858</v>
      </c>
      <c r="B732" s="8" t="s">
        <v>179</v>
      </c>
      <c r="C732" s="20" t="s">
        <v>644</v>
      </c>
      <c r="D732" s="20">
        <v>45424</v>
      </c>
      <c r="E732" s="21">
        <v>15.99</v>
      </c>
    </row>
    <row r="733" spans="1:5">
      <c r="A733" s="8">
        <v>8627</v>
      </c>
      <c r="B733" s="8" t="s">
        <v>238</v>
      </c>
      <c r="C733" s="20" t="s">
        <v>144</v>
      </c>
      <c r="D733" s="20">
        <v>45303</v>
      </c>
      <c r="E733" s="21">
        <v>11.99</v>
      </c>
    </row>
    <row r="734" spans="1:5">
      <c r="A734" s="8">
        <v>7552</v>
      </c>
      <c r="B734" s="8" t="s">
        <v>645</v>
      </c>
      <c r="C734" s="20">
        <v>45510</v>
      </c>
      <c r="D734" s="20">
        <v>45394</v>
      </c>
      <c r="E734" s="21">
        <v>15.99</v>
      </c>
    </row>
    <row r="735" spans="1:5">
      <c r="A735" s="8">
        <v>6020</v>
      </c>
      <c r="B735" s="8" t="s">
        <v>640</v>
      </c>
      <c r="C735" s="20" t="s">
        <v>646</v>
      </c>
      <c r="D735" s="20" t="s">
        <v>134</v>
      </c>
      <c r="E735" s="21">
        <v>11.99</v>
      </c>
    </row>
    <row r="736" spans="1:5">
      <c r="A736" s="8">
        <v>9408</v>
      </c>
      <c r="B736" s="8" t="s">
        <v>291</v>
      </c>
      <c r="C736" s="20">
        <v>45265</v>
      </c>
      <c r="D736" s="20" t="s">
        <v>214</v>
      </c>
      <c r="E736" s="21">
        <v>7.99</v>
      </c>
    </row>
    <row r="737" spans="1:5">
      <c r="A737" s="8">
        <v>9990</v>
      </c>
      <c r="B737" s="8" t="s">
        <v>647</v>
      </c>
      <c r="C737" s="20" t="s">
        <v>479</v>
      </c>
      <c r="D737" s="20">
        <v>45424</v>
      </c>
      <c r="E737" s="21">
        <v>15.99</v>
      </c>
    </row>
    <row r="738" spans="1:5">
      <c r="A738" s="8">
        <v>3687</v>
      </c>
      <c r="B738" s="8" t="s">
        <v>307</v>
      </c>
      <c r="C738" s="20">
        <v>45027</v>
      </c>
      <c r="D738" s="20" t="s">
        <v>103</v>
      </c>
      <c r="E738" s="21">
        <v>15.99</v>
      </c>
    </row>
    <row r="739" spans="1:5">
      <c r="A739" s="8">
        <v>4540</v>
      </c>
      <c r="B739" s="8" t="s">
        <v>648</v>
      </c>
      <c r="C739" s="20">
        <v>45116</v>
      </c>
      <c r="D739" s="20" t="s">
        <v>87</v>
      </c>
      <c r="E739" s="21">
        <v>15.99</v>
      </c>
    </row>
    <row r="740" spans="1:5">
      <c r="A740" s="8">
        <v>8264</v>
      </c>
      <c r="B740" s="8" t="s">
        <v>349</v>
      </c>
      <c r="C740" s="20" t="s">
        <v>649</v>
      </c>
      <c r="D740" s="20" t="s">
        <v>82</v>
      </c>
      <c r="E740" s="21">
        <v>15.99</v>
      </c>
    </row>
    <row r="741" spans="1:5">
      <c r="A741" s="8">
        <v>7448</v>
      </c>
      <c r="B741" s="8" t="s">
        <v>88</v>
      </c>
      <c r="C741" s="20">
        <v>45203</v>
      </c>
      <c r="D741" s="20">
        <v>45485</v>
      </c>
      <c r="E741" s="21">
        <v>7.99</v>
      </c>
    </row>
    <row r="742" spans="1:5">
      <c r="A742" s="8">
        <v>1123</v>
      </c>
      <c r="B742" s="8" t="s">
        <v>650</v>
      </c>
      <c r="C742" s="20" t="s">
        <v>651</v>
      </c>
      <c r="D742" s="20" t="s">
        <v>134</v>
      </c>
      <c r="E742" s="21">
        <v>7.99</v>
      </c>
    </row>
    <row r="743" spans="1:5">
      <c r="A743" s="8">
        <v>4103</v>
      </c>
      <c r="B743" s="8" t="s">
        <v>257</v>
      </c>
      <c r="C743" s="20" t="s">
        <v>235</v>
      </c>
      <c r="D743" s="20" t="s">
        <v>87</v>
      </c>
      <c r="E743" s="21">
        <v>11.99</v>
      </c>
    </row>
    <row r="744" spans="1:5">
      <c r="A744" s="8">
        <v>2904</v>
      </c>
      <c r="B744" s="8" t="s">
        <v>458</v>
      </c>
      <c r="C744" s="20" t="s">
        <v>632</v>
      </c>
      <c r="D744" s="20">
        <v>45303</v>
      </c>
      <c r="E744" s="21">
        <v>7.99</v>
      </c>
    </row>
    <row r="745" spans="1:5">
      <c r="A745" s="8">
        <v>5634</v>
      </c>
      <c r="B745" s="8" t="s">
        <v>176</v>
      </c>
      <c r="C745" s="20">
        <v>45447</v>
      </c>
      <c r="D745" s="20" t="s">
        <v>156</v>
      </c>
      <c r="E745" s="21">
        <v>7.99</v>
      </c>
    </row>
    <row r="746" spans="1:5">
      <c r="A746" s="8">
        <v>5360</v>
      </c>
      <c r="B746" s="8" t="s">
        <v>147</v>
      </c>
      <c r="C746" s="20" t="s">
        <v>616</v>
      </c>
      <c r="D746" s="20">
        <v>45334</v>
      </c>
      <c r="E746" s="21">
        <v>7.99</v>
      </c>
    </row>
    <row r="747" spans="1:5">
      <c r="A747" s="8">
        <v>8571</v>
      </c>
      <c r="B747" s="8" t="s">
        <v>345</v>
      </c>
      <c r="C747" s="20" t="s">
        <v>652</v>
      </c>
      <c r="D747" s="20" t="s">
        <v>35</v>
      </c>
      <c r="E747" s="21">
        <v>15.99</v>
      </c>
    </row>
    <row r="748" spans="1:5">
      <c r="A748" s="8">
        <v>9439</v>
      </c>
      <c r="B748" s="8" t="s">
        <v>653</v>
      </c>
      <c r="C748" s="20" t="s">
        <v>654</v>
      </c>
      <c r="D748" s="20">
        <v>45608</v>
      </c>
      <c r="E748" s="21">
        <v>11.99</v>
      </c>
    </row>
    <row r="749" spans="1:5">
      <c r="A749" s="8">
        <v>8356</v>
      </c>
      <c r="B749" s="8" t="s">
        <v>546</v>
      </c>
      <c r="C749" s="20" t="s">
        <v>655</v>
      </c>
      <c r="D749" s="20" t="s">
        <v>42</v>
      </c>
      <c r="E749" s="21">
        <v>15.99</v>
      </c>
    </row>
    <row r="750" spans="1:5">
      <c r="A750" s="8">
        <v>2039</v>
      </c>
      <c r="B750" s="8" t="s">
        <v>656</v>
      </c>
      <c r="C750" s="20">
        <v>44958</v>
      </c>
      <c r="D750" s="20">
        <v>45334</v>
      </c>
      <c r="E750" s="21">
        <v>15.99</v>
      </c>
    </row>
    <row r="751" spans="1:5">
      <c r="A751" s="8">
        <v>2613</v>
      </c>
      <c r="B751" s="8" t="s">
        <v>657</v>
      </c>
      <c r="C751" s="20">
        <v>45109</v>
      </c>
      <c r="D751" s="20" t="s">
        <v>129</v>
      </c>
      <c r="E751" s="21">
        <v>7.99</v>
      </c>
    </row>
    <row r="752" spans="1:5">
      <c r="A752" s="8">
        <v>8226</v>
      </c>
      <c r="B752" s="8" t="s">
        <v>138</v>
      </c>
      <c r="C752" s="20">
        <v>45327</v>
      </c>
      <c r="D752" s="20" t="s">
        <v>109</v>
      </c>
      <c r="E752" s="21">
        <v>7.99</v>
      </c>
    </row>
    <row r="753" spans="1:5">
      <c r="A753" s="8">
        <v>1425</v>
      </c>
      <c r="B753" s="8" t="s">
        <v>658</v>
      </c>
      <c r="C753" s="20">
        <v>45331</v>
      </c>
      <c r="D753" s="20" t="s">
        <v>87</v>
      </c>
      <c r="E753" s="21">
        <v>7.99</v>
      </c>
    </row>
    <row r="754" spans="1:5">
      <c r="A754" s="8">
        <v>4479</v>
      </c>
      <c r="B754" s="8" t="s">
        <v>23</v>
      </c>
      <c r="C754" s="20">
        <v>45454</v>
      </c>
      <c r="D754" s="20">
        <v>45455</v>
      </c>
      <c r="E754" s="21">
        <v>15.99</v>
      </c>
    </row>
    <row r="755" spans="1:5">
      <c r="A755" s="8">
        <v>3393</v>
      </c>
      <c r="B755" s="8" t="s">
        <v>101</v>
      </c>
      <c r="C755" s="20" t="s">
        <v>320</v>
      </c>
      <c r="D755" s="20" t="s">
        <v>105</v>
      </c>
      <c r="E755" s="21">
        <v>7.99</v>
      </c>
    </row>
    <row r="756" spans="1:5">
      <c r="A756" s="8">
        <v>8528</v>
      </c>
      <c r="B756" s="8" t="s">
        <v>283</v>
      </c>
      <c r="C756" s="20" t="s">
        <v>317</v>
      </c>
      <c r="D756" s="20" t="s">
        <v>168</v>
      </c>
      <c r="E756" s="21">
        <v>7.99</v>
      </c>
    </row>
    <row r="757" spans="1:5">
      <c r="A757" s="8">
        <v>9372</v>
      </c>
      <c r="B757" s="8" t="s">
        <v>138</v>
      </c>
      <c r="C757" s="20" t="s">
        <v>243</v>
      </c>
      <c r="D757" s="20">
        <v>45394</v>
      </c>
      <c r="E757" s="21">
        <v>7.99</v>
      </c>
    </row>
    <row r="758" spans="1:5">
      <c r="A758" s="8">
        <v>5469</v>
      </c>
      <c r="B758" s="8" t="s">
        <v>196</v>
      </c>
      <c r="C758" s="20" t="s">
        <v>487</v>
      </c>
      <c r="D758" s="20">
        <v>45424</v>
      </c>
      <c r="E758" s="21">
        <v>15.99</v>
      </c>
    </row>
    <row r="759" spans="1:5">
      <c r="A759" s="8">
        <v>2603</v>
      </c>
      <c r="B759" s="8" t="s">
        <v>659</v>
      </c>
      <c r="C759" s="20" t="s">
        <v>95</v>
      </c>
      <c r="D759" s="20" t="s">
        <v>84</v>
      </c>
      <c r="E759" s="21">
        <v>11.99</v>
      </c>
    </row>
    <row r="760" spans="1:5">
      <c r="A760" s="8">
        <v>5306</v>
      </c>
      <c r="B760" s="8" t="s">
        <v>369</v>
      </c>
      <c r="C760" s="20">
        <v>45208</v>
      </c>
      <c r="D760" s="20">
        <v>45547</v>
      </c>
      <c r="E760" s="21">
        <v>15.99</v>
      </c>
    </row>
    <row r="761" spans="1:5">
      <c r="A761" s="8">
        <v>7869</v>
      </c>
      <c r="B761" s="8" t="s">
        <v>283</v>
      </c>
      <c r="C761" s="20" t="s">
        <v>660</v>
      </c>
      <c r="D761" s="20">
        <v>45303</v>
      </c>
      <c r="E761" s="21">
        <v>15.99</v>
      </c>
    </row>
    <row r="762" spans="1:5">
      <c r="A762" s="8">
        <v>1699</v>
      </c>
      <c r="B762" s="8" t="s">
        <v>224</v>
      </c>
      <c r="C762" s="20" t="s">
        <v>570</v>
      </c>
      <c r="D762" s="20">
        <v>45608</v>
      </c>
      <c r="E762" s="21">
        <v>15.99</v>
      </c>
    </row>
    <row r="763" spans="1:5">
      <c r="A763" s="8">
        <v>3214</v>
      </c>
      <c r="B763" s="8" t="s">
        <v>114</v>
      </c>
      <c r="C763" s="20" t="s">
        <v>661</v>
      </c>
      <c r="D763" s="20">
        <v>45638</v>
      </c>
      <c r="E763" s="21">
        <v>15.99</v>
      </c>
    </row>
    <row r="764" spans="1:5">
      <c r="A764" s="8">
        <v>1050</v>
      </c>
      <c r="B764" s="8" t="s">
        <v>52</v>
      </c>
      <c r="C764" s="20" t="s">
        <v>447</v>
      </c>
      <c r="D764" s="20" t="s">
        <v>168</v>
      </c>
      <c r="E764" s="21">
        <v>11.99</v>
      </c>
    </row>
    <row r="765" spans="1:5">
      <c r="A765" s="8">
        <v>3325</v>
      </c>
      <c r="B765" s="8" t="s">
        <v>104</v>
      </c>
      <c r="C765" s="20">
        <v>45575</v>
      </c>
      <c r="D765" s="20" t="s">
        <v>90</v>
      </c>
      <c r="E765" s="21">
        <v>15.99</v>
      </c>
    </row>
    <row r="766" spans="1:5">
      <c r="A766" s="8">
        <v>1970</v>
      </c>
      <c r="B766" s="8" t="s">
        <v>157</v>
      </c>
      <c r="C766" s="20" t="s">
        <v>662</v>
      </c>
      <c r="D766" s="20">
        <v>45334</v>
      </c>
      <c r="E766" s="21">
        <v>15.99</v>
      </c>
    </row>
    <row r="767" spans="1:5">
      <c r="A767" s="8">
        <v>6272</v>
      </c>
      <c r="B767" s="8" t="s">
        <v>558</v>
      </c>
      <c r="C767" s="20" t="s">
        <v>663</v>
      </c>
      <c r="D767" s="20" t="s">
        <v>103</v>
      </c>
      <c r="E767" s="21">
        <v>11.99</v>
      </c>
    </row>
    <row r="768" spans="1:5">
      <c r="A768" s="8">
        <v>4745</v>
      </c>
      <c r="B768" s="8" t="s">
        <v>98</v>
      </c>
      <c r="C768" s="20">
        <v>44992</v>
      </c>
      <c r="D768" s="20" t="s">
        <v>90</v>
      </c>
      <c r="E768" s="21">
        <v>7.99</v>
      </c>
    </row>
    <row r="769" spans="1:5">
      <c r="A769" s="8">
        <v>8867</v>
      </c>
      <c r="B769" s="8" t="s">
        <v>223</v>
      </c>
      <c r="C769" s="20">
        <v>44991</v>
      </c>
      <c r="D769" s="20" t="s">
        <v>134</v>
      </c>
      <c r="E769" s="21">
        <v>15.99</v>
      </c>
    </row>
    <row r="770" spans="1:5">
      <c r="A770" s="8">
        <v>4901</v>
      </c>
      <c r="B770" s="8" t="s">
        <v>226</v>
      </c>
      <c r="C770" s="20">
        <v>45261</v>
      </c>
      <c r="D770" s="20" t="s">
        <v>103</v>
      </c>
      <c r="E770" s="21">
        <v>7.99</v>
      </c>
    </row>
    <row r="771" spans="1:5">
      <c r="A771" s="8">
        <v>9575</v>
      </c>
      <c r="B771" s="8" t="s">
        <v>224</v>
      </c>
      <c r="C771" s="20" t="s">
        <v>308</v>
      </c>
      <c r="D771" s="20" t="s">
        <v>25</v>
      </c>
      <c r="E771" s="21">
        <v>11.99</v>
      </c>
    </row>
    <row r="772" spans="1:5">
      <c r="A772" s="8">
        <v>4471</v>
      </c>
      <c r="B772" s="8" t="s">
        <v>399</v>
      </c>
      <c r="C772" s="20" t="s">
        <v>568</v>
      </c>
      <c r="D772" s="20">
        <v>45608</v>
      </c>
      <c r="E772" s="21">
        <v>11.99</v>
      </c>
    </row>
    <row r="773" spans="1:5">
      <c r="A773" s="8">
        <v>1385</v>
      </c>
      <c r="B773" s="8" t="s">
        <v>664</v>
      </c>
      <c r="C773" s="20">
        <v>45361</v>
      </c>
      <c r="D773" s="20">
        <v>45577</v>
      </c>
      <c r="E773" s="21">
        <v>11.99</v>
      </c>
    </row>
    <row r="774" spans="1:5">
      <c r="A774" s="8">
        <v>4302</v>
      </c>
      <c r="B774" s="8" t="s">
        <v>164</v>
      </c>
      <c r="C774" s="20" t="s">
        <v>665</v>
      </c>
      <c r="D774" s="20">
        <v>45577</v>
      </c>
      <c r="E774" s="21">
        <v>11.99</v>
      </c>
    </row>
    <row r="775" spans="1:5">
      <c r="A775" s="8">
        <v>4738</v>
      </c>
      <c r="B775" s="8" t="s">
        <v>666</v>
      </c>
      <c r="C775" s="20">
        <v>45057</v>
      </c>
      <c r="D775" s="20">
        <v>45394</v>
      </c>
      <c r="E775" s="21">
        <v>15.99</v>
      </c>
    </row>
    <row r="776" spans="1:5">
      <c r="A776" s="8">
        <v>2441</v>
      </c>
      <c r="B776" s="8" t="s">
        <v>283</v>
      </c>
      <c r="C776" s="20" t="s">
        <v>652</v>
      </c>
      <c r="D776" s="20" t="s">
        <v>42</v>
      </c>
      <c r="E776" s="21">
        <v>11.99</v>
      </c>
    </row>
    <row r="777" spans="1:5">
      <c r="A777" s="8">
        <v>6546</v>
      </c>
      <c r="B777" s="8" t="s">
        <v>667</v>
      </c>
      <c r="C777" s="20" t="s">
        <v>370</v>
      </c>
      <c r="D777" s="20">
        <v>45516</v>
      </c>
      <c r="E777" s="21">
        <v>15.99</v>
      </c>
    </row>
    <row r="778" spans="1:5">
      <c r="A778" s="8">
        <v>5459</v>
      </c>
      <c r="B778" s="8" t="s">
        <v>344</v>
      </c>
      <c r="C778" s="20" t="s">
        <v>447</v>
      </c>
      <c r="D778" s="20" t="s">
        <v>25</v>
      </c>
      <c r="E778" s="21">
        <v>15.99</v>
      </c>
    </row>
    <row r="779" spans="1:5">
      <c r="A779" s="8">
        <v>7051</v>
      </c>
      <c r="B779" s="8" t="s">
        <v>23</v>
      </c>
      <c r="C779" s="20" t="s">
        <v>333</v>
      </c>
      <c r="D779" s="20" t="s">
        <v>129</v>
      </c>
      <c r="E779" s="21">
        <v>7.99</v>
      </c>
    </row>
    <row r="780" spans="1:5">
      <c r="A780" s="8">
        <v>6671</v>
      </c>
      <c r="B780" s="8" t="s">
        <v>41</v>
      </c>
      <c r="C780" s="20" t="s">
        <v>668</v>
      </c>
      <c r="D780" s="20">
        <v>45608</v>
      </c>
      <c r="E780" s="21">
        <v>15.99</v>
      </c>
    </row>
    <row r="781" spans="1:5">
      <c r="A781" s="8">
        <v>6013</v>
      </c>
      <c r="B781" s="8" t="s">
        <v>116</v>
      </c>
      <c r="C781" s="20" t="s">
        <v>669</v>
      </c>
      <c r="D781" s="20">
        <v>45363</v>
      </c>
      <c r="E781" s="21">
        <v>15.99</v>
      </c>
    </row>
    <row r="782" spans="1:5">
      <c r="A782" s="8">
        <v>9996</v>
      </c>
      <c r="B782" s="8" t="s">
        <v>521</v>
      </c>
      <c r="C782" s="20" t="s">
        <v>451</v>
      </c>
      <c r="D782" s="20">
        <v>45547</v>
      </c>
      <c r="E782" s="21">
        <v>7.99</v>
      </c>
    </row>
    <row r="783" spans="1:5">
      <c r="A783" s="8">
        <v>4851</v>
      </c>
      <c r="B783" s="8" t="s">
        <v>186</v>
      </c>
      <c r="C783" s="20">
        <v>45202</v>
      </c>
      <c r="D783" s="20" t="s">
        <v>129</v>
      </c>
      <c r="E783" s="21">
        <v>15.99</v>
      </c>
    </row>
    <row r="784" spans="1:5">
      <c r="A784" s="8">
        <v>2498</v>
      </c>
      <c r="B784" s="8" t="s">
        <v>441</v>
      </c>
      <c r="C784" s="20">
        <v>45270</v>
      </c>
      <c r="D784" s="20">
        <v>45485</v>
      </c>
      <c r="E784" s="21">
        <v>11.99</v>
      </c>
    </row>
    <row r="785" spans="1:5">
      <c r="A785" s="8">
        <v>6208</v>
      </c>
      <c r="B785" s="8" t="s">
        <v>253</v>
      </c>
      <c r="C785" s="20" t="s">
        <v>670</v>
      </c>
      <c r="D785" s="20" t="s">
        <v>72</v>
      </c>
      <c r="E785" s="21">
        <v>7.99</v>
      </c>
    </row>
    <row r="786" spans="1:5">
      <c r="A786" s="8">
        <v>7171</v>
      </c>
      <c r="B786" s="8" t="s">
        <v>70</v>
      </c>
      <c r="C786" s="20" t="s">
        <v>121</v>
      </c>
      <c r="D786" s="20" t="s">
        <v>214</v>
      </c>
      <c r="E786" s="21">
        <v>11.99</v>
      </c>
    </row>
    <row r="787" spans="1:5">
      <c r="A787" s="8">
        <v>7667</v>
      </c>
      <c r="B787" s="8" t="s">
        <v>666</v>
      </c>
      <c r="C787" s="20">
        <v>45047</v>
      </c>
      <c r="D787" s="20" t="s">
        <v>72</v>
      </c>
      <c r="E787" s="21">
        <v>15.99</v>
      </c>
    </row>
    <row r="788" spans="1:5">
      <c r="A788" s="8">
        <v>4912</v>
      </c>
      <c r="B788" s="8" t="s">
        <v>364</v>
      </c>
      <c r="C788" s="20">
        <v>45026</v>
      </c>
      <c r="D788" s="20">
        <v>45303</v>
      </c>
      <c r="E788" s="21">
        <v>15.99</v>
      </c>
    </row>
    <row r="789" spans="1:5">
      <c r="A789" s="8">
        <v>7975</v>
      </c>
      <c r="B789" s="8" t="s">
        <v>671</v>
      </c>
      <c r="C789" s="20">
        <v>44995</v>
      </c>
      <c r="D789" s="20" t="s">
        <v>82</v>
      </c>
      <c r="E789" s="21">
        <v>15.99</v>
      </c>
    </row>
    <row r="790" spans="1:5">
      <c r="A790" s="8">
        <v>6804</v>
      </c>
      <c r="B790" s="8" t="s">
        <v>657</v>
      </c>
      <c r="C790" s="20">
        <v>45232</v>
      </c>
      <c r="D790" s="20">
        <v>45577</v>
      </c>
      <c r="E790" s="21">
        <v>15.99</v>
      </c>
    </row>
    <row r="791" spans="1:5">
      <c r="A791" s="8">
        <v>3877</v>
      </c>
      <c r="B791" s="8" t="s">
        <v>667</v>
      </c>
      <c r="C791" s="20" t="s">
        <v>577</v>
      </c>
      <c r="D791" s="20" t="s">
        <v>156</v>
      </c>
      <c r="E791" s="21">
        <v>11.99</v>
      </c>
    </row>
    <row r="792" spans="1:5">
      <c r="A792" s="8">
        <v>8768</v>
      </c>
      <c r="B792" s="8" t="s">
        <v>281</v>
      </c>
      <c r="C792" s="20">
        <v>45546</v>
      </c>
      <c r="D792" s="20">
        <v>45303</v>
      </c>
      <c r="E792" s="21">
        <v>15.99</v>
      </c>
    </row>
    <row r="793" spans="1:5">
      <c r="A793" s="8">
        <v>1420</v>
      </c>
      <c r="B793" s="8" t="s">
        <v>197</v>
      </c>
      <c r="C793" s="20">
        <v>45361</v>
      </c>
      <c r="D793" s="20">
        <v>45424</v>
      </c>
      <c r="E793" s="21">
        <v>7.99</v>
      </c>
    </row>
    <row r="794" spans="1:5">
      <c r="A794" s="8">
        <v>2306</v>
      </c>
      <c r="B794" s="8" t="s">
        <v>257</v>
      </c>
      <c r="C794" s="20">
        <v>45235</v>
      </c>
      <c r="D794" s="20">
        <v>45303</v>
      </c>
      <c r="E794" s="21">
        <v>11.99</v>
      </c>
    </row>
    <row r="795" spans="1:5">
      <c r="A795" s="8">
        <v>2079</v>
      </c>
      <c r="B795" s="8" t="s">
        <v>387</v>
      </c>
      <c r="C795" s="20" t="s">
        <v>672</v>
      </c>
      <c r="D795" s="20">
        <v>45334</v>
      </c>
      <c r="E795" s="21">
        <v>11.99</v>
      </c>
    </row>
    <row r="796" spans="1:5">
      <c r="A796" s="8">
        <v>3554</v>
      </c>
      <c r="B796" s="8" t="s">
        <v>391</v>
      </c>
      <c r="C796" s="20" t="s">
        <v>575</v>
      </c>
      <c r="D796" s="20">
        <v>45394</v>
      </c>
      <c r="E796" s="21">
        <v>7.99</v>
      </c>
    </row>
    <row r="797" spans="1:5">
      <c r="A797" s="8">
        <v>7616</v>
      </c>
      <c r="B797" s="8" t="s">
        <v>280</v>
      </c>
      <c r="C797" s="20">
        <v>45205</v>
      </c>
      <c r="D797" s="20">
        <v>45608</v>
      </c>
      <c r="E797" s="21">
        <v>15.99</v>
      </c>
    </row>
    <row r="798" spans="1:5">
      <c r="A798" s="8">
        <v>5650</v>
      </c>
      <c r="B798" s="8" t="s">
        <v>441</v>
      </c>
      <c r="C798" s="20" t="s">
        <v>673</v>
      </c>
      <c r="D798" s="20">
        <v>45516</v>
      </c>
      <c r="E798" s="21">
        <v>15.99</v>
      </c>
    </row>
    <row r="799" spans="1:5">
      <c r="A799" s="8">
        <v>9385</v>
      </c>
      <c r="B799" s="8" t="s">
        <v>202</v>
      </c>
      <c r="C799" s="20" t="s">
        <v>674</v>
      </c>
      <c r="D799" s="20">
        <v>45363</v>
      </c>
      <c r="E799" s="21">
        <v>7.99</v>
      </c>
    </row>
    <row r="800" spans="1:5">
      <c r="A800" s="8">
        <v>2482</v>
      </c>
      <c r="B800" s="8" t="s">
        <v>197</v>
      </c>
      <c r="C800" s="20" t="s">
        <v>154</v>
      </c>
      <c r="D800" s="20" t="s">
        <v>168</v>
      </c>
      <c r="E800" s="21">
        <v>7.99</v>
      </c>
    </row>
    <row r="801" spans="1:5">
      <c r="A801" s="8">
        <v>9017</v>
      </c>
      <c r="B801" s="8" t="s">
        <v>510</v>
      </c>
      <c r="C801" s="20" t="s">
        <v>661</v>
      </c>
      <c r="D801" s="20">
        <v>45608</v>
      </c>
      <c r="E801" s="21">
        <v>11.99</v>
      </c>
    </row>
    <row r="802" spans="1:5">
      <c r="A802" s="8">
        <v>7001</v>
      </c>
      <c r="B802" s="8" t="s">
        <v>164</v>
      </c>
      <c r="C802" s="20">
        <v>45146</v>
      </c>
      <c r="D802" s="20" t="s">
        <v>90</v>
      </c>
      <c r="E802" s="21">
        <v>11.99</v>
      </c>
    </row>
    <row r="803" spans="1:5">
      <c r="A803" s="8">
        <v>2942</v>
      </c>
      <c r="B803" s="8" t="s">
        <v>675</v>
      </c>
      <c r="C803" s="20">
        <v>45171</v>
      </c>
      <c r="D803" s="20" t="s">
        <v>90</v>
      </c>
      <c r="E803" s="21">
        <v>11.99</v>
      </c>
    </row>
    <row r="804" spans="1:5">
      <c r="A804" s="8">
        <v>8833</v>
      </c>
      <c r="B804" s="8" t="s">
        <v>91</v>
      </c>
      <c r="C804" s="20">
        <v>45479</v>
      </c>
      <c r="D804" s="20">
        <v>45608</v>
      </c>
      <c r="E804" s="21">
        <v>7.99</v>
      </c>
    </row>
    <row r="805" spans="1:5">
      <c r="A805" s="8">
        <v>8079</v>
      </c>
      <c r="B805" s="8" t="s">
        <v>88</v>
      </c>
      <c r="C805" s="20">
        <v>45114</v>
      </c>
      <c r="D805" s="20" t="s">
        <v>25</v>
      </c>
      <c r="E805" s="21">
        <v>7.99</v>
      </c>
    </row>
    <row r="806" spans="1:5">
      <c r="A806" s="8">
        <v>3797</v>
      </c>
      <c r="B806" s="8" t="s">
        <v>88</v>
      </c>
      <c r="C806" s="20">
        <v>45388</v>
      </c>
      <c r="D806" s="20" t="s">
        <v>72</v>
      </c>
      <c r="E806" s="21">
        <v>11.99</v>
      </c>
    </row>
    <row r="807" spans="1:5">
      <c r="A807" s="8">
        <v>7268</v>
      </c>
      <c r="B807" s="8" t="s">
        <v>676</v>
      </c>
      <c r="C807" s="20">
        <v>45143</v>
      </c>
      <c r="D807" s="20" t="s">
        <v>72</v>
      </c>
      <c r="E807" s="21">
        <v>15.99</v>
      </c>
    </row>
    <row r="808" spans="1:5">
      <c r="A808" s="8">
        <v>9803</v>
      </c>
      <c r="B808" s="8" t="s">
        <v>405</v>
      </c>
      <c r="C808" s="20" t="s">
        <v>661</v>
      </c>
      <c r="D808" s="20" t="s">
        <v>109</v>
      </c>
      <c r="E808" s="21">
        <v>11.99</v>
      </c>
    </row>
    <row r="809" spans="1:5">
      <c r="A809" s="8">
        <v>2165</v>
      </c>
      <c r="B809" s="8" t="s">
        <v>677</v>
      </c>
      <c r="C809" s="20" t="s">
        <v>523</v>
      </c>
      <c r="D809" s="20" t="s">
        <v>168</v>
      </c>
      <c r="E809" s="21">
        <v>15.99</v>
      </c>
    </row>
    <row r="810" spans="1:5">
      <c r="A810" s="8">
        <v>1528</v>
      </c>
      <c r="B810" s="8" t="s">
        <v>365</v>
      </c>
      <c r="C810" s="20">
        <v>45200</v>
      </c>
      <c r="D810" s="20" t="s">
        <v>54</v>
      </c>
      <c r="E810" s="21">
        <v>11.99</v>
      </c>
    </row>
    <row r="811" spans="1:5">
      <c r="A811" s="8">
        <v>5978</v>
      </c>
      <c r="B811" s="8" t="s">
        <v>393</v>
      </c>
      <c r="C811" s="20">
        <v>45264</v>
      </c>
      <c r="D811" s="20">
        <v>45547</v>
      </c>
      <c r="E811" s="21">
        <v>11.99</v>
      </c>
    </row>
    <row r="812" spans="1:5">
      <c r="A812" s="8">
        <v>5967</v>
      </c>
      <c r="B812" s="8" t="s">
        <v>382</v>
      </c>
      <c r="C812" s="20">
        <v>45265</v>
      </c>
      <c r="D812" s="20" t="s">
        <v>42</v>
      </c>
      <c r="E812" s="21">
        <v>11.99</v>
      </c>
    </row>
    <row r="813" spans="1:5">
      <c r="A813" s="8">
        <v>4254</v>
      </c>
      <c r="B813" s="8" t="s">
        <v>153</v>
      </c>
      <c r="C813" s="20" t="s">
        <v>189</v>
      </c>
      <c r="D813" s="20" t="s">
        <v>103</v>
      </c>
      <c r="E813" s="21">
        <v>11.99</v>
      </c>
    </row>
    <row r="814" spans="1:5">
      <c r="A814" s="8">
        <v>2186</v>
      </c>
      <c r="B814" s="8" t="s">
        <v>473</v>
      </c>
      <c r="C814" s="20" t="s">
        <v>99</v>
      </c>
      <c r="D814" s="20" t="s">
        <v>103</v>
      </c>
      <c r="E814" s="21">
        <v>7.99</v>
      </c>
    </row>
    <row r="815" spans="1:5">
      <c r="A815" s="8">
        <v>7644</v>
      </c>
      <c r="B815" s="8" t="s">
        <v>678</v>
      </c>
      <c r="C815" s="20">
        <v>45516</v>
      </c>
      <c r="D815" s="20" t="s">
        <v>35</v>
      </c>
      <c r="E815" s="21">
        <v>15.99</v>
      </c>
    </row>
    <row r="816" spans="1:5">
      <c r="A816" s="8">
        <v>5897</v>
      </c>
      <c r="B816" s="8" t="s">
        <v>296</v>
      </c>
      <c r="C816" s="20">
        <v>45269</v>
      </c>
      <c r="D816" s="20">
        <v>45455</v>
      </c>
      <c r="E816" s="21">
        <v>7.99</v>
      </c>
    </row>
    <row r="817" spans="1:5">
      <c r="A817" s="8">
        <v>7465</v>
      </c>
      <c r="B817" s="8" t="s">
        <v>618</v>
      </c>
      <c r="C817" s="20">
        <v>45607</v>
      </c>
      <c r="D817" s="20">
        <v>45303</v>
      </c>
      <c r="E817" s="21">
        <v>11.99</v>
      </c>
    </row>
    <row r="818" spans="1:5">
      <c r="A818" s="8">
        <v>3724</v>
      </c>
      <c r="B818" s="8" t="s">
        <v>118</v>
      </c>
      <c r="C818" s="20" t="s">
        <v>679</v>
      </c>
      <c r="D818" s="20">
        <v>45334</v>
      </c>
      <c r="E818" s="21">
        <v>7.99</v>
      </c>
    </row>
    <row r="819" spans="1:5">
      <c r="A819" s="8">
        <v>2914</v>
      </c>
      <c r="B819" s="8" t="s">
        <v>579</v>
      </c>
      <c r="C819" s="20">
        <v>45114</v>
      </c>
      <c r="D819" s="20" t="s">
        <v>42</v>
      </c>
      <c r="E819" s="21">
        <v>15.99</v>
      </c>
    </row>
    <row r="820" spans="1:5">
      <c r="A820" s="8">
        <v>4110</v>
      </c>
      <c r="B820" s="8" t="s">
        <v>212</v>
      </c>
      <c r="C820" s="20" t="s">
        <v>680</v>
      </c>
      <c r="D820" s="20" t="s">
        <v>214</v>
      </c>
      <c r="E820" s="21">
        <v>11.99</v>
      </c>
    </row>
    <row r="821" spans="1:5">
      <c r="A821" s="8">
        <v>6944</v>
      </c>
      <c r="B821" s="8" t="s">
        <v>244</v>
      </c>
      <c r="C821" s="20" t="s">
        <v>681</v>
      </c>
      <c r="D821" s="20" t="s">
        <v>90</v>
      </c>
      <c r="E821" s="21">
        <v>15.99</v>
      </c>
    </row>
    <row r="822" spans="1:5">
      <c r="A822" s="8">
        <v>3639</v>
      </c>
      <c r="B822" s="8" t="s">
        <v>682</v>
      </c>
      <c r="C822" s="20" t="s">
        <v>416</v>
      </c>
      <c r="D822" s="20" t="s">
        <v>82</v>
      </c>
      <c r="E822" s="21">
        <v>11.99</v>
      </c>
    </row>
    <row r="823" spans="1:5">
      <c r="A823" s="8">
        <v>8416</v>
      </c>
      <c r="B823" s="8" t="s">
        <v>404</v>
      </c>
      <c r="C823" s="20" t="s">
        <v>683</v>
      </c>
      <c r="D823" s="20" t="s">
        <v>168</v>
      </c>
      <c r="E823" s="21">
        <v>11.99</v>
      </c>
    </row>
    <row r="824" spans="1:5">
      <c r="A824" s="8">
        <v>7753</v>
      </c>
      <c r="B824" s="8" t="s">
        <v>179</v>
      </c>
      <c r="C824" s="20">
        <v>45547</v>
      </c>
      <c r="D824" s="20" t="s">
        <v>25</v>
      </c>
      <c r="E824" s="21">
        <v>7.99</v>
      </c>
    </row>
    <row r="825" spans="1:5">
      <c r="A825" s="8">
        <v>9528</v>
      </c>
      <c r="B825" s="8" t="s">
        <v>684</v>
      </c>
      <c r="C825" s="20" t="s">
        <v>665</v>
      </c>
      <c r="D825" s="20">
        <v>45638</v>
      </c>
      <c r="E825" s="21">
        <v>11.99</v>
      </c>
    </row>
    <row r="826" spans="1:5">
      <c r="A826" s="8">
        <v>2960</v>
      </c>
      <c r="B826" s="8" t="s">
        <v>153</v>
      </c>
      <c r="C826" s="20">
        <v>44997</v>
      </c>
      <c r="D826" s="20">
        <v>45547</v>
      </c>
      <c r="E826" s="21">
        <v>11.99</v>
      </c>
    </row>
    <row r="827" spans="1:5">
      <c r="A827" s="8">
        <v>1090</v>
      </c>
      <c r="B827" s="8" t="s">
        <v>628</v>
      </c>
      <c r="C827" s="20" t="s">
        <v>426</v>
      </c>
      <c r="D827" s="20" t="s">
        <v>168</v>
      </c>
      <c r="E827" s="21">
        <v>15.99</v>
      </c>
    </row>
    <row r="828" spans="1:5">
      <c r="A828" s="8">
        <v>2410</v>
      </c>
      <c r="B828" s="8" t="s">
        <v>88</v>
      </c>
      <c r="C828" s="20">
        <v>45608</v>
      </c>
      <c r="D828" s="20">
        <v>45516</v>
      </c>
      <c r="E828" s="21">
        <v>11.99</v>
      </c>
    </row>
    <row r="829" spans="1:5">
      <c r="A829" s="8">
        <v>1575</v>
      </c>
      <c r="B829" s="8" t="s">
        <v>153</v>
      </c>
      <c r="C829" s="20">
        <v>45026</v>
      </c>
      <c r="D829" s="20">
        <v>45608</v>
      </c>
      <c r="E829" s="21">
        <v>11.99</v>
      </c>
    </row>
    <row r="830" spans="1:5">
      <c r="A830" s="8">
        <v>9259</v>
      </c>
      <c r="B830" s="8" t="s">
        <v>241</v>
      </c>
      <c r="C830" s="20" t="s">
        <v>685</v>
      </c>
      <c r="D830" s="20">
        <v>45485</v>
      </c>
      <c r="E830" s="21">
        <v>11.99</v>
      </c>
    </row>
    <row r="831" spans="1:5">
      <c r="A831" s="8">
        <v>2170</v>
      </c>
      <c r="B831" s="8" t="s">
        <v>148</v>
      </c>
      <c r="C831" s="20">
        <v>45118</v>
      </c>
      <c r="D831" s="20" t="s">
        <v>35</v>
      </c>
      <c r="E831" s="21">
        <v>15.99</v>
      </c>
    </row>
    <row r="832" spans="1:5">
      <c r="A832" s="8">
        <v>2237</v>
      </c>
      <c r="B832" s="8" t="s">
        <v>248</v>
      </c>
      <c r="C832" s="20">
        <v>45144</v>
      </c>
      <c r="D832" s="20" t="s">
        <v>103</v>
      </c>
      <c r="E832" s="21">
        <v>7.99</v>
      </c>
    </row>
    <row r="833" spans="1:5">
      <c r="A833" s="8">
        <v>2697</v>
      </c>
      <c r="B833" s="8" t="s">
        <v>174</v>
      </c>
      <c r="C833" s="20">
        <v>45570</v>
      </c>
      <c r="D833" s="20">
        <v>45547</v>
      </c>
      <c r="E833" s="21">
        <v>15.99</v>
      </c>
    </row>
    <row r="834" spans="1:5">
      <c r="A834" s="8">
        <v>4488</v>
      </c>
      <c r="B834" s="8" t="s">
        <v>281</v>
      </c>
      <c r="C834" s="20" t="s">
        <v>652</v>
      </c>
      <c r="D834" s="20">
        <v>45424</v>
      </c>
      <c r="E834" s="21">
        <v>7.99</v>
      </c>
    </row>
    <row r="835" spans="1:5">
      <c r="A835" s="8">
        <v>5291</v>
      </c>
      <c r="B835" s="8" t="s">
        <v>686</v>
      </c>
      <c r="C835" s="20" t="s">
        <v>535</v>
      </c>
      <c r="D835" s="20" t="s">
        <v>72</v>
      </c>
      <c r="E835" s="21">
        <v>11.99</v>
      </c>
    </row>
    <row r="836" spans="1:5">
      <c r="A836" s="8">
        <v>6287</v>
      </c>
      <c r="B836" s="8" t="s">
        <v>491</v>
      </c>
      <c r="C836" s="20" t="s">
        <v>687</v>
      </c>
      <c r="D836" s="20" t="s">
        <v>90</v>
      </c>
      <c r="E836" s="21">
        <v>11.99</v>
      </c>
    </row>
    <row r="837" spans="1:5">
      <c r="A837" s="8">
        <v>1953</v>
      </c>
      <c r="B837" s="8" t="s">
        <v>667</v>
      </c>
      <c r="C837" s="20">
        <v>45180</v>
      </c>
      <c r="D837" s="20" t="s">
        <v>109</v>
      </c>
      <c r="E837" s="21">
        <v>15.99</v>
      </c>
    </row>
    <row r="838" spans="1:5">
      <c r="A838" s="8">
        <v>3457</v>
      </c>
      <c r="B838" s="8" t="s">
        <v>286</v>
      </c>
      <c r="C838" s="20" t="s">
        <v>651</v>
      </c>
      <c r="D838" s="20" t="s">
        <v>54</v>
      </c>
      <c r="E838" s="21">
        <v>15.99</v>
      </c>
    </row>
    <row r="839" spans="1:5">
      <c r="A839" s="8">
        <v>6504</v>
      </c>
      <c r="B839" s="8" t="s">
        <v>318</v>
      </c>
      <c r="C839" s="20" t="s">
        <v>111</v>
      </c>
      <c r="D839" s="20" t="s">
        <v>103</v>
      </c>
      <c r="E839" s="21">
        <v>7.99</v>
      </c>
    </row>
    <row r="840" spans="1:5">
      <c r="A840" s="8">
        <v>7463</v>
      </c>
      <c r="B840" s="8" t="s">
        <v>389</v>
      </c>
      <c r="C840" s="20" t="s">
        <v>136</v>
      </c>
      <c r="D840" s="20">
        <v>45455</v>
      </c>
      <c r="E840" s="21">
        <v>11.99</v>
      </c>
    </row>
    <row r="841" spans="1:5">
      <c r="A841" s="8">
        <v>3898</v>
      </c>
      <c r="B841" s="8" t="s">
        <v>98</v>
      </c>
      <c r="C841" s="20">
        <v>45476</v>
      </c>
      <c r="D841" s="20" t="s">
        <v>105</v>
      </c>
      <c r="E841" s="21">
        <v>11.99</v>
      </c>
    </row>
    <row r="842" spans="1:5">
      <c r="A842" s="8">
        <v>8481</v>
      </c>
      <c r="B842" s="8" t="s">
        <v>130</v>
      </c>
      <c r="C842" s="20" t="s">
        <v>688</v>
      </c>
      <c r="D842" s="20">
        <v>45516</v>
      </c>
      <c r="E842" s="21">
        <v>7.99</v>
      </c>
    </row>
    <row r="843" spans="1:5">
      <c r="A843" s="8">
        <v>7810</v>
      </c>
      <c r="B843" s="8" t="s">
        <v>41</v>
      </c>
      <c r="C843" s="20" t="s">
        <v>321</v>
      </c>
      <c r="D843" s="20">
        <v>45485</v>
      </c>
      <c r="E843" s="21">
        <v>7.99</v>
      </c>
    </row>
    <row r="844" spans="1:5">
      <c r="A844" s="8">
        <v>6534</v>
      </c>
      <c r="B844" s="8" t="s">
        <v>434</v>
      </c>
      <c r="C844" s="20">
        <v>45050</v>
      </c>
      <c r="D844" s="20">
        <v>45608</v>
      </c>
      <c r="E844" s="21">
        <v>11.99</v>
      </c>
    </row>
    <row r="845" spans="1:5">
      <c r="A845" s="8">
        <v>6025</v>
      </c>
      <c r="B845" s="8" t="s">
        <v>290</v>
      </c>
      <c r="C845" s="20" t="s">
        <v>565</v>
      </c>
      <c r="D845" s="20" t="s">
        <v>87</v>
      </c>
      <c r="E845" s="21">
        <v>15.99</v>
      </c>
    </row>
    <row r="846" spans="1:5">
      <c r="A846" s="8">
        <v>5825</v>
      </c>
      <c r="B846" s="8" t="s">
        <v>689</v>
      </c>
      <c r="C846" s="20">
        <v>45628</v>
      </c>
      <c r="D846" s="20" t="s">
        <v>25</v>
      </c>
      <c r="E846" s="21">
        <v>7.99</v>
      </c>
    </row>
    <row r="847" spans="1:5">
      <c r="A847" s="8">
        <v>1185</v>
      </c>
      <c r="B847" s="8" t="s">
        <v>355</v>
      </c>
      <c r="C847" s="20" t="s">
        <v>690</v>
      </c>
      <c r="D847" s="20" t="s">
        <v>35</v>
      </c>
      <c r="E847" s="21">
        <v>15.99</v>
      </c>
    </row>
    <row r="848" spans="1:5">
      <c r="A848" s="8">
        <v>4392</v>
      </c>
      <c r="B848" s="8" t="s">
        <v>395</v>
      </c>
      <c r="C848" s="20" t="s">
        <v>182</v>
      </c>
      <c r="D848" s="20">
        <v>45424</v>
      </c>
      <c r="E848" s="21">
        <v>11.99</v>
      </c>
    </row>
    <row r="849" spans="1:5">
      <c r="A849" s="8">
        <v>5785</v>
      </c>
      <c r="B849" s="8" t="s">
        <v>101</v>
      </c>
      <c r="C849" s="20">
        <v>45568</v>
      </c>
      <c r="D849" s="20" t="s">
        <v>54</v>
      </c>
      <c r="E849" s="21">
        <v>7.99</v>
      </c>
    </row>
    <row r="850" spans="1:5">
      <c r="A850" s="8">
        <v>4718</v>
      </c>
      <c r="B850" s="8" t="s">
        <v>130</v>
      </c>
      <c r="C850" s="20" t="s">
        <v>662</v>
      </c>
      <c r="D850" s="20" t="s">
        <v>87</v>
      </c>
      <c r="E850" s="21">
        <v>15.99</v>
      </c>
    </row>
    <row r="851" spans="1:5">
      <c r="A851" s="8">
        <v>3992</v>
      </c>
      <c r="B851" s="8" t="s">
        <v>224</v>
      </c>
      <c r="C851" s="20" t="s">
        <v>62</v>
      </c>
      <c r="D851" s="20" t="s">
        <v>87</v>
      </c>
      <c r="E851" s="21">
        <v>11.99</v>
      </c>
    </row>
    <row r="852" spans="1:5">
      <c r="A852" s="8">
        <v>6100</v>
      </c>
      <c r="B852" s="8" t="s">
        <v>517</v>
      </c>
      <c r="C852" s="20" t="s">
        <v>220</v>
      </c>
      <c r="D852" s="20" t="s">
        <v>84</v>
      </c>
      <c r="E852" s="21">
        <v>11.99</v>
      </c>
    </row>
    <row r="853" spans="1:5">
      <c r="A853" s="8">
        <v>8495</v>
      </c>
      <c r="B853" s="8" t="s">
        <v>691</v>
      </c>
      <c r="C853" s="20">
        <v>45536</v>
      </c>
      <c r="D853" s="20" t="s">
        <v>214</v>
      </c>
      <c r="E853" s="21">
        <v>7.99</v>
      </c>
    </row>
    <row r="854" spans="1:5">
      <c r="A854" s="8">
        <v>3083</v>
      </c>
      <c r="B854" s="8" t="s">
        <v>631</v>
      </c>
      <c r="C854" s="20">
        <v>45055</v>
      </c>
      <c r="D854" s="20" t="s">
        <v>25</v>
      </c>
      <c r="E854" s="21">
        <v>7.99</v>
      </c>
    </row>
    <row r="855" spans="1:5">
      <c r="A855" s="8">
        <v>9936</v>
      </c>
      <c r="B855" s="8" t="s">
        <v>147</v>
      </c>
      <c r="C855" s="20">
        <v>45235</v>
      </c>
      <c r="D855" s="20" t="s">
        <v>72</v>
      </c>
      <c r="E855" s="21">
        <v>7.99</v>
      </c>
    </row>
    <row r="856" spans="1:5">
      <c r="A856" s="8">
        <v>2418</v>
      </c>
      <c r="B856" s="8" t="s">
        <v>186</v>
      </c>
      <c r="C856" s="20">
        <v>45391</v>
      </c>
      <c r="D856" s="20" t="s">
        <v>54</v>
      </c>
      <c r="E856" s="21">
        <v>15.99</v>
      </c>
    </row>
    <row r="857" spans="1:5">
      <c r="A857" s="8">
        <v>4089</v>
      </c>
      <c r="B857" s="8" t="s">
        <v>120</v>
      </c>
      <c r="C857" s="20">
        <v>45516</v>
      </c>
      <c r="D857" s="20" t="s">
        <v>72</v>
      </c>
      <c r="E857" s="21">
        <v>11.99</v>
      </c>
    </row>
    <row r="858" spans="1:5">
      <c r="A858" s="8">
        <v>8876</v>
      </c>
      <c r="B858" s="8" t="s">
        <v>692</v>
      </c>
      <c r="C858" s="20" t="s">
        <v>412</v>
      </c>
      <c r="D858" s="20" t="s">
        <v>109</v>
      </c>
      <c r="E858" s="21">
        <v>11.99</v>
      </c>
    </row>
    <row r="859" spans="1:5">
      <c r="A859" s="8">
        <v>3959</v>
      </c>
      <c r="B859" s="8" t="s">
        <v>373</v>
      </c>
      <c r="C859" s="20" t="s">
        <v>370</v>
      </c>
      <c r="D859" s="20" t="s">
        <v>129</v>
      </c>
      <c r="E859" s="21">
        <v>15.99</v>
      </c>
    </row>
    <row r="860" spans="1:5">
      <c r="A860" s="8">
        <v>2011</v>
      </c>
      <c r="B860" s="8" t="s">
        <v>693</v>
      </c>
      <c r="C860" s="20" t="s">
        <v>333</v>
      </c>
      <c r="D860" s="20">
        <v>45394</v>
      </c>
      <c r="E860" s="21">
        <v>7.99</v>
      </c>
    </row>
    <row r="861" spans="1:5">
      <c r="A861" s="8">
        <v>7896</v>
      </c>
      <c r="B861" s="8" t="s">
        <v>157</v>
      </c>
      <c r="C861" s="20" t="s">
        <v>694</v>
      </c>
      <c r="D861" s="20" t="s">
        <v>168</v>
      </c>
      <c r="E861" s="21">
        <v>11.99</v>
      </c>
    </row>
    <row r="862" spans="1:5">
      <c r="A862" s="8">
        <v>5495</v>
      </c>
      <c r="B862" s="8" t="s">
        <v>695</v>
      </c>
      <c r="C862" s="20" t="s">
        <v>585</v>
      </c>
      <c r="D862" s="20" t="s">
        <v>168</v>
      </c>
      <c r="E862" s="21">
        <v>11.99</v>
      </c>
    </row>
    <row r="863" spans="1:5">
      <c r="A863" s="8">
        <v>6219</v>
      </c>
      <c r="B863" s="8" t="s">
        <v>318</v>
      </c>
      <c r="C863" s="20" t="s">
        <v>205</v>
      </c>
      <c r="D863" s="20" t="s">
        <v>129</v>
      </c>
      <c r="E863" s="21">
        <v>11.99</v>
      </c>
    </row>
    <row r="864" spans="1:5">
      <c r="A864" s="8">
        <v>4458</v>
      </c>
      <c r="B864" s="8" t="s">
        <v>696</v>
      </c>
      <c r="C864" s="20" t="s">
        <v>697</v>
      </c>
      <c r="D864" s="20" t="s">
        <v>84</v>
      </c>
      <c r="E864" s="21">
        <v>15.99</v>
      </c>
    </row>
    <row r="865" spans="1:5">
      <c r="A865" s="8">
        <v>4115</v>
      </c>
      <c r="B865" s="8" t="s">
        <v>698</v>
      </c>
      <c r="C865" s="20" t="s">
        <v>156</v>
      </c>
      <c r="D865" s="20" t="s">
        <v>156</v>
      </c>
      <c r="E865" s="21">
        <v>15.99</v>
      </c>
    </row>
    <row r="866" spans="1:5">
      <c r="A866" s="8">
        <v>6586</v>
      </c>
      <c r="B866" s="8" t="s">
        <v>677</v>
      </c>
      <c r="C866" s="20" t="s">
        <v>457</v>
      </c>
      <c r="D866" s="20" t="s">
        <v>35</v>
      </c>
      <c r="E866" s="21">
        <v>15.99</v>
      </c>
    </row>
    <row r="867" spans="1:5">
      <c r="A867" s="8">
        <v>3985</v>
      </c>
      <c r="B867" s="8" t="s">
        <v>290</v>
      </c>
      <c r="C867" s="20">
        <v>45632</v>
      </c>
      <c r="D867" s="20">
        <v>45638</v>
      </c>
      <c r="E867" s="21">
        <v>15.99</v>
      </c>
    </row>
    <row r="868" spans="1:5">
      <c r="A868" s="8">
        <v>8501</v>
      </c>
      <c r="B868" s="8" t="s">
        <v>106</v>
      </c>
      <c r="C868" s="20">
        <v>45508</v>
      </c>
      <c r="D868" s="20" t="s">
        <v>54</v>
      </c>
      <c r="E868" s="21">
        <v>11.99</v>
      </c>
    </row>
    <row r="869" spans="1:5">
      <c r="A869" s="8">
        <v>4048</v>
      </c>
      <c r="B869" s="8" t="s">
        <v>186</v>
      </c>
      <c r="C869" s="20">
        <v>45328</v>
      </c>
      <c r="D869" s="20" t="s">
        <v>72</v>
      </c>
      <c r="E869" s="21">
        <v>11.99</v>
      </c>
    </row>
    <row r="870" spans="1:5">
      <c r="A870" s="8">
        <v>4466</v>
      </c>
      <c r="B870" s="8" t="s">
        <v>138</v>
      </c>
      <c r="C870" s="20">
        <v>45453</v>
      </c>
      <c r="D870" s="20" t="s">
        <v>99</v>
      </c>
      <c r="E870" s="21">
        <v>11.99</v>
      </c>
    </row>
    <row r="871" spans="1:5">
      <c r="A871" s="8">
        <v>5479</v>
      </c>
      <c r="B871" s="8" t="s">
        <v>179</v>
      </c>
      <c r="C871" s="20">
        <v>45019</v>
      </c>
      <c r="D871" s="20">
        <v>45516</v>
      </c>
      <c r="E871" s="21">
        <v>7.99</v>
      </c>
    </row>
    <row r="872" spans="1:5">
      <c r="A872" s="8">
        <v>2480</v>
      </c>
      <c r="B872" s="8" t="s">
        <v>618</v>
      </c>
      <c r="C872" s="20" t="s">
        <v>514</v>
      </c>
      <c r="D872" s="20" t="s">
        <v>72</v>
      </c>
      <c r="E872" s="21">
        <v>15.99</v>
      </c>
    </row>
    <row r="873" spans="1:5">
      <c r="A873" s="8">
        <v>6288</v>
      </c>
      <c r="B873" s="8" t="s">
        <v>271</v>
      </c>
      <c r="C873" s="20">
        <v>45326</v>
      </c>
      <c r="D873" s="20">
        <v>45608</v>
      </c>
      <c r="E873" s="21">
        <v>15.99</v>
      </c>
    </row>
    <row r="874" spans="1:5">
      <c r="A874" s="8">
        <v>9973</v>
      </c>
      <c r="B874" s="8" t="s">
        <v>224</v>
      </c>
      <c r="C874" s="20" t="s">
        <v>600</v>
      </c>
      <c r="D874" s="20" t="s">
        <v>35</v>
      </c>
      <c r="E874" s="21">
        <v>11.99</v>
      </c>
    </row>
    <row r="875" spans="1:5">
      <c r="A875" s="8">
        <v>6078</v>
      </c>
      <c r="B875" s="8" t="s">
        <v>606</v>
      </c>
      <c r="C875" s="20" t="s">
        <v>366</v>
      </c>
      <c r="D875" s="20" t="s">
        <v>35</v>
      </c>
      <c r="E875" s="21">
        <v>7.99</v>
      </c>
    </row>
    <row r="876" spans="1:5">
      <c r="A876" s="8">
        <v>5362</v>
      </c>
      <c r="B876" s="8" t="s">
        <v>332</v>
      </c>
      <c r="C876" s="20">
        <v>45476</v>
      </c>
      <c r="D876" s="20" t="s">
        <v>99</v>
      </c>
      <c r="E876" s="21">
        <v>15.99</v>
      </c>
    </row>
    <row r="877" spans="1:5">
      <c r="A877" s="8">
        <v>1687</v>
      </c>
      <c r="B877" s="8" t="s">
        <v>126</v>
      </c>
      <c r="C877" s="20" t="s">
        <v>468</v>
      </c>
      <c r="D877" s="20" t="s">
        <v>156</v>
      </c>
      <c r="E877" s="21">
        <v>7.99</v>
      </c>
    </row>
    <row r="878" spans="1:5">
      <c r="A878" s="8">
        <v>8986</v>
      </c>
      <c r="B878" s="8" t="s">
        <v>409</v>
      </c>
      <c r="C878" s="20">
        <v>45303</v>
      </c>
      <c r="D878" s="20" t="s">
        <v>129</v>
      </c>
      <c r="E878" s="21">
        <v>15.99</v>
      </c>
    </row>
    <row r="879" spans="1:5">
      <c r="A879" s="8">
        <v>5994</v>
      </c>
      <c r="B879" s="8" t="s">
        <v>492</v>
      </c>
      <c r="C879" s="20" t="s">
        <v>221</v>
      </c>
      <c r="D879" s="20">
        <v>45394</v>
      </c>
      <c r="E879" s="21">
        <v>7.99</v>
      </c>
    </row>
    <row r="880" spans="1:5">
      <c r="A880" s="8">
        <v>6293</v>
      </c>
      <c r="B880" s="8" t="s">
        <v>224</v>
      </c>
      <c r="C880" s="20" t="s">
        <v>454</v>
      </c>
      <c r="D880" s="20" t="s">
        <v>134</v>
      </c>
      <c r="E880" s="21">
        <v>15.99</v>
      </c>
    </row>
    <row r="881" spans="1:5">
      <c r="A881" s="8">
        <v>7558</v>
      </c>
      <c r="B881" s="8" t="s">
        <v>369</v>
      </c>
      <c r="C881" s="20" t="s">
        <v>639</v>
      </c>
      <c r="D881" s="20">
        <v>45516</v>
      </c>
      <c r="E881" s="21">
        <v>11.99</v>
      </c>
    </row>
    <row r="882" spans="1:5">
      <c r="A882" s="8">
        <v>1805</v>
      </c>
      <c r="B882" s="8" t="s">
        <v>88</v>
      </c>
      <c r="C882" s="20">
        <v>45018</v>
      </c>
      <c r="D882" s="20" t="s">
        <v>90</v>
      </c>
      <c r="E882" s="21">
        <v>11.99</v>
      </c>
    </row>
    <row r="883" spans="1:5">
      <c r="A883" s="8">
        <v>1661</v>
      </c>
      <c r="B883" s="8" t="s">
        <v>374</v>
      </c>
      <c r="C883" s="20" t="s">
        <v>699</v>
      </c>
      <c r="D883" s="20">
        <v>45516</v>
      </c>
      <c r="E883" s="21">
        <v>15.99</v>
      </c>
    </row>
    <row r="884" spans="1:5">
      <c r="A884" s="8">
        <v>8960</v>
      </c>
      <c r="B884" s="8" t="s">
        <v>631</v>
      </c>
      <c r="C884" s="20" t="s">
        <v>455</v>
      </c>
      <c r="D884" s="20">
        <v>45334</v>
      </c>
      <c r="E884" s="21">
        <v>15.99</v>
      </c>
    </row>
    <row r="885" spans="1:5">
      <c r="A885" s="8">
        <v>6131</v>
      </c>
      <c r="B885" s="8" t="s">
        <v>80</v>
      </c>
      <c r="C885" s="20" t="s">
        <v>470</v>
      </c>
      <c r="D885" s="20" t="s">
        <v>72</v>
      </c>
      <c r="E885" s="21">
        <v>7.99</v>
      </c>
    </row>
    <row r="886" spans="1:5">
      <c r="A886" s="8">
        <v>4114</v>
      </c>
      <c r="B886" s="8" t="s">
        <v>344</v>
      </c>
      <c r="C886" s="20" t="s">
        <v>462</v>
      </c>
      <c r="D886" s="20" t="s">
        <v>42</v>
      </c>
      <c r="E886" s="21">
        <v>11.99</v>
      </c>
    </row>
    <row r="887" spans="1:5">
      <c r="A887" s="8">
        <v>4833</v>
      </c>
      <c r="B887" s="8" t="s">
        <v>137</v>
      </c>
      <c r="C887" s="20" t="s">
        <v>447</v>
      </c>
      <c r="D887" s="20">
        <v>45577</v>
      </c>
      <c r="E887" s="21">
        <v>7.99</v>
      </c>
    </row>
    <row r="888" spans="1:5">
      <c r="A888" s="8">
        <v>2401</v>
      </c>
      <c r="B888" s="8" t="s">
        <v>404</v>
      </c>
      <c r="C888" s="20">
        <v>45453</v>
      </c>
      <c r="D888" s="20">
        <v>45334</v>
      </c>
      <c r="E888" s="21">
        <v>7.99</v>
      </c>
    </row>
    <row r="889" spans="1:5">
      <c r="A889" s="8">
        <v>1037</v>
      </c>
      <c r="B889" s="8" t="s">
        <v>150</v>
      </c>
      <c r="C889" s="20" t="s">
        <v>700</v>
      </c>
      <c r="D889" s="20" t="s">
        <v>90</v>
      </c>
      <c r="E889" s="21">
        <v>7.99</v>
      </c>
    </row>
    <row r="890" spans="1:5">
      <c r="A890" s="8">
        <v>2675</v>
      </c>
      <c r="B890" s="8" t="s">
        <v>701</v>
      </c>
      <c r="C890" s="20" t="s">
        <v>702</v>
      </c>
      <c r="D890" s="20">
        <v>45394</v>
      </c>
      <c r="E890" s="21">
        <v>15.99</v>
      </c>
    </row>
    <row r="891" spans="1:5">
      <c r="A891" s="8">
        <v>1665</v>
      </c>
      <c r="B891" s="8" t="s">
        <v>128</v>
      </c>
      <c r="C891" s="20" t="s">
        <v>575</v>
      </c>
      <c r="D891" s="20" t="s">
        <v>72</v>
      </c>
      <c r="E891" s="21">
        <v>11.99</v>
      </c>
    </row>
    <row r="892" spans="1:5">
      <c r="A892" s="8">
        <v>5671</v>
      </c>
      <c r="B892" s="8" t="s">
        <v>274</v>
      </c>
      <c r="C892" s="20" t="s">
        <v>557</v>
      </c>
      <c r="D892" s="20" t="s">
        <v>168</v>
      </c>
      <c r="E892" s="21">
        <v>11.99</v>
      </c>
    </row>
    <row r="893" spans="1:5">
      <c r="A893" s="8">
        <v>5153</v>
      </c>
      <c r="B893" s="8" t="s">
        <v>254</v>
      </c>
      <c r="C893" s="20" t="s">
        <v>601</v>
      </c>
      <c r="D893" s="20" t="s">
        <v>103</v>
      </c>
      <c r="E893" s="21">
        <v>7.99</v>
      </c>
    </row>
    <row r="894" spans="1:5">
      <c r="A894" s="8">
        <v>1114</v>
      </c>
      <c r="B894" s="8" t="s">
        <v>325</v>
      </c>
      <c r="C894" s="20">
        <v>44958</v>
      </c>
      <c r="D894" s="20" t="s">
        <v>35</v>
      </c>
      <c r="E894" s="21">
        <v>11.99</v>
      </c>
    </row>
    <row r="895" spans="1:5">
      <c r="A895" s="8">
        <v>6180</v>
      </c>
      <c r="B895" s="8" t="s">
        <v>701</v>
      </c>
      <c r="C895" s="20">
        <v>45543</v>
      </c>
      <c r="D895" s="20">
        <v>45334</v>
      </c>
      <c r="E895" s="21">
        <v>11.99</v>
      </c>
    </row>
    <row r="896" spans="1:5">
      <c r="A896" s="8">
        <v>8237</v>
      </c>
      <c r="B896" s="8" t="s">
        <v>52</v>
      </c>
      <c r="C896" s="20" t="s">
        <v>582</v>
      </c>
      <c r="D896" s="20">
        <v>45485</v>
      </c>
      <c r="E896" s="21">
        <v>7.99</v>
      </c>
    </row>
    <row r="897" spans="1:5">
      <c r="A897" s="8">
        <v>9500</v>
      </c>
      <c r="B897" s="8" t="s">
        <v>703</v>
      </c>
      <c r="C897" s="20" t="s">
        <v>570</v>
      </c>
      <c r="D897" s="20">
        <v>45577</v>
      </c>
      <c r="E897" s="21">
        <v>11.99</v>
      </c>
    </row>
    <row r="898" spans="1:5">
      <c r="A898" s="8">
        <v>7476</v>
      </c>
      <c r="B898" s="8" t="s">
        <v>34</v>
      </c>
      <c r="C898" s="20" t="s">
        <v>704</v>
      </c>
      <c r="D898" s="20" t="s">
        <v>99</v>
      </c>
      <c r="E898" s="21">
        <v>11.99</v>
      </c>
    </row>
    <row r="899" spans="1:5">
      <c r="A899" s="8">
        <v>9908</v>
      </c>
      <c r="B899" s="8" t="s">
        <v>624</v>
      </c>
      <c r="C899" s="20">
        <v>44986</v>
      </c>
      <c r="D899" s="20">
        <v>45394</v>
      </c>
      <c r="E899" s="21">
        <v>11.99</v>
      </c>
    </row>
    <row r="900" spans="1:5">
      <c r="A900" s="8">
        <v>1534</v>
      </c>
      <c r="B900" s="8" t="s">
        <v>52</v>
      </c>
      <c r="C900" s="20" t="s">
        <v>205</v>
      </c>
      <c r="D900" s="20" t="s">
        <v>103</v>
      </c>
      <c r="E900" s="21">
        <v>7.99</v>
      </c>
    </row>
    <row r="901" spans="1:5">
      <c r="A901" s="8">
        <v>4613</v>
      </c>
      <c r="B901" s="8" t="s">
        <v>114</v>
      </c>
      <c r="C901" s="20">
        <v>44988</v>
      </c>
      <c r="D901" s="20">
        <v>45394</v>
      </c>
      <c r="E901" s="21">
        <v>15.99</v>
      </c>
    </row>
    <row r="902" spans="1:5">
      <c r="A902" s="8">
        <v>5063</v>
      </c>
      <c r="B902" s="8" t="s">
        <v>491</v>
      </c>
      <c r="C902" s="20">
        <v>45388</v>
      </c>
      <c r="D902" s="20" t="s">
        <v>82</v>
      </c>
      <c r="E902" s="21">
        <v>7.99</v>
      </c>
    </row>
    <row r="903" spans="1:5">
      <c r="A903" s="8">
        <v>4548</v>
      </c>
      <c r="B903" s="8" t="s">
        <v>244</v>
      </c>
      <c r="C903" s="20">
        <v>45144</v>
      </c>
      <c r="D903" s="20" t="s">
        <v>84</v>
      </c>
      <c r="E903" s="21">
        <v>7.99</v>
      </c>
    </row>
    <row r="904" spans="1:5">
      <c r="A904" s="8">
        <v>7556</v>
      </c>
      <c r="B904" s="8" t="s">
        <v>598</v>
      </c>
      <c r="C904" s="20" t="s">
        <v>324</v>
      </c>
      <c r="D904" s="20" t="s">
        <v>214</v>
      </c>
      <c r="E904" s="21">
        <v>15.99</v>
      </c>
    </row>
    <row r="905" spans="1:5">
      <c r="A905" s="8">
        <v>1846</v>
      </c>
      <c r="B905" s="8" t="s">
        <v>705</v>
      </c>
      <c r="C905" s="20" t="s">
        <v>392</v>
      </c>
      <c r="D905" s="20">
        <v>45485</v>
      </c>
      <c r="E905" s="21">
        <v>15.99</v>
      </c>
    </row>
    <row r="906" spans="1:5">
      <c r="A906" s="8">
        <v>7088</v>
      </c>
      <c r="B906" s="8" t="s">
        <v>120</v>
      </c>
      <c r="C906" s="20">
        <v>45292</v>
      </c>
      <c r="D906" s="20" t="s">
        <v>134</v>
      </c>
      <c r="E906" s="21">
        <v>11.99</v>
      </c>
    </row>
    <row r="907" spans="1:5">
      <c r="A907" s="8">
        <v>1179</v>
      </c>
      <c r="B907" s="8" t="s">
        <v>395</v>
      </c>
      <c r="C907" s="20">
        <v>45479</v>
      </c>
      <c r="D907" s="20" t="s">
        <v>103</v>
      </c>
      <c r="E907" s="21">
        <v>11.99</v>
      </c>
    </row>
    <row r="908" spans="1:5">
      <c r="A908" s="8">
        <v>2190</v>
      </c>
      <c r="B908" s="8" t="s">
        <v>682</v>
      </c>
      <c r="C908" s="20" t="s">
        <v>198</v>
      </c>
      <c r="D908" s="20">
        <v>45424</v>
      </c>
      <c r="E908" s="21">
        <v>7.99</v>
      </c>
    </row>
    <row r="909" spans="1:5">
      <c r="A909" s="8">
        <v>2847</v>
      </c>
      <c r="B909" s="8" t="s">
        <v>98</v>
      </c>
      <c r="C909" s="20" t="s">
        <v>616</v>
      </c>
      <c r="D909" s="20" t="s">
        <v>99</v>
      </c>
      <c r="E909" s="21">
        <v>15.99</v>
      </c>
    </row>
    <row r="910" spans="1:5">
      <c r="A910" s="8">
        <v>6570</v>
      </c>
      <c r="B910" s="8" t="s">
        <v>304</v>
      </c>
      <c r="C910" s="20">
        <v>45516</v>
      </c>
      <c r="D910" s="20">
        <v>45638</v>
      </c>
      <c r="E910" s="21">
        <v>11.99</v>
      </c>
    </row>
    <row r="911" spans="1:5">
      <c r="A911" s="8">
        <v>1149</v>
      </c>
      <c r="B911" s="8" t="s">
        <v>157</v>
      </c>
      <c r="C911" s="20" t="s">
        <v>397</v>
      </c>
      <c r="D911" s="20" t="s">
        <v>105</v>
      </c>
      <c r="E911" s="21">
        <v>11.99</v>
      </c>
    </row>
    <row r="912" spans="1:5">
      <c r="A912" s="8">
        <v>1336</v>
      </c>
      <c r="B912" s="8" t="s">
        <v>153</v>
      </c>
      <c r="C912" s="20" t="s">
        <v>371</v>
      </c>
      <c r="D912" s="20">
        <v>45577</v>
      </c>
      <c r="E912" s="21">
        <v>11.99</v>
      </c>
    </row>
    <row r="913" spans="1:5">
      <c r="A913" s="8">
        <v>6956</v>
      </c>
      <c r="B913" s="8" t="s">
        <v>291</v>
      </c>
      <c r="C913" s="20" t="s">
        <v>668</v>
      </c>
      <c r="D913" s="20" t="s">
        <v>156</v>
      </c>
      <c r="E913" s="21">
        <v>15.99</v>
      </c>
    </row>
    <row r="914" spans="1:5">
      <c r="A914" s="8">
        <v>7015</v>
      </c>
      <c r="B914" s="8" t="s">
        <v>675</v>
      </c>
      <c r="C914" s="20">
        <v>45332</v>
      </c>
      <c r="D914" s="20">
        <v>45547</v>
      </c>
      <c r="E914" s="21">
        <v>11.99</v>
      </c>
    </row>
    <row r="915" spans="1:5">
      <c r="A915" s="8">
        <v>4104</v>
      </c>
      <c r="B915" s="8" t="s">
        <v>706</v>
      </c>
      <c r="C915" s="20" t="s">
        <v>707</v>
      </c>
      <c r="D915" s="20" t="s">
        <v>84</v>
      </c>
      <c r="E915" s="21">
        <v>15.99</v>
      </c>
    </row>
    <row r="916" spans="1:5">
      <c r="A916" s="8">
        <v>9413</v>
      </c>
      <c r="B916" s="8" t="s">
        <v>128</v>
      </c>
      <c r="C916" s="20" t="s">
        <v>708</v>
      </c>
      <c r="D916" s="20">
        <v>45363</v>
      </c>
      <c r="E916" s="21">
        <v>15.99</v>
      </c>
    </row>
    <row r="917" spans="1:5">
      <c r="A917" s="8">
        <v>8300</v>
      </c>
      <c r="B917" s="8" t="s">
        <v>260</v>
      </c>
      <c r="C917" s="20" t="s">
        <v>571</v>
      </c>
      <c r="D917" s="20" t="s">
        <v>25</v>
      </c>
      <c r="E917" s="21">
        <v>15.99</v>
      </c>
    </row>
    <row r="918" spans="1:5">
      <c r="A918" s="8">
        <v>5126</v>
      </c>
      <c r="B918" s="8" t="s">
        <v>272</v>
      </c>
      <c r="C918" s="20">
        <v>45448</v>
      </c>
      <c r="D918" s="20">
        <v>45363</v>
      </c>
      <c r="E918" s="21">
        <v>7.99</v>
      </c>
    </row>
    <row r="919" spans="1:5">
      <c r="A919" s="8">
        <v>1754</v>
      </c>
      <c r="B919" s="8" t="s">
        <v>70</v>
      </c>
      <c r="C919" s="20" t="s">
        <v>108</v>
      </c>
      <c r="D919" s="20" t="s">
        <v>84</v>
      </c>
      <c r="E919" s="21">
        <v>15.99</v>
      </c>
    </row>
    <row r="920" spans="1:5">
      <c r="A920" s="8">
        <v>7089</v>
      </c>
      <c r="B920" s="8" t="s">
        <v>357</v>
      </c>
      <c r="C920" s="20">
        <v>44988</v>
      </c>
      <c r="D920" s="20">
        <v>45608</v>
      </c>
      <c r="E920" s="21">
        <v>7.99</v>
      </c>
    </row>
    <row r="921" spans="1:5">
      <c r="A921" s="8">
        <v>1697</v>
      </c>
      <c r="B921" s="8" t="s">
        <v>104</v>
      </c>
      <c r="C921" s="20" t="s">
        <v>662</v>
      </c>
      <c r="D921" s="20" t="s">
        <v>99</v>
      </c>
      <c r="E921" s="21">
        <v>7.99</v>
      </c>
    </row>
    <row r="922" spans="1:5">
      <c r="A922" s="8">
        <v>4768</v>
      </c>
      <c r="B922" s="8" t="s">
        <v>542</v>
      </c>
      <c r="C922" s="20">
        <v>45028</v>
      </c>
      <c r="D922" s="20" t="s">
        <v>109</v>
      </c>
      <c r="E922" s="21">
        <v>15.99</v>
      </c>
    </row>
    <row r="923" spans="1:5">
      <c r="A923" s="8">
        <v>4205</v>
      </c>
      <c r="B923" s="8" t="s">
        <v>257</v>
      </c>
      <c r="C923" s="20" t="s">
        <v>528</v>
      </c>
      <c r="D923" s="20">
        <v>45455</v>
      </c>
      <c r="E923" s="21">
        <v>15.99</v>
      </c>
    </row>
    <row r="924" spans="1:5">
      <c r="A924" s="8">
        <v>8844</v>
      </c>
      <c r="B924" s="8" t="s">
        <v>140</v>
      </c>
      <c r="C924" s="20" t="s">
        <v>394</v>
      </c>
      <c r="D924" s="20" t="s">
        <v>103</v>
      </c>
      <c r="E924" s="21">
        <v>7.99</v>
      </c>
    </row>
    <row r="925" spans="1:5">
      <c r="A925" s="8">
        <v>1103</v>
      </c>
      <c r="B925" s="8" t="s">
        <v>411</v>
      </c>
      <c r="C925" s="20">
        <v>45143</v>
      </c>
      <c r="D925" s="20">
        <v>45334</v>
      </c>
      <c r="E925" s="21">
        <v>7.99</v>
      </c>
    </row>
    <row r="926" spans="1:5">
      <c r="A926" s="8">
        <v>2180</v>
      </c>
      <c r="B926" s="8" t="s">
        <v>709</v>
      </c>
      <c r="C926" s="20" t="s">
        <v>699</v>
      </c>
      <c r="D926" s="20" t="s">
        <v>156</v>
      </c>
      <c r="E926" s="21">
        <v>7.99</v>
      </c>
    </row>
    <row r="927" spans="1:5">
      <c r="A927" s="8">
        <v>6607</v>
      </c>
      <c r="B927" s="8" t="s">
        <v>710</v>
      </c>
      <c r="C927" s="20" t="s">
        <v>711</v>
      </c>
      <c r="D927" s="20">
        <v>45334</v>
      </c>
      <c r="E927" s="21">
        <v>15.99</v>
      </c>
    </row>
    <row r="928" spans="1:5">
      <c r="A928" s="8">
        <v>7949</v>
      </c>
      <c r="B928" s="8" t="s">
        <v>391</v>
      </c>
      <c r="C928" s="20">
        <v>45231</v>
      </c>
      <c r="D928" s="20" t="s">
        <v>134</v>
      </c>
      <c r="E928" s="21">
        <v>11.99</v>
      </c>
    </row>
    <row r="929" spans="1:5">
      <c r="A929" s="8">
        <v>5337</v>
      </c>
      <c r="B929" s="8" t="s">
        <v>508</v>
      </c>
      <c r="C929" s="20" t="s">
        <v>348</v>
      </c>
      <c r="D929" s="20" t="s">
        <v>105</v>
      </c>
      <c r="E929" s="21">
        <v>7.99</v>
      </c>
    </row>
    <row r="930" spans="1:5">
      <c r="A930" s="8">
        <v>8477</v>
      </c>
      <c r="B930" s="8" t="s">
        <v>236</v>
      </c>
      <c r="C930" s="20" t="s">
        <v>145</v>
      </c>
      <c r="D930" s="20">
        <v>45334</v>
      </c>
      <c r="E930" s="21">
        <v>7.99</v>
      </c>
    </row>
    <row r="931" spans="1:5">
      <c r="A931" s="8">
        <v>7673</v>
      </c>
      <c r="B931" s="8" t="s">
        <v>712</v>
      </c>
      <c r="C931" s="20" t="s">
        <v>139</v>
      </c>
      <c r="D931" s="20" t="s">
        <v>82</v>
      </c>
      <c r="E931" s="21">
        <v>7.99</v>
      </c>
    </row>
    <row r="932" spans="1:5">
      <c r="A932" s="8">
        <v>6113</v>
      </c>
      <c r="B932" s="8" t="s">
        <v>713</v>
      </c>
      <c r="C932" s="20">
        <v>45088</v>
      </c>
      <c r="D932" s="20" t="s">
        <v>42</v>
      </c>
      <c r="E932" s="21">
        <v>11.99</v>
      </c>
    </row>
    <row r="933" spans="1:5">
      <c r="A933" s="8">
        <v>7457</v>
      </c>
      <c r="B933" s="8" t="s">
        <v>498</v>
      </c>
      <c r="C933" s="20">
        <v>45264</v>
      </c>
      <c r="D933" s="20" t="s">
        <v>168</v>
      </c>
      <c r="E933" s="21">
        <v>11.99</v>
      </c>
    </row>
    <row r="934" spans="1:5">
      <c r="A934" s="8">
        <v>6639</v>
      </c>
      <c r="B934" s="8" t="s">
        <v>401</v>
      </c>
      <c r="C934" s="20" t="s">
        <v>213</v>
      </c>
      <c r="D934" s="20" t="s">
        <v>103</v>
      </c>
      <c r="E934" s="21">
        <v>7.99</v>
      </c>
    </row>
    <row r="935" spans="1:5">
      <c r="A935" s="8">
        <v>5220</v>
      </c>
      <c r="B935" s="8" t="s">
        <v>212</v>
      </c>
      <c r="C935" s="20" t="s">
        <v>714</v>
      </c>
      <c r="D935" s="20">
        <v>45516</v>
      </c>
      <c r="E935" s="21">
        <v>7.99</v>
      </c>
    </row>
    <row r="936" spans="1:5">
      <c r="A936" s="8">
        <v>6970</v>
      </c>
      <c r="B936" s="8" t="s">
        <v>367</v>
      </c>
      <c r="C936" s="20" t="s">
        <v>72</v>
      </c>
      <c r="D936" s="20">
        <v>45424</v>
      </c>
      <c r="E936" s="21">
        <v>7.99</v>
      </c>
    </row>
    <row r="937" spans="1:5">
      <c r="A937" s="8">
        <v>6705</v>
      </c>
      <c r="B937" s="8" t="s">
        <v>126</v>
      </c>
      <c r="C937" s="20" t="s">
        <v>715</v>
      </c>
      <c r="D937" s="20">
        <v>45547</v>
      </c>
      <c r="E937" s="21">
        <v>7.99</v>
      </c>
    </row>
    <row r="938" spans="1:5">
      <c r="A938" s="8">
        <v>2477</v>
      </c>
      <c r="B938" s="8" t="s">
        <v>365</v>
      </c>
      <c r="C938" s="20" t="s">
        <v>306</v>
      </c>
      <c r="D938" s="20" t="s">
        <v>214</v>
      </c>
      <c r="E938" s="21">
        <v>15.99</v>
      </c>
    </row>
    <row r="939" spans="1:5">
      <c r="A939" s="8">
        <v>6236</v>
      </c>
      <c r="B939" s="8" t="s">
        <v>657</v>
      </c>
      <c r="C939" s="20" t="s">
        <v>561</v>
      </c>
      <c r="D939" s="20" t="s">
        <v>82</v>
      </c>
      <c r="E939" s="21">
        <v>11.99</v>
      </c>
    </row>
    <row r="940" spans="1:5">
      <c r="A940" s="8">
        <v>4079</v>
      </c>
      <c r="B940" s="8" t="s">
        <v>716</v>
      </c>
      <c r="C940" s="20" t="s">
        <v>655</v>
      </c>
      <c r="D940" s="20" t="s">
        <v>35</v>
      </c>
      <c r="E940" s="21">
        <v>7.99</v>
      </c>
    </row>
    <row r="941" spans="1:5">
      <c r="A941" s="8">
        <v>7927</v>
      </c>
      <c r="B941" s="8" t="s">
        <v>592</v>
      </c>
      <c r="C941" s="20">
        <v>45231</v>
      </c>
      <c r="D941" s="20" t="s">
        <v>84</v>
      </c>
      <c r="E941" s="21">
        <v>7.99</v>
      </c>
    </row>
    <row r="942" spans="1:5">
      <c r="A942" s="8">
        <v>5059</v>
      </c>
      <c r="B942" s="8" t="s">
        <v>41</v>
      </c>
      <c r="C942" s="20">
        <v>45360</v>
      </c>
      <c r="D942" s="20" t="s">
        <v>99</v>
      </c>
      <c r="E942" s="21">
        <v>11.99</v>
      </c>
    </row>
    <row r="943" spans="1:5">
      <c r="A943" s="8">
        <v>4210</v>
      </c>
      <c r="B943" s="8" t="s">
        <v>284</v>
      </c>
      <c r="C943" s="20" t="s">
        <v>717</v>
      </c>
      <c r="D943" s="20" t="s">
        <v>214</v>
      </c>
      <c r="E943" s="21">
        <v>11.99</v>
      </c>
    </row>
    <row r="944" spans="1:5">
      <c r="A944" s="8">
        <v>5054</v>
      </c>
      <c r="B944" s="8" t="s">
        <v>41</v>
      </c>
      <c r="C944" s="20">
        <v>45231</v>
      </c>
      <c r="D944" s="20" t="s">
        <v>90</v>
      </c>
      <c r="E944" s="21">
        <v>11.99</v>
      </c>
    </row>
    <row r="945" spans="1:5">
      <c r="A945" s="8">
        <v>5836</v>
      </c>
      <c r="B945" s="8" t="s">
        <v>504</v>
      </c>
      <c r="C945" s="20">
        <v>45512</v>
      </c>
      <c r="D945" s="20" t="s">
        <v>134</v>
      </c>
      <c r="E945" s="21">
        <v>15.99</v>
      </c>
    </row>
    <row r="946" spans="1:5">
      <c r="A946" s="8">
        <v>8612</v>
      </c>
      <c r="B946" s="8" t="s">
        <v>304</v>
      </c>
      <c r="C946" s="20" t="s">
        <v>331</v>
      </c>
      <c r="D946" s="20" t="s">
        <v>103</v>
      </c>
      <c r="E946" s="21">
        <v>7.99</v>
      </c>
    </row>
    <row r="947" spans="1:5">
      <c r="A947" s="8">
        <v>7445</v>
      </c>
      <c r="B947" s="8" t="s">
        <v>125</v>
      </c>
      <c r="C947" s="20" t="s">
        <v>111</v>
      </c>
      <c r="D947" s="20" t="s">
        <v>109</v>
      </c>
      <c r="E947" s="21">
        <v>15.99</v>
      </c>
    </row>
    <row r="948" spans="1:5">
      <c r="A948" s="8">
        <v>6135</v>
      </c>
      <c r="B948" s="8" t="s">
        <v>112</v>
      </c>
      <c r="C948" s="20">
        <v>45575</v>
      </c>
      <c r="D948" s="20" t="s">
        <v>134</v>
      </c>
      <c r="E948" s="21">
        <v>7.99</v>
      </c>
    </row>
    <row r="949" spans="1:5">
      <c r="A949" s="8">
        <v>3168</v>
      </c>
      <c r="B949" s="8" t="s">
        <v>373</v>
      </c>
      <c r="C949" s="20">
        <v>45477</v>
      </c>
      <c r="D949" s="20" t="s">
        <v>134</v>
      </c>
      <c r="E949" s="21">
        <v>7.99</v>
      </c>
    </row>
    <row r="950" spans="1:5">
      <c r="A950" s="8">
        <v>2981</v>
      </c>
      <c r="B950" s="8" t="s">
        <v>718</v>
      </c>
      <c r="C950" s="20">
        <v>45478</v>
      </c>
      <c r="D950" s="20">
        <v>45363</v>
      </c>
      <c r="E950" s="21">
        <v>11.99</v>
      </c>
    </row>
    <row r="951" spans="1:5">
      <c r="A951" s="8">
        <v>7739</v>
      </c>
      <c r="B951" s="8" t="s">
        <v>254</v>
      </c>
      <c r="C951" s="20">
        <v>45263</v>
      </c>
      <c r="D951" s="20">
        <v>45608</v>
      </c>
      <c r="E951" s="21">
        <v>7.99</v>
      </c>
    </row>
    <row r="952" spans="1:5">
      <c r="A952" s="8">
        <v>5905</v>
      </c>
      <c r="B952" s="8" t="s">
        <v>345</v>
      </c>
      <c r="C952" s="20">
        <v>45446</v>
      </c>
      <c r="D952" s="20">
        <v>45547</v>
      </c>
      <c r="E952" s="21">
        <v>15.99</v>
      </c>
    </row>
    <row r="953" spans="1:5">
      <c r="A953" s="8">
        <v>1443</v>
      </c>
      <c r="B953" s="8" t="s">
        <v>369</v>
      </c>
      <c r="C953" s="20" t="s">
        <v>719</v>
      </c>
      <c r="D953" s="20" t="s">
        <v>72</v>
      </c>
      <c r="E953" s="21">
        <v>11.99</v>
      </c>
    </row>
    <row r="954" spans="1:5">
      <c r="A954" s="8">
        <v>6181</v>
      </c>
      <c r="B954" s="8" t="s">
        <v>608</v>
      </c>
      <c r="C954" s="20">
        <v>45303</v>
      </c>
      <c r="D954" s="20">
        <v>45424</v>
      </c>
      <c r="E954" s="21">
        <v>11.99</v>
      </c>
    </row>
    <row r="955" spans="1:5">
      <c r="A955" s="8">
        <v>8406</v>
      </c>
      <c r="B955" s="8" t="s">
        <v>720</v>
      </c>
      <c r="C955" s="20" t="s">
        <v>111</v>
      </c>
      <c r="D955" s="20" t="s">
        <v>42</v>
      </c>
      <c r="E955" s="21">
        <v>11.99</v>
      </c>
    </row>
    <row r="956" spans="1:5">
      <c r="A956" s="8">
        <v>5389</v>
      </c>
      <c r="B956" s="8" t="s">
        <v>721</v>
      </c>
      <c r="C956" s="20" t="s">
        <v>722</v>
      </c>
      <c r="D956" s="20" t="s">
        <v>168</v>
      </c>
      <c r="E956" s="21">
        <v>11.99</v>
      </c>
    </row>
    <row r="957" spans="1:5">
      <c r="A957" s="8">
        <v>4586</v>
      </c>
      <c r="B957" s="8" t="s">
        <v>723</v>
      </c>
      <c r="C957" s="20" t="s">
        <v>216</v>
      </c>
      <c r="D957" s="20">
        <v>45303</v>
      </c>
      <c r="E957" s="21">
        <v>7.99</v>
      </c>
    </row>
    <row r="958" spans="1:5">
      <c r="A958" s="8">
        <v>4020</v>
      </c>
      <c r="B958" s="8" t="s">
        <v>691</v>
      </c>
      <c r="C958" s="20" t="s">
        <v>540</v>
      </c>
      <c r="D958" s="20">
        <v>45334</v>
      </c>
      <c r="E958" s="21">
        <v>15.99</v>
      </c>
    </row>
    <row r="959" spans="1:5">
      <c r="A959" s="8">
        <v>1635</v>
      </c>
      <c r="B959" s="8" t="s">
        <v>434</v>
      </c>
      <c r="C959" s="20" t="s">
        <v>432</v>
      </c>
      <c r="D959" s="20">
        <v>45424</v>
      </c>
      <c r="E959" s="21">
        <v>15.99</v>
      </c>
    </row>
    <row r="960" spans="1:5">
      <c r="A960" s="8">
        <v>9257</v>
      </c>
      <c r="B960" s="8" t="s">
        <v>177</v>
      </c>
      <c r="C960" s="20">
        <v>45418</v>
      </c>
      <c r="D960" s="20" t="s">
        <v>168</v>
      </c>
      <c r="E960" s="21">
        <v>7.99</v>
      </c>
    </row>
    <row r="961" spans="1:5">
      <c r="A961" s="8">
        <v>6380</v>
      </c>
      <c r="B961" s="8" t="s">
        <v>88</v>
      </c>
      <c r="C961" s="20">
        <v>45020</v>
      </c>
      <c r="D961" s="20" t="s">
        <v>42</v>
      </c>
      <c r="E961" s="21">
        <v>7.99</v>
      </c>
    </row>
    <row r="962" spans="1:5">
      <c r="A962" s="8">
        <v>6385</v>
      </c>
      <c r="B962" s="8" t="s">
        <v>508</v>
      </c>
      <c r="C962" s="20" t="s">
        <v>670</v>
      </c>
      <c r="D962" s="20" t="s">
        <v>105</v>
      </c>
      <c r="E962" s="21">
        <v>11.99</v>
      </c>
    </row>
    <row r="963" spans="1:5">
      <c r="A963" s="8">
        <v>6858</v>
      </c>
      <c r="B963" s="8" t="s">
        <v>318</v>
      </c>
      <c r="C963" s="20" t="s">
        <v>724</v>
      </c>
      <c r="D963" s="20">
        <v>45638</v>
      </c>
      <c r="E963" s="21">
        <v>11.99</v>
      </c>
    </row>
    <row r="964" spans="1:5">
      <c r="A964" s="8">
        <v>8875</v>
      </c>
      <c r="B964" s="8" t="s">
        <v>434</v>
      </c>
      <c r="C964" s="20" t="s">
        <v>81</v>
      </c>
      <c r="D964" s="20" t="s">
        <v>72</v>
      </c>
      <c r="E964" s="21">
        <v>15.99</v>
      </c>
    </row>
    <row r="965" spans="1:5">
      <c r="A965" s="8">
        <v>3334</v>
      </c>
      <c r="B965" s="8" t="s">
        <v>286</v>
      </c>
      <c r="C965" s="20">
        <v>45477</v>
      </c>
      <c r="D965" s="20">
        <v>45424</v>
      </c>
      <c r="E965" s="21">
        <v>15.99</v>
      </c>
    </row>
    <row r="966" spans="1:5">
      <c r="A966" s="8">
        <v>5850</v>
      </c>
      <c r="B966" s="8" t="s">
        <v>126</v>
      </c>
      <c r="C966" s="20">
        <v>45115</v>
      </c>
      <c r="D966" s="20">
        <v>45608</v>
      </c>
      <c r="E966" s="21">
        <v>15.99</v>
      </c>
    </row>
    <row r="967" spans="1:5">
      <c r="A967" s="8">
        <v>8593</v>
      </c>
      <c r="B967" s="8" t="s">
        <v>153</v>
      </c>
      <c r="C967" s="20" t="s">
        <v>467</v>
      </c>
      <c r="D967" s="20">
        <v>45577</v>
      </c>
      <c r="E967" s="21">
        <v>15.99</v>
      </c>
    </row>
    <row r="968" spans="1:5">
      <c r="A968" s="8">
        <v>6278</v>
      </c>
      <c r="B968" s="8" t="s">
        <v>357</v>
      </c>
      <c r="C968" s="20" t="s">
        <v>314</v>
      </c>
      <c r="D968" s="20" t="s">
        <v>87</v>
      </c>
      <c r="E968" s="21">
        <v>7.99</v>
      </c>
    </row>
    <row r="969" spans="1:5">
      <c r="A969" s="8">
        <v>1388</v>
      </c>
      <c r="B969" s="8" t="s">
        <v>157</v>
      </c>
      <c r="C969" s="20" t="s">
        <v>415</v>
      </c>
      <c r="D969" s="20">
        <v>45577</v>
      </c>
      <c r="E969" s="21">
        <v>15.99</v>
      </c>
    </row>
    <row r="970" spans="1:5">
      <c r="A970" s="8">
        <v>2521</v>
      </c>
      <c r="B970" s="8" t="s">
        <v>143</v>
      </c>
      <c r="C970" s="20" t="s">
        <v>725</v>
      </c>
      <c r="D970" s="20" t="s">
        <v>99</v>
      </c>
      <c r="E970" s="21">
        <v>15.99</v>
      </c>
    </row>
    <row r="971" spans="1:5">
      <c r="A971" s="8">
        <v>1269</v>
      </c>
      <c r="B971" s="8" t="s">
        <v>726</v>
      </c>
      <c r="C971" s="20">
        <v>45170</v>
      </c>
      <c r="D971" s="20" t="s">
        <v>168</v>
      </c>
      <c r="E971" s="21">
        <v>15.99</v>
      </c>
    </row>
    <row r="972" spans="1:5">
      <c r="A972" s="8">
        <v>9959</v>
      </c>
      <c r="B972" s="8" t="s">
        <v>266</v>
      </c>
      <c r="C972" s="20">
        <v>45605</v>
      </c>
      <c r="D972" s="20">
        <v>45577</v>
      </c>
      <c r="E972" s="21">
        <v>15.99</v>
      </c>
    </row>
    <row r="973" spans="1:5">
      <c r="A973" s="8">
        <v>7549</v>
      </c>
      <c r="B973" s="8" t="s">
        <v>720</v>
      </c>
      <c r="C973" s="20" t="s">
        <v>265</v>
      </c>
      <c r="D973" s="20" t="s">
        <v>105</v>
      </c>
      <c r="E973" s="21">
        <v>15.99</v>
      </c>
    </row>
    <row r="974" spans="1:5">
      <c r="A974" s="8">
        <v>4747</v>
      </c>
      <c r="B974" s="8" t="s">
        <v>224</v>
      </c>
      <c r="C974" s="20">
        <v>45567</v>
      </c>
      <c r="D974" s="20">
        <v>45547</v>
      </c>
      <c r="E974" s="21">
        <v>11.99</v>
      </c>
    </row>
    <row r="975" spans="1:5">
      <c r="A975" s="8">
        <v>8320</v>
      </c>
      <c r="B975" s="8" t="s">
        <v>549</v>
      </c>
      <c r="C975" s="20">
        <v>45323</v>
      </c>
      <c r="D975" s="20">
        <v>45547</v>
      </c>
      <c r="E975" s="21">
        <v>15.99</v>
      </c>
    </row>
    <row r="976" spans="1:5">
      <c r="A976" s="8">
        <v>1333</v>
      </c>
      <c r="B976" s="8" t="s">
        <v>106</v>
      </c>
      <c r="C976" s="20" t="s">
        <v>727</v>
      </c>
      <c r="D976" s="20" t="s">
        <v>54</v>
      </c>
      <c r="E976" s="21">
        <v>15.99</v>
      </c>
    </row>
    <row r="977" spans="1:5">
      <c r="A977" s="8">
        <v>5254</v>
      </c>
      <c r="B977" s="8" t="s">
        <v>542</v>
      </c>
      <c r="C977" s="20">
        <v>45605</v>
      </c>
      <c r="D977" s="20" t="s">
        <v>90</v>
      </c>
      <c r="E977" s="21">
        <v>15.99</v>
      </c>
    </row>
    <row r="978" spans="1:5">
      <c r="A978" s="8">
        <v>6842</v>
      </c>
      <c r="B978" s="8" t="s">
        <v>648</v>
      </c>
      <c r="C978" s="20" t="s">
        <v>127</v>
      </c>
      <c r="D978" s="20">
        <v>45516</v>
      </c>
      <c r="E978" s="21">
        <v>15.99</v>
      </c>
    </row>
    <row r="979" spans="1:5">
      <c r="A979" s="8">
        <v>9333</v>
      </c>
      <c r="B979" s="8" t="s">
        <v>635</v>
      </c>
      <c r="C979" s="20" t="s">
        <v>728</v>
      </c>
      <c r="D979" s="20" t="s">
        <v>72</v>
      </c>
      <c r="E979" s="21">
        <v>11.99</v>
      </c>
    </row>
    <row r="980" spans="1:5">
      <c r="A980" s="8">
        <v>9122</v>
      </c>
      <c r="B980" s="8" t="s">
        <v>729</v>
      </c>
      <c r="C980" s="20">
        <v>45359</v>
      </c>
      <c r="D980" s="20">
        <v>45608</v>
      </c>
      <c r="E980" s="21">
        <v>15.99</v>
      </c>
    </row>
    <row r="981" spans="1:5">
      <c r="A981" s="8">
        <v>6221</v>
      </c>
      <c r="B981" s="8" t="s">
        <v>143</v>
      </c>
      <c r="C981" s="20" t="s">
        <v>317</v>
      </c>
      <c r="D981" s="20" t="s">
        <v>87</v>
      </c>
      <c r="E981" s="21">
        <v>11.99</v>
      </c>
    </row>
    <row r="982" spans="1:5">
      <c r="A982" s="8">
        <v>9957</v>
      </c>
      <c r="B982" s="8" t="s">
        <v>357</v>
      </c>
      <c r="C982" s="20">
        <v>45149</v>
      </c>
      <c r="D982" s="20" t="s">
        <v>25</v>
      </c>
      <c r="E982" s="21">
        <v>15.99</v>
      </c>
    </row>
    <row r="983" spans="1:5">
      <c r="A983" s="8">
        <v>4680</v>
      </c>
      <c r="B983" s="8" t="s">
        <v>730</v>
      </c>
      <c r="C983" s="20" t="s">
        <v>129</v>
      </c>
      <c r="D983" s="20">
        <v>45608</v>
      </c>
      <c r="E983" s="21">
        <v>11.99</v>
      </c>
    </row>
    <row r="984" spans="1:5">
      <c r="A984" s="8">
        <v>5974</v>
      </c>
      <c r="B984" s="8" t="s">
        <v>731</v>
      </c>
      <c r="C984" s="20" t="s">
        <v>203</v>
      </c>
      <c r="D984" s="20" t="s">
        <v>109</v>
      </c>
      <c r="E984" s="21">
        <v>15.99</v>
      </c>
    </row>
    <row r="985" spans="1:5">
      <c r="A985" s="8">
        <v>6938</v>
      </c>
      <c r="B985" s="8" t="s">
        <v>382</v>
      </c>
      <c r="C985" s="20">
        <v>45417</v>
      </c>
      <c r="D985" s="20">
        <v>45638</v>
      </c>
      <c r="E985" s="21">
        <v>11.99</v>
      </c>
    </row>
    <row r="986" spans="1:5">
      <c r="A986" s="8">
        <v>1175</v>
      </c>
      <c r="B986" s="8" t="s">
        <v>584</v>
      </c>
      <c r="C986" s="20">
        <v>45629</v>
      </c>
      <c r="D986" s="20" t="s">
        <v>134</v>
      </c>
      <c r="E986" s="21">
        <v>15.99</v>
      </c>
    </row>
    <row r="987" spans="1:5">
      <c r="A987" s="8">
        <v>1260</v>
      </c>
      <c r="B987" s="8" t="s">
        <v>453</v>
      </c>
      <c r="C987" s="20">
        <v>45629</v>
      </c>
      <c r="D987" s="20">
        <v>45363</v>
      </c>
      <c r="E987" s="21">
        <v>7.99</v>
      </c>
    </row>
    <row r="988" spans="1:5">
      <c r="A988" s="8">
        <v>4645</v>
      </c>
      <c r="B988" s="8" t="s">
        <v>130</v>
      </c>
      <c r="C988" s="20" t="s">
        <v>732</v>
      </c>
      <c r="D988" s="20" t="s">
        <v>42</v>
      </c>
      <c r="E988" s="21">
        <v>7.99</v>
      </c>
    </row>
    <row r="989" spans="1:5">
      <c r="A989" s="8">
        <v>1637</v>
      </c>
      <c r="B989" s="8" t="s">
        <v>122</v>
      </c>
      <c r="C989" s="20">
        <v>45416</v>
      </c>
      <c r="D989" s="20" t="s">
        <v>54</v>
      </c>
      <c r="E989" s="21">
        <v>15.99</v>
      </c>
    </row>
    <row r="990" spans="1:5">
      <c r="A990" s="8">
        <v>7960</v>
      </c>
      <c r="B990" s="8" t="s">
        <v>521</v>
      </c>
      <c r="C990" s="20">
        <v>45170</v>
      </c>
      <c r="D990" s="20" t="s">
        <v>82</v>
      </c>
      <c r="E990" s="21">
        <v>15.99</v>
      </c>
    </row>
    <row r="991" spans="1:5">
      <c r="A991" s="8">
        <v>9693</v>
      </c>
      <c r="B991" s="8" t="s">
        <v>733</v>
      </c>
      <c r="C991" s="20" t="s">
        <v>123</v>
      </c>
      <c r="D991" s="20" t="s">
        <v>90</v>
      </c>
      <c r="E991" s="21">
        <v>15.99</v>
      </c>
    </row>
    <row r="992" spans="1:5">
      <c r="A992" s="8">
        <v>8743</v>
      </c>
      <c r="B992" s="8" t="s">
        <v>201</v>
      </c>
      <c r="C992" s="20" t="s">
        <v>121</v>
      </c>
      <c r="D992" s="20" t="s">
        <v>87</v>
      </c>
      <c r="E992" s="21">
        <v>11.99</v>
      </c>
    </row>
    <row r="993" spans="1:5">
      <c r="A993" s="8">
        <v>3379</v>
      </c>
      <c r="B993" s="8" t="s">
        <v>695</v>
      </c>
      <c r="C993" s="20">
        <v>45147</v>
      </c>
      <c r="D993" s="20">
        <v>45638</v>
      </c>
      <c r="E993" s="21">
        <v>15.99</v>
      </c>
    </row>
    <row r="994" spans="1:5">
      <c r="A994" s="8">
        <v>7696</v>
      </c>
      <c r="B994" s="8" t="s">
        <v>224</v>
      </c>
      <c r="C994" s="20">
        <v>45118</v>
      </c>
      <c r="D994" s="20" t="s">
        <v>90</v>
      </c>
      <c r="E994" s="21">
        <v>15.99</v>
      </c>
    </row>
    <row r="995" spans="1:5">
      <c r="A995" s="8">
        <v>8552</v>
      </c>
      <c r="B995" s="8" t="s">
        <v>23</v>
      </c>
      <c r="C995" s="20" t="s">
        <v>734</v>
      </c>
      <c r="D995" s="20" t="s">
        <v>99</v>
      </c>
      <c r="E995" s="21">
        <v>15.99</v>
      </c>
    </row>
    <row r="996" spans="1:5">
      <c r="A996" s="8">
        <v>5065</v>
      </c>
      <c r="B996" s="8" t="s">
        <v>257</v>
      </c>
      <c r="C996" s="20" t="s">
        <v>381</v>
      </c>
      <c r="D996" s="20" t="s">
        <v>90</v>
      </c>
      <c r="E996" s="21">
        <v>11.99</v>
      </c>
    </row>
    <row r="997" spans="1:5">
      <c r="A997" s="8">
        <v>6878</v>
      </c>
      <c r="B997" s="8" t="s">
        <v>52</v>
      </c>
      <c r="C997" s="20" t="s">
        <v>735</v>
      </c>
      <c r="D997" s="20" t="s">
        <v>99</v>
      </c>
      <c r="E997" s="21">
        <v>7.99</v>
      </c>
    </row>
    <row r="998" spans="1:5">
      <c r="A998" s="8">
        <v>5681</v>
      </c>
      <c r="B998" s="8" t="s">
        <v>254</v>
      </c>
      <c r="C998" s="20">
        <v>45509</v>
      </c>
      <c r="D998" s="20">
        <v>45516</v>
      </c>
      <c r="E998" s="21">
        <v>11.99</v>
      </c>
    </row>
    <row r="999" spans="1:5">
      <c r="A999" s="8">
        <v>4448</v>
      </c>
      <c r="B999" s="8" t="s">
        <v>179</v>
      </c>
      <c r="C999" s="20" t="s">
        <v>362</v>
      </c>
      <c r="D999" s="20" t="s">
        <v>129</v>
      </c>
      <c r="E999" s="21">
        <v>11.99</v>
      </c>
    </row>
    <row r="1000" spans="1:5">
      <c r="A1000" s="8">
        <v>5795</v>
      </c>
      <c r="B1000" s="8" t="s">
        <v>224</v>
      </c>
      <c r="C1000" s="20" t="s">
        <v>736</v>
      </c>
      <c r="D1000" s="20" t="s">
        <v>25</v>
      </c>
      <c r="E1000" s="21">
        <v>11.99</v>
      </c>
    </row>
    <row r="1001" spans="1:5">
      <c r="A1001" s="8">
        <v>5320</v>
      </c>
      <c r="B1001" s="8" t="s">
        <v>201</v>
      </c>
      <c r="C1001" s="20" t="s">
        <v>516</v>
      </c>
      <c r="D1001" s="20">
        <v>45547</v>
      </c>
      <c r="E1001" s="21">
        <v>11.99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H1003"/>
  <sheetViews>
    <sheetView workbookViewId="0">
      <selection activeCell="J6" sqref="J6"/>
    </sheetView>
    <sheetView workbookViewId="1">
      <selection activeCell="H4" sqref="H4"/>
    </sheetView>
    <sheetView tabSelected="1" workbookViewId="2">
      <selection activeCell="C1" sqref="C1"/>
    </sheetView>
  </sheetViews>
  <sheetFormatPr defaultRowHeight="14.4"/>
  <cols>
    <col min="3" max="3" width="26.6640625" bestFit="1" customWidth="1"/>
    <col min="4" max="4" width="21.109375" bestFit="1" customWidth="1"/>
    <col min="5" max="5" width="19.88671875" bestFit="1" customWidth="1"/>
    <col min="6" max="6" width="28.109375" bestFit="1" customWidth="1"/>
    <col min="7" max="7" width="22.21875" bestFit="1" customWidth="1"/>
    <col min="8" max="8" width="42.77734375" bestFit="1" customWidth="1"/>
  </cols>
  <sheetData>
    <row r="1" spans="1:8">
      <c r="A1" s="9" t="s">
        <v>0</v>
      </c>
      <c r="B1" s="25" t="s">
        <v>1</v>
      </c>
      <c r="C1" s="25" t="s">
        <v>5</v>
      </c>
      <c r="D1" s="25" t="s">
        <v>10</v>
      </c>
      <c r="E1" s="25" t="s">
        <v>11</v>
      </c>
      <c r="F1" s="7" t="s">
        <v>15</v>
      </c>
      <c r="G1" s="26" t="s">
        <v>742</v>
      </c>
      <c r="H1" s="37" t="s">
        <v>786</v>
      </c>
    </row>
    <row r="2" spans="1:8">
      <c r="A2" s="27">
        <v>2518</v>
      </c>
      <c r="B2" s="8" t="s">
        <v>23</v>
      </c>
      <c r="C2" s="8">
        <v>49</v>
      </c>
      <c r="D2" s="8">
        <v>641</v>
      </c>
      <c r="E2" s="8">
        <v>117</v>
      </c>
      <c r="F2" s="8">
        <v>84</v>
      </c>
      <c r="G2" s="28">
        <f>D2/E2</f>
        <v>5.4786324786324787</v>
      </c>
      <c r="H2" s="33">
        <f t="shared" ref="H2:H65" si="0">F2/(D2+E2)</f>
        <v>0.11081794195250659</v>
      </c>
    </row>
    <row r="3" spans="1:8">
      <c r="A3" s="27">
        <v>6430</v>
      </c>
      <c r="B3" s="8" t="s">
        <v>34</v>
      </c>
      <c r="C3" s="8">
        <v>161</v>
      </c>
      <c r="D3" s="8">
        <v>192</v>
      </c>
      <c r="E3" s="8">
        <v>65</v>
      </c>
      <c r="F3" s="8">
        <v>69</v>
      </c>
      <c r="G3" s="28">
        <f t="shared" ref="G3:G66" si="1">D3/E3</f>
        <v>2.953846153846154</v>
      </c>
      <c r="H3" s="33">
        <f t="shared" si="0"/>
        <v>0.26848249027237353</v>
      </c>
    </row>
    <row r="4" spans="1:8">
      <c r="A4" s="27">
        <v>1798</v>
      </c>
      <c r="B4" s="8" t="s">
        <v>41</v>
      </c>
      <c r="C4" s="8">
        <v>87</v>
      </c>
      <c r="D4" s="8">
        <v>260</v>
      </c>
      <c r="E4" s="8">
        <v>127</v>
      </c>
      <c r="F4" s="8">
        <v>56</v>
      </c>
      <c r="G4" s="28">
        <f t="shared" si="1"/>
        <v>2.0472440944881889</v>
      </c>
      <c r="H4" s="33">
        <f t="shared" si="0"/>
        <v>0.14470284237726097</v>
      </c>
    </row>
    <row r="5" spans="1:8">
      <c r="A5" s="27">
        <v>5255</v>
      </c>
      <c r="B5" s="8" t="s">
        <v>46</v>
      </c>
      <c r="C5" s="8">
        <v>321</v>
      </c>
      <c r="D5" s="8">
        <v>61</v>
      </c>
      <c r="E5" s="8">
        <v>192</v>
      </c>
      <c r="F5" s="8">
        <v>47</v>
      </c>
      <c r="G5" s="28">
        <f t="shared" si="1"/>
        <v>0.31770833333333331</v>
      </c>
      <c r="H5" s="33">
        <f t="shared" si="0"/>
        <v>0.1857707509881423</v>
      </c>
    </row>
    <row r="6" spans="1:8">
      <c r="A6" s="27">
        <v>2854</v>
      </c>
      <c r="B6" s="8" t="s">
        <v>50</v>
      </c>
      <c r="C6" s="8">
        <v>386</v>
      </c>
      <c r="D6" s="8">
        <v>230</v>
      </c>
      <c r="E6" s="8">
        <v>2</v>
      </c>
      <c r="F6" s="8">
        <v>39</v>
      </c>
      <c r="G6" s="28">
        <f t="shared" si="1"/>
        <v>115</v>
      </c>
      <c r="H6" s="33">
        <f t="shared" si="0"/>
        <v>0.16810344827586207</v>
      </c>
    </row>
    <row r="7" spans="1:8">
      <c r="A7" s="27">
        <v>6735</v>
      </c>
      <c r="B7" s="8" t="s">
        <v>52</v>
      </c>
      <c r="C7" s="8">
        <v>408</v>
      </c>
      <c r="D7" s="8">
        <v>837</v>
      </c>
      <c r="E7" s="8">
        <v>105</v>
      </c>
      <c r="F7" s="8">
        <v>71</v>
      </c>
      <c r="G7" s="28">
        <f t="shared" si="1"/>
        <v>7.9714285714285715</v>
      </c>
      <c r="H7" s="33">
        <f t="shared" si="0"/>
        <v>7.5371549893842885E-2</v>
      </c>
    </row>
    <row r="8" spans="1:8">
      <c r="A8" s="27">
        <v>2995</v>
      </c>
      <c r="B8" s="8" t="s">
        <v>61</v>
      </c>
      <c r="C8" s="8">
        <v>475</v>
      </c>
      <c r="D8" s="8">
        <v>510</v>
      </c>
      <c r="E8" s="8">
        <v>143</v>
      </c>
      <c r="F8" s="8">
        <v>1</v>
      </c>
      <c r="G8" s="28">
        <f t="shared" si="1"/>
        <v>3.5664335664335662</v>
      </c>
      <c r="H8" s="33">
        <f t="shared" si="0"/>
        <v>1.5313935681470138E-3</v>
      </c>
    </row>
    <row r="9" spans="1:8">
      <c r="A9" s="27">
        <v>5120</v>
      </c>
      <c r="B9" s="8" t="s">
        <v>66</v>
      </c>
      <c r="C9" s="8">
        <v>258</v>
      </c>
      <c r="D9" s="8">
        <v>907</v>
      </c>
      <c r="E9" s="8">
        <v>47</v>
      </c>
      <c r="F9" s="8">
        <v>32</v>
      </c>
      <c r="G9" s="28">
        <f t="shared" si="1"/>
        <v>19.297872340425531</v>
      </c>
      <c r="H9" s="33">
        <f t="shared" si="0"/>
        <v>3.3542976939203356E-2</v>
      </c>
    </row>
    <row r="10" spans="1:8">
      <c r="A10" s="27">
        <v>6063</v>
      </c>
      <c r="B10" s="8" t="s">
        <v>70</v>
      </c>
      <c r="C10" s="8">
        <v>183</v>
      </c>
      <c r="D10" s="8">
        <v>676</v>
      </c>
      <c r="E10" s="8">
        <v>61</v>
      </c>
      <c r="F10" s="8">
        <v>26</v>
      </c>
      <c r="G10" s="28">
        <f t="shared" si="1"/>
        <v>11.081967213114755</v>
      </c>
      <c r="H10" s="33">
        <f t="shared" si="0"/>
        <v>3.5278154681139755E-2</v>
      </c>
    </row>
    <row r="11" spans="1:8">
      <c r="A11" s="27">
        <v>6896</v>
      </c>
      <c r="B11" s="8" t="s">
        <v>77</v>
      </c>
      <c r="C11" s="8">
        <v>164</v>
      </c>
      <c r="D11" s="8">
        <v>406</v>
      </c>
      <c r="E11" s="8">
        <v>79</v>
      </c>
      <c r="F11" s="8">
        <v>90</v>
      </c>
      <c r="G11" s="28">
        <f t="shared" si="1"/>
        <v>5.1392405063291138</v>
      </c>
      <c r="H11" s="33">
        <f t="shared" si="0"/>
        <v>0.18556701030927836</v>
      </c>
    </row>
    <row r="12" spans="1:8">
      <c r="A12" s="27">
        <v>8447</v>
      </c>
      <c r="B12" s="8" t="s">
        <v>80</v>
      </c>
      <c r="C12" s="8">
        <v>411</v>
      </c>
      <c r="D12" s="8">
        <v>352</v>
      </c>
      <c r="E12" s="8">
        <v>78</v>
      </c>
      <c r="F12" s="8">
        <v>47</v>
      </c>
      <c r="G12" s="28">
        <f t="shared" si="1"/>
        <v>4.5128205128205128</v>
      </c>
      <c r="H12" s="33">
        <f t="shared" si="0"/>
        <v>0.10930232558139535</v>
      </c>
    </row>
    <row r="13" spans="1:8">
      <c r="A13" s="27">
        <v>1433</v>
      </c>
      <c r="B13" s="8" t="s">
        <v>83</v>
      </c>
      <c r="C13" s="8">
        <v>160</v>
      </c>
      <c r="D13" s="8">
        <v>391</v>
      </c>
      <c r="E13" s="8">
        <v>132</v>
      </c>
      <c r="F13" s="8">
        <v>57</v>
      </c>
      <c r="G13" s="28">
        <f t="shared" si="1"/>
        <v>2.9621212121212119</v>
      </c>
      <c r="H13" s="33">
        <f t="shared" si="0"/>
        <v>0.10898661567877629</v>
      </c>
    </row>
    <row r="14" spans="1:8">
      <c r="A14" s="27">
        <v>4511</v>
      </c>
      <c r="B14" s="8" t="s">
        <v>85</v>
      </c>
      <c r="C14" s="8">
        <v>348</v>
      </c>
      <c r="D14" s="8">
        <v>501</v>
      </c>
      <c r="E14" s="8">
        <v>71</v>
      </c>
      <c r="F14" s="8">
        <v>38</v>
      </c>
      <c r="G14" s="28">
        <f t="shared" si="1"/>
        <v>7.056338028169014</v>
      </c>
      <c r="H14" s="33">
        <f t="shared" si="0"/>
        <v>6.6433566433566432E-2</v>
      </c>
    </row>
    <row r="15" spans="1:8">
      <c r="A15" s="27">
        <v>9966</v>
      </c>
      <c r="B15" s="8" t="s">
        <v>88</v>
      </c>
      <c r="C15" s="8">
        <v>451</v>
      </c>
      <c r="D15" s="8">
        <v>995</v>
      </c>
      <c r="E15" s="8">
        <v>164</v>
      </c>
      <c r="F15" s="8">
        <v>62</v>
      </c>
      <c r="G15" s="28">
        <f t="shared" si="1"/>
        <v>6.0670731707317076</v>
      </c>
      <c r="H15" s="33">
        <f t="shared" si="0"/>
        <v>5.3494391716997408E-2</v>
      </c>
    </row>
    <row r="16" spans="1:8">
      <c r="A16" s="27">
        <v>7093</v>
      </c>
      <c r="B16" s="8" t="s">
        <v>91</v>
      </c>
      <c r="C16" s="8">
        <v>69</v>
      </c>
      <c r="D16" s="8">
        <v>222</v>
      </c>
      <c r="E16" s="8">
        <v>13</v>
      </c>
      <c r="F16" s="8">
        <v>0</v>
      </c>
      <c r="G16" s="28">
        <f t="shared" si="1"/>
        <v>17.076923076923077</v>
      </c>
      <c r="H16" s="33">
        <f t="shared" si="0"/>
        <v>0</v>
      </c>
    </row>
    <row r="17" spans="1:8">
      <c r="A17" s="27">
        <v>4351</v>
      </c>
      <c r="B17" s="8" t="s">
        <v>94</v>
      </c>
      <c r="C17" s="8">
        <v>166</v>
      </c>
      <c r="D17" s="8">
        <v>788</v>
      </c>
      <c r="E17" s="8">
        <v>31</v>
      </c>
      <c r="F17" s="8">
        <v>25</v>
      </c>
      <c r="G17" s="28">
        <f t="shared" si="1"/>
        <v>25.419354838709676</v>
      </c>
      <c r="H17" s="33">
        <f t="shared" si="0"/>
        <v>3.0525030525030524E-2</v>
      </c>
    </row>
    <row r="18" spans="1:8">
      <c r="A18" s="27">
        <v>6007</v>
      </c>
      <c r="B18" s="8" t="s">
        <v>96</v>
      </c>
      <c r="C18" s="8">
        <v>449</v>
      </c>
      <c r="D18" s="8">
        <v>369</v>
      </c>
      <c r="E18" s="8">
        <v>25</v>
      </c>
      <c r="F18" s="8">
        <v>65</v>
      </c>
      <c r="G18" s="28">
        <f t="shared" si="1"/>
        <v>14.76</v>
      </c>
      <c r="H18" s="33">
        <f t="shared" si="0"/>
        <v>0.1649746192893401</v>
      </c>
    </row>
    <row r="19" spans="1:8">
      <c r="A19" s="27">
        <v>9710</v>
      </c>
      <c r="B19" s="8" t="s">
        <v>98</v>
      </c>
      <c r="C19" s="8">
        <v>441</v>
      </c>
      <c r="D19" s="8">
        <v>228</v>
      </c>
      <c r="E19" s="8">
        <v>39</v>
      </c>
      <c r="F19" s="8">
        <v>50</v>
      </c>
      <c r="G19" s="28">
        <f t="shared" si="1"/>
        <v>5.8461538461538458</v>
      </c>
      <c r="H19" s="33">
        <f t="shared" si="0"/>
        <v>0.18726591760299627</v>
      </c>
    </row>
    <row r="20" spans="1:8">
      <c r="A20" s="27">
        <v>9034</v>
      </c>
      <c r="B20" s="8" t="s">
        <v>101</v>
      </c>
      <c r="C20" s="8">
        <v>224</v>
      </c>
      <c r="D20" s="8">
        <v>827</v>
      </c>
      <c r="E20" s="8">
        <v>138</v>
      </c>
      <c r="F20" s="8">
        <v>11</v>
      </c>
      <c r="G20" s="28">
        <f t="shared" si="1"/>
        <v>5.9927536231884062</v>
      </c>
      <c r="H20" s="33">
        <f t="shared" si="0"/>
        <v>1.1398963730569948E-2</v>
      </c>
    </row>
    <row r="21" spans="1:8">
      <c r="A21" s="27">
        <v>6197</v>
      </c>
      <c r="B21" s="8" t="s">
        <v>104</v>
      </c>
      <c r="C21" s="8">
        <v>44</v>
      </c>
      <c r="D21" s="8">
        <v>983</v>
      </c>
      <c r="E21" s="8">
        <v>145</v>
      </c>
      <c r="F21" s="8">
        <v>78</v>
      </c>
      <c r="G21" s="28">
        <f t="shared" si="1"/>
        <v>6.7793103448275858</v>
      </c>
      <c r="H21" s="33">
        <f t="shared" si="0"/>
        <v>6.9148936170212769E-2</v>
      </c>
    </row>
    <row r="22" spans="1:8">
      <c r="A22" s="27">
        <v>2820</v>
      </c>
      <c r="B22" s="8" t="s">
        <v>106</v>
      </c>
      <c r="C22" s="8">
        <v>202</v>
      </c>
      <c r="D22" s="8">
        <v>109</v>
      </c>
      <c r="E22" s="8">
        <v>41</v>
      </c>
      <c r="F22" s="8">
        <v>42</v>
      </c>
      <c r="G22" s="28">
        <f t="shared" si="1"/>
        <v>2.6585365853658538</v>
      </c>
      <c r="H22" s="33">
        <f t="shared" si="0"/>
        <v>0.28000000000000003</v>
      </c>
    </row>
    <row r="23" spans="1:8">
      <c r="A23" s="27">
        <v>1101</v>
      </c>
      <c r="B23" s="8" t="s">
        <v>52</v>
      </c>
      <c r="C23" s="8">
        <v>39</v>
      </c>
      <c r="D23" s="8">
        <v>181</v>
      </c>
      <c r="E23" s="8">
        <v>128</v>
      </c>
      <c r="F23" s="8">
        <v>3</v>
      </c>
      <c r="G23" s="28">
        <f t="shared" si="1"/>
        <v>1.4140625</v>
      </c>
      <c r="H23" s="33">
        <f t="shared" si="0"/>
        <v>9.7087378640776691E-3</v>
      </c>
    </row>
    <row r="24" spans="1:8">
      <c r="A24" s="27">
        <v>1650</v>
      </c>
      <c r="B24" s="8" t="s">
        <v>98</v>
      </c>
      <c r="C24" s="8">
        <v>319</v>
      </c>
      <c r="D24" s="8">
        <v>842</v>
      </c>
      <c r="E24" s="8">
        <v>145</v>
      </c>
      <c r="F24" s="8">
        <v>27</v>
      </c>
      <c r="G24" s="28">
        <f t="shared" si="1"/>
        <v>5.8068965517241375</v>
      </c>
      <c r="H24" s="33">
        <f t="shared" si="0"/>
        <v>2.7355623100303952E-2</v>
      </c>
    </row>
    <row r="25" spans="1:8">
      <c r="A25" s="27">
        <v>4884</v>
      </c>
      <c r="B25" s="8" t="s">
        <v>110</v>
      </c>
      <c r="C25" s="8">
        <v>150</v>
      </c>
      <c r="D25" s="8">
        <v>40</v>
      </c>
      <c r="E25" s="8">
        <v>196</v>
      </c>
      <c r="F25" s="8">
        <v>60</v>
      </c>
      <c r="G25" s="28">
        <f t="shared" si="1"/>
        <v>0.20408163265306123</v>
      </c>
      <c r="H25" s="33">
        <f t="shared" si="0"/>
        <v>0.25423728813559321</v>
      </c>
    </row>
    <row r="26" spans="1:8">
      <c r="A26" s="27">
        <v>8321</v>
      </c>
      <c r="B26" s="8" t="s">
        <v>112</v>
      </c>
      <c r="C26" s="8">
        <v>496</v>
      </c>
      <c r="D26" s="8">
        <v>431</v>
      </c>
      <c r="E26" s="8">
        <v>41</v>
      </c>
      <c r="F26" s="8">
        <v>91</v>
      </c>
      <c r="G26" s="28">
        <f t="shared" si="1"/>
        <v>10.512195121951219</v>
      </c>
      <c r="H26" s="33">
        <f t="shared" si="0"/>
        <v>0.19279661016949154</v>
      </c>
    </row>
    <row r="27" spans="1:8">
      <c r="A27" s="27">
        <v>2381</v>
      </c>
      <c r="B27" s="8" t="s">
        <v>114</v>
      </c>
      <c r="C27" s="8">
        <v>347</v>
      </c>
      <c r="D27" s="8">
        <v>415</v>
      </c>
      <c r="E27" s="8">
        <v>194</v>
      </c>
      <c r="F27" s="8">
        <v>76</v>
      </c>
      <c r="G27" s="28">
        <f t="shared" si="1"/>
        <v>2.1391752577319587</v>
      </c>
      <c r="H27" s="33">
        <f t="shared" si="0"/>
        <v>0.12479474548440066</v>
      </c>
    </row>
    <row r="28" spans="1:8">
      <c r="A28" s="27">
        <v>9507</v>
      </c>
      <c r="B28" s="8" t="s">
        <v>116</v>
      </c>
      <c r="C28" s="8">
        <v>201</v>
      </c>
      <c r="D28" s="8">
        <v>902</v>
      </c>
      <c r="E28" s="8">
        <v>86</v>
      </c>
      <c r="F28" s="8">
        <v>69</v>
      </c>
      <c r="G28" s="28">
        <f t="shared" si="1"/>
        <v>10.488372093023257</v>
      </c>
      <c r="H28" s="33">
        <f t="shared" si="0"/>
        <v>6.983805668016195E-2</v>
      </c>
    </row>
    <row r="29" spans="1:8">
      <c r="A29" s="27">
        <v>2851</v>
      </c>
      <c r="B29" s="8" t="s">
        <v>118</v>
      </c>
      <c r="C29" s="8">
        <v>415</v>
      </c>
      <c r="D29" s="8">
        <v>769</v>
      </c>
      <c r="E29" s="8">
        <v>144</v>
      </c>
      <c r="F29" s="8">
        <v>98</v>
      </c>
      <c r="G29" s="28">
        <f t="shared" si="1"/>
        <v>5.3402777777777777</v>
      </c>
      <c r="H29" s="33">
        <f t="shared" si="0"/>
        <v>0.10733844468784227</v>
      </c>
    </row>
    <row r="30" spans="1:8">
      <c r="A30" s="27">
        <v>4083</v>
      </c>
      <c r="B30" s="8" t="s">
        <v>120</v>
      </c>
      <c r="C30" s="8">
        <v>32</v>
      </c>
      <c r="D30" s="8">
        <v>588</v>
      </c>
      <c r="E30" s="8">
        <v>137</v>
      </c>
      <c r="F30" s="8">
        <v>85</v>
      </c>
      <c r="G30" s="28">
        <f t="shared" si="1"/>
        <v>4.2919708029197077</v>
      </c>
      <c r="H30" s="33">
        <f t="shared" si="0"/>
        <v>0.11724137931034483</v>
      </c>
    </row>
    <row r="31" spans="1:8">
      <c r="A31" s="27">
        <v>4608</v>
      </c>
      <c r="B31" s="8" t="s">
        <v>122</v>
      </c>
      <c r="C31" s="8">
        <v>338</v>
      </c>
      <c r="D31" s="8">
        <v>528</v>
      </c>
      <c r="E31" s="8">
        <v>184</v>
      </c>
      <c r="F31" s="8">
        <v>58</v>
      </c>
      <c r="G31" s="28">
        <f t="shared" si="1"/>
        <v>2.8695652173913042</v>
      </c>
      <c r="H31" s="33">
        <f t="shared" si="0"/>
        <v>8.1460674157303375E-2</v>
      </c>
    </row>
    <row r="32" spans="1:8">
      <c r="A32" s="27">
        <v>4815</v>
      </c>
      <c r="B32" s="8" t="s">
        <v>124</v>
      </c>
      <c r="C32" s="8">
        <v>52</v>
      </c>
      <c r="D32" s="8">
        <v>467</v>
      </c>
      <c r="E32" s="8">
        <v>23</v>
      </c>
      <c r="F32" s="8">
        <v>97</v>
      </c>
      <c r="G32" s="28">
        <f t="shared" si="1"/>
        <v>20.304347826086957</v>
      </c>
      <c r="H32" s="33">
        <f t="shared" si="0"/>
        <v>0.19795918367346937</v>
      </c>
    </row>
    <row r="33" spans="1:8">
      <c r="A33" s="27">
        <v>9597</v>
      </c>
      <c r="B33" s="8" t="s">
        <v>125</v>
      </c>
      <c r="C33" s="8">
        <v>447</v>
      </c>
      <c r="D33" s="8">
        <v>73</v>
      </c>
      <c r="E33" s="8">
        <v>138</v>
      </c>
      <c r="F33" s="8">
        <v>84</v>
      </c>
      <c r="G33" s="28">
        <f t="shared" si="1"/>
        <v>0.52898550724637683</v>
      </c>
      <c r="H33" s="33">
        <f t="shared" si="0"/>
        <v>0.3981042654028436</v>
      </c>
    </row>
    <row r="34" spans="1:8">
      <c r="A34" s="27">
        <v>6566</v>
      </c>
      <c r="B34" s="8" t="s">
        <v>126</v>
      </c>
      <c r="C34" s="8">
        <v>312</v>
      </c>
      <c r="D34" s="8">
        <v>895</v>
      </c>
      <c r="E34" s="8">
        <v>154</v>
      </c>
      <c r="F34" s="8">
        <v>85</v>
      </c>
      <c r="G34" s="28">
        <f t="shared" si="1"/>
        <v>5.8116883116883118</v>
      </c>
      <c r="H34" s="33">
        <f t="shared" si="0"/>
        <v>8.1029551954242135E-2</v>
      </c>
    </row>
    <row r="35" spans="1:8">
      <c r="A35" s="27">
        <v>1419</v>
      </c>
      <c r="B35" s="8" t="s">
        <v>128</v>
      </c>
      <c r="C35" s="8">
        <v>406</v>
      </c>
      <c r="D35" s="8">
        <v>983</v>
      </c>
      <c r="E35" s="8">
        <v>113</v>
      </c>
      <c r="F35" s="8">
        <v>78</v>
      </c>
      <c r="G35" s="28">
        <f t="shared" si="1"/>
        <v>8.6991150442477885</v>
      </c>
      <c r="H35" s="33">
        <f t="shared" si="0"/>
        <v>7.1167883211678828E-2</v>
      </c>
    </row>
    <row r="36" spans="1:8">
      <c r="A36" s="27">
        <v>9470</v>
      </c>
      <c r="B36" s="8" t="s">
        <v>130</v>
      </c>
      <c r="C36" s="8">
        <v>350</v>
      </c>
      <c r="D36" s="8">
        <v>801</v>
      </c>
      <c r="E36" s="8">
        <v>156</v>
      </c>
      <c r="F36" s="8">
        <v>66</v>
      </c>
      <c r="G36" s="28">
        <f t="shared" si="1"/>
        <v>5.134615384615385</v>
      </c>
      <c r="H36" s="33">
        <f t="shared" si="0"/>
        <v>6.8965517241379309E-2</v>
      </c>
    </row>
    <row r="37" spans="1:8">
      <c r="A37" s="27">
        <v>4989</v>
      </c>
      <c r="B37" s="8" t="s">
        <v>132</v>
      </c>
      <c r="C37" s="8">
        <v>99</v>
      </c>
      <c r="D37" s="8">
        <v>96</v>
      </c>
      <c r="E37" s="8">
        <v>114</v>
      </c>
      <c r="F37" s="8">
        <v>45</v>
      </c>
      <c r="G37" s="28">
        <f t="shared" si="1"/>
        <v>0.84210526315789469</v>
      </c>
      <c r="H37" s="33">
        <f t="shared" si="0"/>
        <v>0.21428571428571427</v>
      </c>
    </row>
    <row r="38" spans="1:8">
      <c r="A38" s="27">
        <v>9389</v>
      </c>
      <c r="B38" s="8" t="s">
        <v>133</v>
      </c>
      <c r="C38" s="8">
        <v>53</v>
      </c>
      <c r="D38" s="8">
        <v>849</v>
      </c>
      <c r="E38" s="8">
        <v>98</v>
      </c>
      <c r="F38" s="8">
        <v>14</v>
      </c>
      <c r="G38" s="28">
        <f t="shared" si="1"/>
        <v>8.6632653061224492</v>
      </c>
      <c r="H38" s="33">
        <f t="shared" si="0"/>
        <v>1.4783526927138331E-2</v>
      </c>
    </row>
    <row r="39" spans="1:8">
      <c r="A39" s="27">
        <v>7728</v>
      </c>
      <c r="B39" s="8" t="s">
        <v>135</v>
      </c>
      <c r="C39" s="8">
        <v>484</v>
      </c>
      <c r="D39" s="8">
        <v>515</v>
      </c>
      <c r="E39" s="8">
        <v>174</v>
      </c>
      <c r="F39" s="8">
        <v>12</v>
      </c>
      <c r="G39" s="28">
        <f t="shared" si="1"/>
        <v>2.9597701149425286</v>
      </c>
      <c r="H39" s="33">
        <f t="shared" si="0"/>
        <v>1.741654571843251E-2</v>
      </c>
    </row>
    <row r="40" spans="1:8">
      <c r="A40" s="27">
        <v>7943</v>
      </c>
      <c r="B40" s="8" t="s">
        <v>137</v>
      </c>
      <c r="C40" s="8">
        <v>211</v>
      </c>
      <c r="D40" s="8">
        <v>657</v>
      </c>
      <c r="E40" s="8">
        <v>137</v>
      </c>
      <c r="F40" s="8">
        <v>26</v>
      </c>
      <c r="G40" s="28">
        <f t="shared" si="1"/>
        <v>4.7956204379562042</v>
      </c>
      <c r="H40" s="33">
        <f t="shared" si="0"/>
        <v>3.2745591939546598E-2</v>
      </c>
    </row>
    <row r="41" spans="1:8">
      <c r="A41" s="27">
        <v>2490</v>
      </c>
      <c r="B41" s="8" t="s">
        <v>138</v>
      </c>
      <c r="C41" s="8">
        <v>248</v>
      </c>
      <c r="D41" s="8">
        <v>426</v>
      </c>
      <c r="E41" s="8">
        <v>21</v>
      </c>
      <c r="F41" s="8">
        <v>99</v>
      </c>
      <c r="G41" s="28">
        <f t="shared" si="1"/>
        <v>20.285714285714285</v>
      </c>
      <c r="H41" s="33">
        <f t="shared" si="0"/>
        <v>0.22147651006711411</v>
      </c>
    </row>
    <row r="42" spans="1:8">
      <c r="A42" s="27">
        <v>5042</v>
      </c>
      <c r="B42" s="8" t="s">
        <v>140</v>
      </c>
      <c r="C42" s="8">
        <v>197</v>
      </c>
      <c r="D42" s="8">
        <v>309</v>
      </c>
      <c r="E42" s="8">
        <v>178</v>
      </c>
      <c r="F42" s="8">
        <v>7</v>
      </c>
      <c r="G42" s="28">
        <f t="shared" si="1"/>
        <v>1.7359550561797752</v>
      </c>
      <c r="H42" s="33">
        <f t="shared" si="0"/>
        <v>1.4373716632443531E-2</v>
      </c>
    </row>
    <row r="43" spans="1:8">
      <c r="A43" s="27">
        <v>3620</v>
      </c>
      <c r="B43" s="8" t="s">
        <v>142</v>
      </c>
      <c r="C43" s="8">
        <v>253</v>
      </c>
      <c r="D43" s="8">
        <v>141</v>
      </c>
      <c r="E43" s="8">
        <v>199</v>
      </c>
      <c r="F43" s="8">
        <v>72</v>
      </c>
      <c r="G43" s="28">
        <f t="shared" si="1"/>
        <v>0.70854271356783916</v>
      </c>
      <c r="H43" s="33">
        <f t="shared" si="0"/>
        <v>0.21176470588235294</v>
      </c>
    </row>
    <row r="44" spans="1:8">
      <c r="A44" s="27">
        <v>8976</v>
      </c>
      <c r="B44" s="8" t="s">
        <v>143</v>
      </c>
      <c r="C44" s="8">
        <v>352</v>
      </c>
      <c r="D44" s="8">
        <v>112</v>
      </c>
      <c r="E44" s="8">
        <v>106</v>
      </c>
      <c r="F44" s="8">
        <v>33</v>
      </c>
      <c r="G44" s="28">
        <f t="shared" si="1"/>
        <v>1.0566037735849056</v>
      </c>
      <c r="H44" s="33">
        <f t="shared" si="0"/>
        <v>0.15137614678899083</v>
      </c>
    </row>
    <row r="45" spans="1:8">
      <c r="A45" s="27">
        <v>1570</v>
      </c>
      <c r="B45" s="8" t="s">
        <v>138</v>
      </c>
      <c r="C45" s="8">
        <v>97</v>
      </c>
      <c r="D45" s="8">
        <v>836</v>
      </c>
      <c r="E45" s="8">
        <v>122</v>
      </c>
      <c r="F45" s="8">
        <v>65</v>
      </c>
      <c r="G45" s="28">
        <f t="shared" si="1"/>
        <v>6.8524590163934427</v>
      </c>
      <c r="H45" s="33">
        <f t="shared" si="0"/>
        <v>6.7849686847599164E-2</v>
      </c>
    </row>
    <row r="46" spans="1:8">
      <c r="A46" s="27">
        <v>7709</v>
      </c>
      <c r="B46" s="8" t="s">
        <v>146</v>
      </c>
      <c r="C46" s="8">
        <v>283</v>
      </c>
      <c r="D46" s="8">
        <v>785</v>
      </c>
      <c r="E46" s="8">
        <v>1</v>
      </c>
      <c r="F46" s="8">
        <v>79</v>
      </c>
      <c r="G46" s="28">
        <f t="shared" si="1"/>
        <v>785</v>
      </c>
      <c r="H46" s="33">
        <f t="shared" si="0"/>
        <v>0.1005089058524173</v>
      </c>
    </row>
    <row r="47" spans="1:8">
      <c r="A47" s="27">
        <v>9503</v>
      </c>
      <c r="B47" s="8" t="s">
        <v>147</v>
      </c>
      <c r="C47" s="8">
        <v>307</v>
      </c>
      <c r="D47" s="8">
        <v>857</v>
      </c>
      <c r="E47" s="8">
        <v>9</v>
      </c>
      <c r="F47" s="8">
        <v>55</v>
      </c>
      <c r="G47" s="28">
        <f t="shared" si="1"/>
        <v>95.222222222222229</v>
      </c>
      <c r="H47" s="33">
        <f t="shared" si="0"/>
        <v>6.3510392609699776E-2</v>
      </c>
    </row>
    <row r="48" spans="1:8">
      <c r="A48" s="27">
        <v>9564</v>
      </c>
      <c r="B48" s="8" t="s">
        <v>148</v>
      </c>
      <c r="C48" s="8">
        <v>203</v>
      </c>
      <c r="D48" s="8">
        <v>347</v>
      </c>
      <c r="E48" s="8">
        <v>18</v>
      </c>
      <c r="F48" s="8">
        <v>8</v>
      </c>
      <c r="G48" s="28">
        <f t="shared" si="1"/>
        <v>19.277777777777779</v>
      </c>
      <c r="H48" s="33">
        <f t="shared" si="0"/>
        <v>2.1917808219178082E-2</v>
      </c>
    </row>
    <row r="49" spans="1:8">
      <c r="A49" s="27">
        <v>8934</v>
      </c>
      <c r="B49" s="8" t="s">
        <v>150</v>
      </c>
      <c r="C49" s="8">
        <v>22</v>
      </c>
      <c r="D49" s="8">
        <v>707</v>
      </c>
      <c r="E49" s="8">
        <v>156</v>
      </c>
      <c r="F49" s="8">
        <v>99</v>
      </c>
      <c r="G49" s="28">
        <f t="shared" si="1"/>
        <v>4.5320512820512819</v>
      </c>
      <c r="H49" s="33">
        <f t="shared" si="0"/>
        <v>0.11471610660486674</v>
      </c>
    </row>
    <row r="50" spans="1:8">
      <c r="A50" s="27">
        <v>1222</v>
      </c>
      <c r="B50" s="8" t="s">
        <v>152</v>
      </c>
      <c r="C50" s="8">
        <v>382</v>
      </c>
      <c r="D50" s="8">
        <v>49</v>
      </c>
      <c r="E50" s="8">
        <v>45</v>
      </c>
      <c r="F50" s="8">
        <v>63</v>
      </c>
      <c r="G50" s="28">
        <f t="shared" si="1"/>
        <v>1.0888888888888888</v>
      </c>
      <c r="H50" s="33">
        <f t="shared" si="0"/>
        <v>0.67021276595744683</v>
      </c>
    </row>
    <row r="51" spans="1:8">
      <c r="A51" s="27">
        <v>5762</v>
      </c>
      <c r="B51" s="8" t="s">
        <v>153</v>
      </c>
      <c r="C51" s="8">
        <v>302</v>
      </c>
      <c r="D51" s="8">
        <v>801</v>
      </c>
      <c r="E51" s="8">
        <v>141</v>
      </c>
      <c r="F51" s="8">
        <v>62</v>
      </c>
      <c r="G51" s="28">
        <f t="shared" si="1"/>
        <v>5.6808510638297873</v>
      </c>
      <c r="H51" s="33">
        <f t="shared" si="0"/>
        <v>6.5817409766454352E-2</v>
      </c>
    </row>
    <row r="52" spans="1:8">
      <c r="A52" s="27">
        <v>4066</v>
      </c>
      <c r="B52" s="8" t="s">
        <v>143</v>
      </c>
      <c r="C52" s="8">
        <v>76</v>
      </c>
      <c r="D52" s="8">
        <v>788</v>
      </c>
      <c r="E52" s="8">
        <v>55</v>
      </c>
      <c r="F52" s="8">
        <v>50</v>
      </c>
      <c r="G52" s="28">
        <f t="shared" si="1"/>
        <v>14.327272727272728</v>
      </c>
      <c r="H52" s="33">
        <f t="shared" si="0"/>
        <v>5.9311981020166077E-2</v>
      </c>
    </row>
    <row r="53" spans="1:8">
      <c r="A53" s="27">
        <v>6469</v>
      </c>
      <c r="B53" s="8" t="s">
        <v>98</v>
      </c>
      <c r="C53" s="8">
        <v>125</v>
      </c>
      <c r="D53" s="8">
        <v>853</v>
      </c>
      <c r="E53" s="8">
        <v>16</v>
      </c>
      <c r="F53" s="8">
        <v>65</v>
      </c>
      <c r="G53" s="28">
        <f t="shared" si="1"/>
        <v>53.3125</v>
      </c>
      <c r="H53" s="33">
        <f t="shared" si="0"/>
        <v>7.4798619102416572E-2</v>
      </c>
    </row>
    <row r="54" spans="1:8">
      <c r="A54" s="27">
        <v>1364</v>
      </c>
      <c r="B54" s="8" t="s">
        <v>157</v>
      </c>
      <c r="C54" s="8">
        <v>113</v>
      </c>
      <c r="D54" s="8">
        <v>970</v>
      </c>
      <c r="E54" s="8">
        <v>159</v>
      </c>
      <c r="F54" s="8">
        <v>96</v>
      </c>
      <c r="G54" s="28">
        <f t="shared" si="1"/>
        <v>6.10062893081761</v>
      </c>
      <c r="H54" s="33">
        <f t="shared" si="0"/>
        <v>8.5031000885739588E-2</v>
      </c>
    </row>
    <row r="55" spans="1:8">
      <c r="A55" s="27">
        <v>4197</v>
      </c>
      <c r="B55" s="8" t="s">
        <v>143</v>
      </c>
      <c r="C55" s="8">
        <v>183</v>
      </c>
      <c r="D55" s="8">
        <v>490</v>
      </c>
      <c r="E55" s="8">
        <v>127</v>
      </c>
      <c r="F55" s="8">
        <v>40</v>
      </c>
      <c r="G55" s="28">
        <f t="shared" si="1"/>
        <v>3.8582677165354329</v>
      </c>
      <c r="H55" s="33">
        <f t="shared" si="0"/>
        <v>6.4829821717990274E-2</v>
      </c>
    </row>
    <row r="56" spans="1:8">
      <c r="A56" s="27">
        <v>9700</v>
      </c>
      <c r="B56" s="8" t="s">
        <v>160</v>
      </c>
      <c r="C56" s="8">
        <v>272</v>
      </c>
      <c r="D56" s="8">
        <v>201</v>
      </c>
      <c r="E56" s="8">
        <v>122</v>
      </c>
      <c r="F56" s="8">
        <v>94</v>
      </c>
      <c r="G56" s="28">
        <f t="shared" si="1"/>
        <v>1.6475409836065573</v>
      </c>
      <c r="H56" s="33">
        <f t="shared" si="0"/>
        <v>0.29102167182662536</v>
      </c>
    </row>
    <row r="57" spans="1:8">
      <c r="A57" s="27">
        <v>5644</v>
      </c>
      <c r="B57" s="8" t="s">
        <v>126</v>
      </c>
      <c r="C57" s="8">
        <v>19</v>
      </c>
      <c r="D57" s="8">
        <v>741</v>
      </c>
      <c r="E57" s="8">
        <v>36</v>
      </c>
      <c r="F57" s="8">
        <v>13</v>
      </c>
      <c r="G57" s="28">
        <f t="shared" si="1"/>
        <v>20.583333333333332</v>
      </c>
      <c r="H57" s="33">
        <f t="shared" si="0"/>
        <v>1.6731016731016731E-2</v>
      </c>
    </row>
    <row r="58" spans="1:8">
      <c r="A58" s="27">
        <v>5420</v>
      </c>
      <c r="B58" s="8" t="s">
        <v>162</v>
      </c>
      <c r="C58" s="8">
        <v>204</v>
      </c>
      <c r="D58" s="8">
        <v>928</v>
      </c>
      <c r="E58" s="8">
        <v>30</v>
      </c>
      <c r="F58" s="8">
        <v>58</v>
      </c>
      <c r="G58" s="28">
        <f t="shared" si="1"/>
        <v>30.933333333333334</v>
      </c>
      <c r="H58" s="33">
        <f t="shared" si="0"/>
        <v>6.0542797494780795E-2</v>
      </c>
    </row>
    <row r="59" spans="1:8">
      <c r="A59" s="27">
        <v>7560</v>
      </c>
      <c r="B59" s="8" t="s">
        <v>164</v>
      </c>
      <c r="C59" s="8">
        <v>345</v>
      </c>
      <c r="D59" s="8">
        <v>80</v>
      </c>
      <c r="E59" s="8">
        <v>100</v>
      </c>
      <c r="F59" s="8">
        <v>40</v>
      </c>
      <c r="G59" s="28">
        <f t="shared" si="1"/>
        <v>0.8</v>
      </c>
      <c r="H59" s="33">
        <f t="shared" si="0"/>
        <v>0.22222222222222221</v>
      </c>
    </row>
    <row r="60" spans="1:8">
      <c r="A60" s="27">
        <v>9644</v>
      </c>
      <c r="B60" s="8" t="s">
        <v>106</v>
      </c>
      <c r="C60" s="8">
        <v>294</v>
      </c>
      <c r="D60" s="8">
        <v>453</v>
      </c>
      <c r="E60" s="8">
        <v>149</v>
      </c>
      <c r="F60" s="8">
        <v>82</v>
      </c>
      <c r="G60" s="28">
        <f t="shared" si="1"/>
        <v>3.0402684563758391</v>
      </c>
      <c r="H60" s="33">
        <f t="shared" si="0"/>
        <v>0.13621262458471761</v>
      </c>
    </row>
    <row r="61" spans="1:8">
      <c r="A61" s="27">
        <v>7239</v>
      </c>
      <c r="B61" s="8" t="s">
        <v>166</v>
      </c>
      <c r="C61" s="8">
        <v>318</v>
      </c>
      <c r="D61" s="8">
        <v>943</v>
      </c>
      <c r="E61" s="8">
        <v>116</v>
      </c>
      <c r="F61" s="8">
        <v>22</v>
      </c>
      <c r="G61" s="28">
        <f t="shared" si="1"/>
        <v>8.1293103448275854</v>
      </c>
      <c r="H61" s="33">
        <f t="shared" si="0"/>
        <v>2.0774315391879131E-2</v>
      </c>
    </row>
    <row r="62" spans="1:8">
      <c r="A62" s="27">
        <v>6415</v>
      </c>
      <c r="B62" s="8" t="s">
        <v>169</v>
      </c>
      <c r="C62" s="8">
        <v>396</v>
      </c>
      <c r="D62" s="8">
        <v>348</v>
      </c>
      <c r="E62" s="8">
        <v>172</v>
      </c>
      <c r="F62" s="8">
        <v>61</v>
      </c>
      <c r="G62" s="28">
        <f t="shared" si="1"/>
        <v>2.0232558139534884</v>
      </c>
      <c r="H62" s="33">
        <f t="shared" si="0"/>
        <v>0.11730769230769231</v>
      </c>
    </row>
    <row r="63" spans="1:8">
      <c r="A63" s="27">
        <v>9020</v>
      </c>
      <c r="B63" s="8" t="s">
        <v>170</v>
      </c>
      <c r="C63" s="8">
        <v>455</v>
      </c>
      <c r="D63" s="8">
        <v>112</v>
      </c>
      <c r="E63" s="8">
        <v>158</v>
      </c>
      <c r="F63" s="8">
        <v>15</v>
      </c>
      <c r="G63" s="28">
        <f t="shared" si="1"/>
        <v>0.70886075949367089</v>
      </c>
      <c r="H63" s="33">
        <f t="shared" si="0"/>
        <v>5.5555555555555552E-2</v>
      </c>
    </row>
    <row r="64" spans="1:8">
      <c r="A64" s="27">
        <v>2324</v>
      </c>
      <c r="B64" s="8" t="s">
        <v>171</v>
      </c>
      <c r="C64" s="8">
        <v>175</v>
      </c>
      <c r="D64" s="8">
        <v>606</v>
      </c>
      <c r="E64" s="8">
        <v>195</v>
      </c>
      <c r="F64" s="8">
        <v>95</v>
      </c>
      <c r="G64" s="28">
        <f t="shared" si="1"/>
        <v>3.1076923076923078</v>
      </c>
      <c r="H64" s="33">
        <f t="shared" si="0"/>
        <v>0.11860174781523096</v>
      </c>
    </row>
    <row r="65" spans="1:8">
      <c r="A65" s="27">
        <v>1354</v>
      </c>
      <c r="B65" s="8" t="s">
        <v>172</v>
      </c>
      <c r="C65" s="8">
        <v>36</v>
      </c>
      <c r="D65" s="8">
        <v>214</v>
      </c>
      <c r="E65" s="8">
        <v>114</v>
      </c>
      <c r="F65" s="8">
        <v>39</v>
      </c>
      <c r="G65" s="28">
        <f t="shared" si="1"/>
        <v>1.8771929824561404</v>
      </c>
      <c r="H65" s="33">
        <f t="shared" si="0"/>
        <v>0.11890243902439024</v>
      </c>
    </row>
    <row r="66" spans="1:8">
      <c r="A66" s="27">
        <v>4019</v>
      </c>
      <c r="B66" s="8" t="s">
        <v>174</v>
      </c>
      <c r="C66" s="8">
        <v>349</v>
      </c>
      <c r="D66" s="8">
        <v>334</v>
      </c>
      <c r="E66" s="8">
        <v>76</v>
      </c>
      <c r="F66" s="8">
        <v>32</v>
      </c>
      <c r="G66" s="28">
        <f t="shared" si="1"/>
        <v>4.3947368421052628</v>
      </c>
      <c r="H66" s="33">
        <f t="shared" ref="H66:H129" si="2">F66/(D66+E66)</f>
        <v>7.8048780487804878E-2</v>
      </c>
    </row>
    <row r="67" spans="1:8">
      <c r="A67" s="27">
        <v>6178</v>
      </c>
      <c r="B67" s="8" t="s">
        <v>176</v>
      </c>
      <c r="C67" s="8">
        <v>262</v>
      </c>
      <c r="D67" s="8">
        <v>849</v>
      </c>
      <c r="E67" s="8">
        <v>68</v>
      </c>
      <c r="F67" s="8">
        <v>24</v>
      </c>
      <c r="G67" s="28">
        <f t="shared" ref="G67:G130" si="3">D67/E67</f>
        <v>12.485294117647058</v>
      </c>
      <c r="H67" s="33">
        <f t="shared" si="2"/>
        <v>2.6172300981461286E-2</v>
      </c>
    </row>
    <row r="68" spans="1:8">
      <c r="A68" s="27">
        <v>8673</v>
      </c>
      <c r="B68" s="8" t="s">
        <v>135</v>
      </c>
      <c r="C68" s="8">
        <v>378</v>
      </c>
      <c r="D68" s="8">
        <v>155</v>
      </c>
      <c r="E68" s="8">
        <v>69</v>
      </c>
      <c r="F68" s="8">
        <v>11</v>
      </c>
      <c r="G68" s="28">
        <f t="shared" si="3"/>
        <v>2.2463768115942031</v>
      </c>
      <c r="H68" s="33">
        <f t="shared" si="2"/>
        <v>4.9107142857142856E-2</v>
      </c>
    </row>
    <row r="69" spans="1:8">
      <c r="A69" s="27">
        <v>8250</v>
      </c>
      <c r="B69" s="8" t="s">
        <v>177</v>
      </c>
      <c r="C69" s="8">
        <v>469</v>
      </c>
      <c r="D69" s="8">
        <v>406</v>
      </c>
      <c r="E69" s="8">
        <v>71</v>
      </c>
      <c r="F69" s="8">
        <v>88</v>
      </c>
      <c r="G69" s="28">
        <f t="shared" si="3"/>
        <v>5.71830985915493</v>
      </c>
      <c r="H69" s="33">
        <f t="shared" si="2"/>
        <v>0.18448637316561844</v>
      </c>
    </row>
    <row r="70" spans="1:8">
      <c r="A70" s="27">
        <v>1609</v>
      </c>
      <c r="B70" s="8" t="s">
        <v>179</v>
      </c>
      <c r="C70" s="8">
        <v>87</v>
      </c>
      <c r="D70" s="8">
        <v>571</v>
      </c>
      <c r="E70" s="8">
        <v>54</v>
      </c>
      <c r="F70" s="8">
        <v>57</v>
      </c>
      <c r="G70" s="28">
        <f t="shared" si="3"/>
        <v>10.574074074074074</v>
      </c>
      <c r="H70" s="33">
        <f t="shared" si="2"/>
        <v>9.1200000000000003E-2</v>
      </c>
    </row>
    <row r="71" spans="1:8">
      <c r="A71" s="27">
        <v>3806</v>
      </c>
      <c r="B71" s="8" t="s">
        <v>181</v>
      </c>
      <c r="C71" s="8">
        <v>471</v>
      </c>
      <c r="D71" s="8">
        <v>56</v>
      </c>
      <c r="E71" s="8">
        <v>69</v>
      </c>
      <c r="F71" s="8">
        <v>44</v>
      </c>
      <c r="G71" s="28">
        <f t="shared" si="3"/>
        <v>0.81159420289855078</v>
      </c>
      <c r="H71" s="33">
        <f t="shared" si="2"/>
        <v>0.35199999999999998</v>
      </c>
    </row>
    <row r="72" spans="1:8">
      <c r="A72" s="27">
        <v>7973</v>
      </c>
      <c r="B72" s="8" t="s">
        <v>183</v>
      </c>
      <c r="C72" s="8">
        <v>469</v>
      </c>
      <c r="D72" s="8">
        <v>748</v>
      </c>
      <c r="E72" s="8">
        <v>147</v>
      </c>
      <c r="F72" s="8">
        <v>33</v>
      </c>
      <c r="G72" s="28">
        <f t="shared" si="3"/>
        <v>5.0884353741496602</v>
      </c>
      <c r="H72" s="33">
        <f t="shared" si="2"/>
        <v>3.6871508379888271E-2</v>
      </c>
    </row>
    <row r="73" spans="1:8">
      <c r="A73" s="27">
        <v>7948</v>
      </c>
      <c r="B73" s="8" t="s">
        <v>184</v>
      </c>
      <c r="C73" s="8">
        <v>298</v>
      </c>
      <c r="D73" s="8">
        <v>603</v>
      </c>
      <c r="E73" s="8">
        <v>161</v>
      </c>
      <c r="F73" s="8">
        <v>68</v>
      </c>
      <c r="G73" s="28">
        <f t="shared" si="3"/>
        <v>3.7453416149068324</v>
      </c>
      <c r="H73" s="33">
        <f t="shared" si="2"/>
        <v>8.9005235602094238E-2</v>
      </c>
    </row>
    <row r="74" spans="1:8">
      <c r="A74" s="27">
        <v>3195</v>
      </c>
      <c r="B74" s="8" t="s">
        <v>186</v>
      </c>
      <c r="C74" s="8">
        <v>331</v>
      </c>
      <c r="D74" s="8">
        <v>990</v>
      </c>
      <c r="E74" s="8">
        <v>72</v>
      </c>
      <c r="F74" s="8">
        <v>80</v>
      </c>
      <c r="G74" s="28">
        <f t="shared" si="3"/>
        <v>13.75</v>
      </c>
      <c r="H74" s="33">
        <f t="shared" si="2"/>
        <v>7.5329566854990579E-2</v>
      </c>
    </row>
    <row r="75" spans="1:8">
      <c r="A75" s="27">
        <v>6285</v>
      </c>
      <c r="B75" s="8" t="s">
        <v>188</v>
      </c>
      <c r="C75" s="8">
        <v>238</v>
      </c>
      <c r="D75" s="8">
        <v>831</v>
      </c>
      <c r="E75" s="8">
        <v>101</v>
      </c>
      <c r="F75" s="8">
        <v>94</v>
      </c>
      <c r="G75" s="28">
        <f t="shared" si="3"/>
        <v>8.227722772277227</v>
      </c>
      <c r="H75" s="33">
        <f t="shared" si="2"/>
        <v>0.10085836909871244</v>
      </c>
    </row>
    <row r="76" spans="1:8">
      <c r="A76" s="27">
        <v>4303</v>
      </c>
      <c r="B76" s="8" t="s">
        <v>179</v>
      </c>
      <c r="C76" s="8">
        <v>231</v>
      </c>
      <c r="D76" s="8">
        <v>420</v>
      </c>
      <c r="E76" s="8">
        <v>85</v>
      </c>
      <c r="F76" s="8">
        <v>30</v>
      </c>
      <c r="G76" s="28">
        <f t="shared" si="3"/>
        <v>4.9411764705882355</v>
      </c>
      <c r="H76" s="33">
        <f t="shared" si="2"/>
        <v>5.9405940594059403E-2</v>
      </c>
    </row>
    <row r="77" spans="1:8">
      <c r="A77" s="27">
        <v>7751</v>
      </c>
      <c r="B77" s="8" t="s">
        <v>190</v>
      </c>
      <c r="C77" s="8">
        <v>457</v>
      </c>
      <c r="D77" s="8">
        <v>754</v>
      </c>
      <c r="E77" s="8">
        <v>98</v>
      </c>
      <c r="F77" s="8">
        <v>53</v>
      </c>
      <c r="G77" s="28">
        <f t="shared" si="3"/>
        <v>7.6938775510204085</v>
      </c>
      <c r="H77" s="33">
        <f t="shared" si="2"/>
        <v>6.2206572769953054E-2</v>
      </c>
    </row>
    <row r="78" spans="1:8">
      <c r="A78" s="27">
        <v>7813</v>
      </c>
      <c r="B78" s="8" t="s">
        <v>191</v>
      </c>
      <c r="C78" s="8">
        <v>373</v>
      </c>
      <c r="D78" s="8">
        <v>782</v>
      </c>
      <c r="E78" s="8">
        <v>7</v>
      </c>
      <c r="F78" s="8">
        <v>18</v>
      </c>
      <c r="G78" s="28">
        <f t="shared" si="3"/>
        <v>111.71428571428571</v>
      </c>
      <c r="H78" s="33">
        <f t="shared" si="2"/>
        <v>2.2813688212927757E-2</v>
      </c>
    </row>
    <row r="79" spans="1:8">
      <c r="A79" s="27">
        <v>9028</v>
      </c>
      <c r="B79" s="8" t="s">
        <v>193</v>
      </c>
      <c r="C79" s="8">
        <v>11</v>
      </c>
      <c r="D79" s="8">
        <v>557</v>
      </c>
      <c r="E79" s="8">
        <v>165</v>
      </c>
      <c r="F79" s="8">
        <v>11</v>
      </c>
      <c r="G79" s="28">
        <f t="shared" si="3"/>
        <v>3.375757575757576</v>
      </c>
      <c r="H79" s="33">
        <f t="shared" si="2"/>
        <v>1.5235457063711912E-2</v>
      </c>
    </row>
    <row r="80" spans="1:8">
      <c r="A80" s="27">
        <v>6109</v>
      </c>
      <c r="B80" s="8" t="s">
        <v>194</v>
      </c>
      <c r="C80" s="8">
        <v>425</v>
      </c>
      <c r="D80" s="8">
        <v>552</v>
      </c>
      <c r="E80" s="8">
        <v>27</v>
      </c>
      <c r="F80" s="8">
        <v>36</v>
      </c>
      <c r="G80" s="28">
        <f t="shared" si="3"/>
        <v>20.444444444444443</v>
      </c>
      <c r="H80" s="33">
        <f t="shared" si="2"/>
        <v>6.2176165803108807E-2</v>
      </c>
    </row>
    <row r="81" spans="1:8">
      <c r="A81" s="27">
        <v>2565</v>
      </c>
      <c r="B81" s="8" t="s">
        <v>196</v>
      </c>
      <c r="C81" s="8">
        <v>231</v>
      </c>
      <c r="D81" s="8">
        <v>356</v>
      </c>
      <c r="E81" s="8">
        <v>81</v>
      </c>
      <c r="F81" s="8">
        <v>73</v>
      </c>
      <c r="G81" s="28">
        <f t="shared" si="3"/>
        <v>4.3950617283950617</v>
      </c>
      <c r="H81" s="33">
        <f t="shared" si="2"/>
        <v>0.16704805491990846</v>
      </c>
    </row>
    <row r="82" spans="1:8">
      <c r="A82" s="27">
        <v>7551</v>
      </c>
      <c r="B82" s="8" t="s">
        <v>197</v>
      </c>
      <c r="C82" s="8">
        <v>483</v>
      </c>
      <c r="D82" s="8">
        <v>161</v>
      </c>
      <c r="E82" s="8">
        <v>110</v>
      </c>
      <c r="F82" s="8">
        <v>71</v>
      </c>
      <c r="G82" s="28">
        <f t="shared" si="3"/>
        <v>1.4636363636363636</v>
      </c>
      <c r="H82" s="33">
        <f t="shared" si="2"/>
        <v>0.26199261992619927</v>
      </c>
    </row>
    <row r="83" spans="1:8">
      <c r="A83" s="27">
        <v>6398</v>
      </c>
      <c r="B83" s="8" t="s">
        <v>199</v>
      </c>
      <c r="C83" s="8">
        <v>55</v>
      </c>
      <c r="D83" s="8">
        <v>17</v>
      </c>
      <c r="E83" s="8">
        <v>40</v>
      </c>
      <c r="F83" s="8">
        <v>48</v>
      </c>
      <c r="G83" s="28">
        <f t="shared" si="3"/>
        <v>0.42499999999999999</v>
      </c>
      <c r="H83" s="33">
        <f t="shared" si="2"/>
        <v>0.84210526315789469</v>
      </c>
    </row>
    <row r="84" spans="1:8">
      <c r="A84" s="27">
        <v>4982</v>
      </c>
      <c r="B84" s="8" t="s">
        <v>201</v>
      </c>
      <c r="C84" s="8">
        <v>375</v>
      </c>
      <c r="D84" s="8">
        <v>366</v>
      </c>
      <c r="E84" s="8">
        <v>13</v>
      </c>
      <c r="F84" s="8">
        <v>73</v>
      </c>
      <c r="G84" s="28">
        <f t="shared" si="3"/>
        <v>28.153846153846153</v>
      </c>
      <c r="H84" s="33">
        <f t="shared" si="2"/>
        <v>0.19261213720316622</v>
      </c>
    </row>
    <row r="85" spans="1:8">
      <c r="A85" s="27">
        <v>8108</v>
      </c>
      <c r="B85" s="8" t="s">
        <v>202</v>
      </c>
      <c r="C85" s="8">
        <v>336</v>
      </c>
      <c r="D85" s="8">
        <v>758</v>
      </c>
      <c r="E85" s="8">
        <v>32</v>
      </c>
      <c r="F85" s="8">
        <v>64</v>
      </c>
      <c r="G85" s="28">
        <f t="shared" si="3"/>
        <v>23.6875</v>
      </c>
      <c r="H85" s="33">
        <f t="shared" si="2"/>
        <v>8.1012658227848103E-2</v>
      </c>
    </row>
    <row r="86" spans="1:8">
      <c r="A86" s="27">
        <v>6779</v>
      </c>
      <c r="B86" s="8" t="s">
        <v>204</v>
      </c>
      <c r="C86" s="8">
        <v>196</v>
      </c>
      <c r="D86" s="8">
        <v>936</v>
      </c>
      <c r="E86" s="8">
        <v>152</v>
      </c>
      <c r="F86" s="8">
        <v>3</v>
      </c>
      <c r="G86" s="28">
        <f t="shared" si="3"/>
        <v>6.1578947368421053</v>
      </c>
      <c r="H86" s="33">
        <f t="shared" si="2"/>
        <v>2.7573529411764708E-3</v>
      </c>
    </row>
    <row r="87" spans="1:8">
      <c r="A87" s="27">
        <v>1169</v>
      </c>
      <c r="B87" s="8" t="s">
        <v>157</v>
      </c>
      <c r="C87" s="8">
        <v>285</v>
      </c>
      <c r="D87" s="8">
        <v>13</v>
      </c>
      <c r="E87" s="8">
        <v>103</v>
      </c>
      <c r="F87" s="8">
        <v>11</v>
      </c>
      <c r="G87" s="28">
        <f t="shared" si="3"/>
        <v>0.12621359223300971</v>
      </c>
      <c r="H87" s="33">
        <f t="shared" si="2"/>
        <v>9.4827586206896547E-2</v>
      </c>
    </row>
    <row r="88" spans="1:8">
      <c r="A88" s="27">
        <v>5067</v>
      </c>
      <c r="B88" s="8" t="s">
        <v>207</v>
      </c>
      <c r="C88" s="8">
        <v>155</v>
      </c>
      <c r="D88" s="8">
        <v>305</v>
      </c>
      <c r="E88" s="8">
        <v>77</v>
      </c>
      <c r="F88" s="8">
        <v>66</v>
      </c>
      <c r="G88" s="28">
        <f t="shared" si="3"/>
        <v>3.9610389610389611</v>
      </c>
      <c r="H88" s="33">
        <f t="shared" si="2"/>
        <v>0.17277486910994763</v>
      </c>
    </row>
    <row r="89" spans="1:8">
      <c r="A89" s="27">
        <v>5299</v>
      </c>
      <c r="B89" s="8" t="s">
        <v>209</v>
      </c>
      <c r="C89" s="8">
        <v>275</v>
      </c>
      <c r="D89" s="8">
        <v>755</v>
      </c>
      <c r="E89" s="8">
        <v>166</v>
      </c>
      <c r="F89" s="8">
        <v>45</v>
      </c>
      <c r="G89" s="28">
        <f t="shared" si="3"/>
        <v>4.5481927710843371</v>
      </c>
      <c r="H89" s="33">
        <f t="shared" si="2"/>
        <v>4.8859934853420196E-2</v>
      </c>
    </row>
    <row r="90" spans="1:8">
      <c r="A90" s="27">
        <v>3978</v>
      </c>
      <c r="B90" s="8" t="s">
        <v>143</v>
      </c>
      <c r="C90" s="8">
        <v>341</v>
      </c>
      <c r="D90" s="8">
        <v>27</v>
      </c>
      <c r="E90" s="8">
        <v>82</v>
      </c>
      <c r="F90" s="8">
        <v>98</v>
      </c>
      <c r="G90" s="28">
        <f t="shared" si="3"/>
        <v>0.32926829268292684</v>
      </c>
      <c r="H90" s="33">
        <f t="shared" si="2"/>
        <v>0.8990825688073395</v>
      </c>
    </row>
    <row r="91" spans="1:8">
      <c r="A91" s="27">
        <v>8634</v>
      </c>
      <c r="B91" s="8" t="s">
        <v>211</v>
      </c>
      <c r="C91" s="8">
        <v>321</v>
      </c>
      <c r="D91" s="8">
        <v>676</v>
      </c>
      <c r="E91" s="8">
        <v>81</v>
      </c>
      <c r="F91" s="8">
        <v>65</v>
      </c>
      <c r="G91" s="28">
        <f t="shared" si="3"/>
        <v>8.3456790123456788</v>
      </c>
      <c r="H91" s="33">
        <f t="shared" si="2"/>
        <v>8.5865257595772793E-2</v>
      </c>
    </row>
    <row r="92" spans="1:8">
      <c r="A92" s="27">
        <v>9635</v>
      </c>
      <c r="B92" s="8" t="s">
        <v>212</v>
      </c>
      <c r="C92" s="8">
        <v>456</v>
      </c>
      <c r="D92" s="8">
        <v>734</v>
      </c>
      <c r="E92" s="8">
        <v>83</v>
      </c>
      <c r="F92" s="8">
        <v>87</v>
      </c>
      <c r="G92" s="28">
        <f t="shared" si="3"/>
        <v>8.8433734939759034</v>
      </c>
      <c r="H92" s="33">
        <f t="shared" si="2"/>
        <v>0.10648714810281518</v>
      </c>
    </row>
    <row r="93" spans="1:8">
      <c r="A93" s="27">
        <v>1776</v>
      </c>
      <c r="B93" s="8" t="s">
        <v>215</v>
      </c>
      <c r="C93" s="8">
        <v>15</v>
      </c>
      <c r="D93" s="8">
        <v>687</v>
      </c>
      <c r="E93" s="8">
        <v>183</v>
      </c>
      <c r="F93" s="8">
        <v>46</v>
      </c>
      <c r="G93" s="28">
        <f t="shared" si="3"/>
        <v>3.7540983606557377</v>
      </c>
      <c r="H93" s="33">
        <f t="shared" si="2"/>
        <v>5.2873563218390804E-2</v>
      </c>
    </row>
    <row r="94" spans="1:8">
      <c r="A94" s="27">
        <v>9703</v>
      </c>
      <c r="B94" s="8" t="s">
        <v>106</v>
      </c>
      <c r="C94" s="8">
        <v>410</v>
      </c>
      <c r="D94" s="8">
        <v>826</v>
      </c>
      <c r="E94" s="8">
        <v>182</v>
      </c>
      <c r="F94" s="8">
        <v>69</v>
      </c>
      <c r="G94" s="28">
        <f t="shared" si="3"/>
        <v>4.5384615384615383</v>
      </c>
      <c r="H94" s="33">
        <f t="shared" si="2"/>
        <v>6.8452380952380959E-2</v>
      </c>
    </row>
    <row r="95" spans="1:8">
      <c r="A95" s="27">
        <v>3498</v>
      </c>
      <c r="B95" s="8" t="s">
        <v>218</v>
      </c>
      <c r="C95" s="8">
        <v>29</v>
      </c>
      <c r="D95" s="8">
        <v>450</v>
      </c>
      <c r="E95" s="8">
        <v>67</v>
      </c>
      <c r="F95" s="8">
        <v>52</v>
      </c>
      <c r="G95" s="28">
        <f t="shared" si="3"/>
        <v>6.7164179104477615</v>
      </c>
      <c r="H95" s="33">
        <f t="shared" si="2"/>
        <v>0.10058027079303675</v>
      </c>
    </row>
    <row r="96" spans="1:8">
      <c r="A96" s="27">
        <v>4260</v>
      </c>
      <c r="B96" s="8" t="s">
        <v>219</v>
      </c>
      <c r="C96" s="8">
        <v>427</v>
      </c>
      <c r="D96" s="8">
        <v>159</v>
      </c>
      <c r="E96" s="8">
        <v>98</v>
      </c>
      <c r="F96" s="8">
        <v>66</v>
      </c>
      <c r="G96" s="28">
        <f t="shared" si="3"/>
        <v>1.6224489795918366</v>
      </c>
      <c r="H96" s="33">
        <f t="shared" si="2"/>
        <v>0.25680933852140075</v>
      </c>
    </row>
    <row r="97" spans="1:8">
      <c r="A97" s="27">
        <v>7152</v>
      </c>
      <c r="B97" s="8" t="s">
        <v>153</v>
      </c>
      <c r="C97" s="8">
        <v>166</v>
      </c>
      <c r="D97" s="8">
        <v>367</v>
      </c>
      <c r="E97" s="8">
        <v>198</v>
      </c>
      <c r="F97" s="8">
        <v>11</v>
      </c>
      <c r="G97" s="28">
        <f t="shared" si="3"/>
        <v>1.8535353535353536</v>
      </c>
      <c r="H97" s="33">
        <f t="shared" si="2"/>
        <v>1.9469026548672566E-2</v>
      </c>
    </row>
    <row r="98" spans="1:8">
      <c r="A98" s="27">
        <v>2457</v>
      </c>
      <c r="B98" s="8" t="s">
        <v>179</v>
      </c>
      <c r="C98" s="8">
        <v>192</v>
      </c>
      <c r="D98" s="8">
        <v>786</v>
      </c>
      <c r="E98" s="8">
        <v>140</v>
      </c>
      <c r="F98" s="8">
        <v>95</v>
      </c>
      <c r="G98" s="28">
        <f t="shared" si="3"/>
        <v>5.6142857142857139</v>
      </c>
      <c r="H98" s="33">
        <f t="shared" si="2"/>
        <v>0.10259179265658748</v>
      </c>
    </row>
    <row r="99" spans="1:8">
      <c r="A99" s="27">
        <v>8530</v>
      </c>
      <c r="B99" s="8" t="s">
        <v>222</v>
      </c>
      <c r="C99" s="8">
        <v>88</v>
      </c>
      <c r="D99" s="8">
        <v>962</v>
      </c>
      <c r="E99" s="8">
        <v>183</v>
      </c>
      <c r="F99" s="8">
        <v>90</v>
      </c>
      <c r="G99" s="28">
        <f t="shared" si="3"/>
        <v>5.2568306010928962</v>
      </c>
      <c r="H99" s="33">
        <f t="shared" si="2"/>
        <v>7.8602620087336247E-2</v>
      </c>
    </row>
    <row r="100" spans="1:8">
      <c r="A100" s="27">
        <v>9131</v>
      </c>
      <c r="B100" s="8" t="s">
        <v>223</v>
      </c>
      <c r="C100" s="8">
        <v>127</v>
      </c>
      <c r="D100" s="8">
        <v>482</v>
      </c>
      <c r="E100" s="8">
        <v>5</v>
      </c>
      <c r="F100" s="8">
        <v>99</v>
      </c>
      <c r="G100" s="28">
        <f t="shared" si="3"/>
        <v>96.4</v>
      </c>
      <c r="H100" s="33">
        <f t="shared" si="2"/>
        <v>0.20328542094455851</v>
      </c>
    </row>
    <row r="101" spans="1:8">
      <c r="A101" s="27">
        <v>9770</v>
      </c>
      <c r="B101" s="8" t="s">
        <v>224</v>
      </c>
      <c r="C101" s="8">
        <v>327</v>
      </c>
      <c r="D101" s="8">
        <v>451</v>
      </c>
      <c r="E101" s="8">
        <v>108</v>
      </c>
      <c r="F101" s="8">
        <v>91</v>
      </c>
      <c r="G101" s="28">
        <f t="shared" si="3"/>
        <v>4.1759259259259256</v>
      </c>
      <c r="H101" s="33">
        <f t="shared" si="2"/>
        <v>0.16279069767441862</v>
      </c>
    </row>
    <row r="102" spans="1:8">
      <c r="A102" s="27">
        <v>8095</v>
      </c>
      <c r="B102" s="8" t="s">
        <v>226</v>
      </c>
      <c r="C102" s="8">
        <v>10</v>
      </c>
      <c r="D102" s="8">
        <v>22</v>
      </c>
      <c r="E102" s="8">
        <v>14</v>
      </c>
      <c r="F102" s="8">
        <v>25</v>
      </c>
      <c r="G102" s="28">
        <f t="shared" si="3"/>
        <v>1.5714285714285714</v>
      </c>
      <c r="H102" s="33">
        <f t="shared" si="2"/>
        <v>0.69444444444444442</v>
      </c>
    </row>
    <row r="103" spans="1:8">
      <c r="A103" s="27">
        <v>3763</v>
      </c>
      <c r="B103" s="8" t="s">
        <v>228</v>
      </c>
      <c r="C103" s="8">
        <v>181</v>
      </c>
      <c r="D103" s="8">
        <v>848</v>
      </c>
      <c r="E103" s="8">
        <v>172</v>
      </c>
      <c r="F103" s="8">
        <v>6</v>
      </c>
      <c r="G103" s="28">
        <f t="shared" si="3"/>
        <v>4.9302325581395348</v>
      </c>
      <c r="H103" s="33">
        <f t="shared" si="2"/>
        <v>5.8823529411764705E-3</v>
      </c>
    </row>
    <row r="104" spans="1:8">
      <c r="A104" s="27">
        <v>4346</v>
      </c>
      <c r="B104" s="8" t="s">
        <v>230</v>
      </c>
      <c r="C104" s="8">
        <v>238</v>
      </c>
      <c r="D104" s="8">
        <v>524</v>
      </c>
      <c r="E104" s="8">
        <v>162</v>
      </c>
      <c r="F104" s="8">
        <v>20</v>
      </c>
      <c r="G104" s="28">
        <f t="shared" si="3"/>
        <v>3.2345679012345681</v>
      </c>
      <c r="H104" s="33">
        <f t="shared" si="2"/>
        <v>2.9154518950437316E-2</v>
      </c>
    </row>
    <row r="105" spans="1:8">
      <c r="A105" s="27">
        <v>5866</v>
      </c>
      <c r="B105" s="8" t="s">
        <v>191</v>
      </c>
      <c r="C105" s="8">
        <v>380</v>
      </c>
      <c r="D105" s="8">
        <v>76</v>
      </c>
      <c r="E105" s="8">
        <v>25</v>
      </c>
      <c r="F105" s="8">
        <v>95</v>
      </c>
      <c r="G105" s="28">
        <f t="shared" si="3"/>
        <v>3.04</v>
      </c>
      <c r="H105" s="33">
        <f t="shared" si="2"/>
        <v>0.94059405940594054</v>
      </c>
    </row>
    <row r="106" spans="1:8">
      <c r="A106" s="27">
        <v>5865</v>
      </c>
      <c r="B106" s="8" t="s">
        <v>232</v>
      </c>
      <c r="C106" s="8">
        <v>444</v>
      </c>
      <c r="D106" s="8">
        <v>959</v>
      </c>
      <c r="E106" s="8">
        <v>183</v>
      </c>
      <c r="F106" s="8">
        <v>93</v>
      </c>
      <c r="G106" s="28">
        <f t="shared" si="3"/>
        <v>5.2404371584699456</v>
      </c>
      <c r="H106" s="33">
        <f t="shared" si="2"/>
        <v>8.1436077057793349E-2</v>
      </c>
    </row>
    <row r="107" spans="1:8">
      <c r="A107" s="27">
        <v>9398</v>
      </c>
      <c r="B107" s="8" t="s">
        <v>234</v>
      </c>
      <c r="C107" s="8">
        <v>83</v>
      </c>
      <c r="D107" s="8">
        <v>148</v>
      </c>
      <c r="E107" s="8">
        <v>154</v>
      </c>
      <c r="F107" s="8">
        <v>21</v>
      </c>
      <c r="G107" s="28">
        <f t="shared" si="3"/>
        <v>0.96103896103896103</v>
      </c>
      <c r="H107" s="33">
        <f t="shared" si="2"/>
        <v>6.9536423841059597E-2</v>
      </c>
    </row>
    <row r="108" spans="1:8">
      <c r="A108" s="27">
        <v>9695</v>
      </c>
      <c r="B108" s="8" t="s">
        <v>236</v>
      </c>
      <c r="C108" s="8">
        <v>452</v>
      </c>
      <c r="D108" s="8">
        <v>338</v>
      </c>
      <c r="E108" s="8">
        <v>132</v>
      </c>
      <c r="F108" s="8">
        <v>63</v>
      </c>
      <c r="G108" s="28">
        <f t="shared" si="3"/>
        <v>2.5606060606060606</v>
      </c>
      <c r="H108" s="33">
        <f t="shared" si="2"/>
        <v>0.13404255319148936</v>
      </c>
    </row>
    <row r="109" spans="1:8">
      <c r="A109" s="27">
        <v>8805</v>
      </c>
      <c r="B109" s="8" t="s">
        <v>85</v>
      </c>
      <c r="C109" s="8">
        <v>53</v>
      </c>
      <c r="D109" s="8">
        <v>720</v>
      </c>
      <c r="E109" s="8">
        <v>37</v>
      </c>
      <c r="F109" s="8">
        <v>8</v>
      </c>
      <c r="G109" s="28">
        <f t="shared" si="3"/>
        <v>19.45945945945946</v>
      </c>
      <c r="H109" s="33">
        <f t="shared" si="2"/>
        <v>1.0568031704095112E-2</v>
      </c>
    </row>
    <row r="110" spans="1:8">
      <c r="A110" s="27">
        <v>8353</v>
      </c>
      <c r="B110" s="8" t="s">
        <v>148</v>
      </c>
      <c r="C110" s="8">
        <v>89</v>
      </c>
      <c r="D110" s="8">
        <v>387</v>
      </c>
      <c r="E110" s="8">
        <v>81</v>
      </c>
      <c r="F110" s="8">
        <v>87</v>
      </c>
      <c r="G110" s="28">
        <f t="shared" si="3"/>
        <v>4.7777777777777777</v>
      </c>
      <c r="H110" s="33">
        <f t="shared" si="2"/>
        <v>0.1858974358974359</v>
      </c>
    </row>
    <row r="111" spans="1:8">
      <c r="A111" s="27">
        <v>3178</v>
      </c>
      <c r="B111" s="8" t="s">
        <v>238</v>
      </c>
      <c r="C111" s="8">
        <v>359</v>
      </c>
      <c r="D111" s="8">
        <v>624</v>
      </c>
      <c r="E111" s="8">
        <v>107</v>
      </c>
      <c r="F111" s="8">
        <v>4</v>
      </c>
      <c r="G111" s="28">
        <f t="shared" si="3"/>
        <v>5.8317757009345792</v>
      </c>
      <c r="H111" s="33">
        <f t="shared" si="2"/>
        <v>5.4719562243502051E-3</v>
      </c>
    </row>
    <row r="112" spans="1:8">
      <c r="A112" s="27">
        <v>4917</v>
      </c>
      <c r="B112" s="8" t="s">
        <v>240</v>
      </c>
      <c r="C112" s="8">
        <v>487</v>
      </c>
      <c r="D112" s="8">
        <v>636</v>
      </c>
      <c r="E112" s="8">
        <v>66</v>
      </c>
      <c r="F112" s="8">
        <v>78</v>
      </c>
      <c r="G112" s="28">
        <f t="shared" si="3"/>
        <v>9.6363636363636367</v>
      </c>
      <c r="H112" s="33">
        <f t="shared" si="2"/>
        <v>0.1111111111111111</v>
      </c>
    </row>
    <row r="113" spans="1:8">
      <c r="A113" s="27">
        <v>8878</v>
      </c>
      <c r="B113" s="8" t="s">
        <v>241</v>
      </c>
      <c r="C113" s="8">
        <v>337</v>
      </c>
      <c r="D113" s="8">
        <v>429</v>
      </c>
      <c r="E113" s="8">
        <v>190</v>
      </c>
      <c r="F113" s="8">
        <v>88</v>
      </c>
      <c r="G113" s="28">
        <f t="shared" si="3"/>
        <v>2.2578947368421054</v>
      </c>
      <c r="H113" s="33">
        <f t="shared" si="2"/>
        <v>0.1421647819063005</v>
      </c>
    </row>
    <row r="114" spans="1:8">
      <c r="A114" s="27">
        <v>3810</v>
      </c>
      <c r="B114" s="8" t="s">
        <v>242</v>
      </c>
      <c r="C114" s="8">
        <v>427</v>
      </c>
      <c r="D114" s="8">
        <v>832</v>
      </c>
      <c r="E114" s="8">
        <v>103</v>
      </c>
      <c r="F114" s="8">
        <v>79</v>
      </c>
      <c r="G114" s="28">
        <f t="shared" si="3"/>
        <v>8.0776699029126213</v>
      </c>
      <c r="H114" s="33">
        <f t="shared" si="2"/>
        <v>8.4491978609625665E-2</v>
      </c>
    </row>
    <row r="115" spans="1:8">
      <c r="A115" s="27">
        <v>9353</v>
      </c>
      <c r="B115" s="8" t="s">
        <v>244</v>
      </c>
      <c r="C115" s="8">
        <v>397</v>
      </c>
      <c r="D115" s="8">
        <v>63</v>
      </c>
      <c r="E115" s="8">
        <v>126</v>
      </c>
      <c r="F115" s="8">
        <v>77</v>
      </c>
      <c r="G115" s="28">
        <f t="shared" si="3"/>
        <v>0.5</v>
      </c>
      <c r="H115" s="33">
        <f t="shared" si="2"/>
        <v>0.40740740740740738</v>
      </c>
    </row>
    <row r="116" spans="1:8">
      <c r="A116" s="27">
        <v>1672</v>
      </c>
      <c r="B116" s="8" t="s">
        <v>245</v>
      </c>
      <c r="C116" s="8">
        <v>200</v>
      </c>
      <c r="D116" s="8">
        <v>52</v>
      </c>
      <c r="E116" s="8">
        <v>8</v>
      </c>
      <c r="F116" s="8">
        <v>17</v>
      </c>
      <c r="G116" s="28">
        <f t="shared" si="3"/>
        <v>6.5</v>
      </c>
      <c r="H116" s="33">
        <f t="shared" si="2"/>
        <v>0.28333333333333333</v>
      </c>
    </row>
    <row r="117" spans="1:8">
      <c r="A117" s="27">
        <v>6650</v>
      </c>
      <c r="B117" s="8" t="s">
        <v>247</v>
      </c>
      <c r="C117" s="8">
        <v>464</v>
      </c>
      <c r="D117" s="8">
        <v>909</v>
      </c>
      <c r="E117" s="8">
        <v>165</v>
      </c>
      <c r="F117" s="8">
        <v>28</v>
      </c>
      <c r="G117" s="28">
        <f t="shared" si="3"/>
        <v>5.5090909090909088</v>
      </c>
      <c r="H117" s="33">
        <f t="shared" si="2"/>
        <v>2.6070763500931099E-2</v>
      </c>
    </row>
    <row r="118" spans="1:8">
      <c r="A118" s="27">
        <v>2581</v>
      </c>
      <c r="B118" s="8" t="s">
        <v>248</v>
      </c>
      <c r="C118" s="8">
        <v>495</v>
      </c>
      <c r="D118" s="8">
        <v>704</v>
      </c>
      <c r="E118" s="8">
        <v>53</v>
      </c>
      <c r="F118" s="8">
        <v>94</v>
      </c>
      <c r="G118" s="28">
        <f t="shared" si="3"/>
        <v>13.283018867924529</v>
      </c>
      <c r="H118" s="33">
        <f t="shared" si="2"/>
        <v>0.12417437252311757</v>
      </c>
    </row>
    <row r="119" spans="1:8">
      <c r="A119" s="27">
        <v>6860</v>
      </c>
      <c r="B119" s="8" t="s">
        <v>249</v>
      </c>
      <c r="C119" s="8">
        <v>286</v>
      </c>
      <c r="D119" s="8">
        <v>751</v>
      </c>
      <c r="E119" s="8">
        <v>103</v>
      </c>
      <c r="F119" s="8">
        <v>33</v>
      </c>
      <c r="G119" s="28">
        <f t="shared" si="3"/>
        <v>7.29126213592233</v>
      </c>
      <c r="H119" s="33">
        <f t="shared" si="2"/>
        <v>3.864168618266979E-2</v>
      </c>
    </row>
    <row r="120" spans="1:8">
      <c r="A120" s="27">
        <v>4584</v>
      </c>
      <c r="B120" s="8" t="s">
        <v>138</v>
      </c>
      <c r="C120" s="8">
        <v>446</v>
      </c>
      <c r="D120" s="8">
        <v>185</v>
      </c>
      <c r="E120" s="8">
        <v>134</v>
      </c>
      <c r="F120" s="8">
        <v>18</v>
      </c>
      <c r="G120" s="28">
        <f t="shared" si="3"/>
        <v>1.3805970149253732</v>
      </c>
      <c r="H120" s="33">
        <f t="shared" si="2"/>
        <v>5.6426332288401257E-2</v>
      </c>
    </row>
    <row r="121" spans="1:8">
      <c r="A121" s="27">
        <v>3354</v>
      </c>
      <c r="B121" s="8" t="s">
        <v>148</v>
      </c>
      <c r="C121" s="8">
        <v>342</v>
      </c>
      <c r="D121" s="8">
        <v>503</v>
      </c>
      <c r="E121" s="8">
        <v>6</v>
      </c>
      <c r="F121" s="8">
        <v>23</v>
      </c>
      <c r="G121" s="28">
        <f t="shared" si="3"/>
        <v>83.833333333333329</v>
      </c>
      <c r="H121" s="33">
        <f t="shared" si="2"/>
        <v>4.5186640471512773E-2</v>
      </c>
    </row>
    <row r="122" spans="1:8">
      <c r="A122" s="27">
        <v>4668</v>
      </c>
      <c r="B122" s="8" t="s">
        <v>251</v>
      </c>
      <c r="C122" s="8">
        <v>396</v>
      </c>
      <c r="D122" s="8">
        <v>549</v>
      </c>
      <c r="E122" s="8">
        <v>35</v>
      </c>
      <c r="F122" s="8">
        <v>66</v>
      </c>
      <c r="G122" s="28">
        <f t="shared" si="3"/>
        <v>15.685714285714285</v>
      </c>
      <c r="H122" s="33">
        <f t="shared" si="2"/>
        <v>0.11301369863013698</v>
      </c>
    </row>
    <row r="123" spans="1:8">
      <c r="A123" s="27">
        <v>6684</v>
      </c>
      <c r="B123" s="8" t="s">
        <v>252</v>
      </c>
      <c r="C123" s="8">
        <v>491</v>
      </c>
      <c r="D123" s="8">
        <v>434</v>
      </c>
      <c r="E123" s="8">
        <v>182</v>
      </c>
      <c r="F123" s="8">
        <v>24</v>
      </c>
      <c r="G123" s="28">
        <f t="shared" si="3"/>
        <v>2.3846153846153846</v>
      </c>
      <c r="H123" s="33">
        <f t="shared" si="2"/>
        <v>3.896103896103896E-2</v>
      </c>
    </row>
    <row r="124" spans="1:8">
      <c r="A124" s="27">
        <v>8058</v>
      </c>
      <c r="B124" s="8" t="s">
        <v>253</v>
      </c>
      <c r="C124" s="8">
        <v>239</v>
      </c>
      <c r="D124" s="8">
        <v>832</v>
      </c>
      <c r="E124" s="8">
        <v>134</v>
      </c>
      <c r="F124" s="8">
        <v>99</v>
      </c>
      <c r="G124" s="28">
        <f t="shared" si="3"/>
        <v>6.2089552238805972</v>
      </c>
      <c r="H124" s="33">
        <f t="shared" si="2"/>
        <v>0.10248447204968944</v>
      </c>
    </row>
    <row r="125" spans="1:8">
      <c r="A125" s="27">
        <v>3035</v>
      </c>
      <c r="B125" s="8" t="s">
        <v>157</v>
      </c>
      <c r="C125" s="8">
        <v>106</v>
      </c>
      <c r="D125" s="8">
        <v>377</v>
      </c>
      <c r="E125" s="8">
        <v>31</v>
      </c>
      <c r="F125" s="8">
        <v>85</v>
      </c>
      <c r="G125" s="28">
        <f t="shared" si="3"/>
        <v>12.161290322580646</v>
      </c>
      <c r="H125" s="33">
        <f t="shared" si="2"/>
        <v>0.20833333333333334</v>
      </c>
    </row>
    <row r="126" spans="1:8">
      <c r="A126" s="27">
        <v>2146</v>
      </c>
      <c r="B126" s="8" t="s">
        <v>254</v>
      </c>
      <c r="C126" s="8">
        <v>388</v>
      </c>
      <c r="D126" s="8">
        <v>380</v>
      </c>
      <c r="E126" s="8">
        <v>125</v>
      </c>
      <c r="F126" s="8">
        <v>14</v>
      </c>
      <c r="G126" s="28">
        <f t="shared" si="3"/>
        <v>3.04</v>
      </c>
      <c r="H126" s="33">
        <f t="shared" si="2"/>
        <v>2.7722772277227723E-2</v>
      </c>
    </row>
    <row r="127" spans="1:8">
      <c r="A127" s="27">
        <v>5761</v>
      </c>
      <c r="B127" s="8" t="s">
        <v>255</v>
      </c>
      <c r="C127" s="8">
        <v>452</v>
      </c>
      <c r="D127" s="8">
        <v>315</v>
      </c>
      <c r="E127" s="8">
        <v>118</v>
      </c>
      <c r="F127" s="8">
        <v>28</v>
      </c>
      <c r="G127" s="28">
        <f t="shared" si="3"/>
        <v>2.6694915254237288</v>
      </c>
      <c r="H127" s="33">
        <f t="shared" si="2"/>
        <v>6.4665127020785224E-2</v>
      </c>
    </row>
    <row r="128" spans="1:8">
      <c r="A128" s="27">
        <v>5256</v>
      </c>
      <c r="B128" s="8" t="s">
        <v>257</v>
      </c>
      <c r="C128" s="8">
        <v>368</v>
      </c>
      <c r="D128" s="8">
        <v>968</v>
      </c>
      <c r="E128" s="8">
        <v>24</v>
      </c>
      <c r="F128" s="8">
        <v>30</v>
      </c>
      <c r="G128" s="28">
        <f t="shared" si="3"/>
        <v>40.333333333333336</v>
      </c>
      <c r="H128" s="33">
        <f t="shared" si="2"/>
        <v>3.0241935483870969E-2</v>
      </c>
    </row>
    <row r="129" spans="1:8">
      <c r="A129" s="27">
        <v>5995</v>
      </c>
      <c r="B129" s="8" t="s">
        <v>238</v>
      </c>
      <c r="C129" s="8">
        <v>325</v>
      </c>
      <c r="D129" s="8">
        <v>757</v>
      </c>
      <c r="E129" s="8">
        <v>35</v>
      </c>
      <c r="F129" s="8">
        <v>81</v>
      </c>
      <c r="G129" s="28">
        <f t="shared" si="3"/>
        <v>21.62857142857143</v>
      </c>
      <c r="H129" s="33">
        <f t="shared" si="2"/>
        <v>0.10227272727272728</v>
      </c>
    </row>
    <row r="130" spans="1:8">
      <c r="A130" s="27">
        <v>4155</v>
      </c>
      <c r="B130" s="8" t="s">
        <v>259</v>
      </c>
      <c r="C130" s="8">
        <v>42</v>
      </c>
      <c r="D130" s="8">
        <v>560</v>
      </c>
      <c r="E130" s="8">
        <v>98</v>
      </c>
      <c r="F130" s="8">
        <v>90</v>
      </c>
      <c r="G130" s="28">
        <f t="shared" si="3"/>
        <v>5.7142857142857144</v>
      </c>
      <c r="H130" s="33">
        <f t="shared" ref="H130:H193" si="4">F130/(D130+E130)</f>
        <v>0.13677811550151975</v>
      </c>
    </row>
    <row r="131" spans="1:8">
      <c r="A131" s="27">
        <v>1851</v>
      </c>
      <c r="B131" s="8" t="s">
        <v>88</v>
      </c>
      <c r="C131" s="8">
        <v>344</v>
      </c>
      <c r="D131" s="8">
        <v>456</v>
      </c>
      <c r="E131" s="8">
        <v>196</v>
      </c>
      <c r="F131" s="8">
        <v>83</v>
      </c>
      <c r="G131" s="28">
        <f t="shared" ref="G131:G194" si="5">D131/E131</f>
        <v>2.3265306122448979</v>
      </c>
      <c r="H131" s="33">
        <f t="shared" si="4"/>
        <v>0.1273006134969325</v>
      </c>
    </row>
    <row r="132" spans="1:8">
      <c r="A132" s="27">
        <v>8068</v>
      </c>
      <c r="B132" s="8" t="s">
        <v>260</v>
      </c>
      <c r="C132" s="8">
        <v>77</v>
      </c>
      <c r="D132" s="8">
        <v>780</v>
      </c>
      <c r="E132" s="8">
        <v>138</v>
      </c>
      <c r="F132" s="8">
        <v>66</v>
      </c>
      <c r="G132" s="28">
        <f t="shared" si="5"/>
        <v>5.6521739130434785</v>
      </c>
      <c r="H132" s="33">
        <f t="shared" si="4"/>
        <v>7.1895424836601302E-2</v>
      </c>
    </row>
    <row r="133" spans="1:8">
      <c r="A133" s="27">
        <v>8425</v>
      </c>
      <c r="B133" s="8" t="s">
        <v>34</v>
      </c>
      <c r="C133" s="8">
        <v>237</v>
      </c>
      <c r="D133" s="8">
        <v>168</v>
      </c>
      <c r="E133" s="8">
        <v>18</v>
      </c>
      <c r="F133" s="8">
        <v>32</v>
      </c>
      <c r="G133" s="28">
        <f t="shared" si="5"/>
        <v>9.3333333333333339</v>
      </c>
      <c r="H133" s="33">
        <f t="shared" si="4"/>
        <v>0.17204301075268819</v>
      </c>
    </row>
    <row r="134" spans="1:8">
      <c r="A134" s="27">
        <v>4706</v>
      </c>
      <c r="B134" s="8" t="s">
        <v>170</v>
      </c>
      <c r="C134" s="8">
        <v>480</v>
      </c>
      <c r="D134" s="8">
        <v>350</v>
      </c>
      <c r="E134" s="8">
        <v>122</v>
      </c>
      <c r="F134" s="8">
        <v>59</v>
      </c>
      <c r="G134" s="28">
        <f t="shared" si="5"/>
        <v>2.8688524590163933</v>
      </c>
      <c r="H134" s="33">
        <f t="shared" si="4"/>
        <v>0.125</v>
      </c>
    </row>
    <row r="135" spans="1:8">
      <c r="A135" s="27">
        <v>7544</v>
      </c>
      <c r="B135" s="8" t="s">
        <v>262</v>
      </c>
      <c r="C135" s="8">
        <v>152</v>
      </c>
      <c r="D135" s="8">
        <v>341</v>
      </c>
      <c r="E135" s="8">
        <v>193</v>
      </c>
      <c r="F135" s="8">
        <v>95</v>
      </c>
      <c r="G135" s="28">
        <f t="shared" si="5"/>
        <v>1.766839378238342</v>
      </c>
      <c r="H135" s="33">
        <f t="shared" si="4"/>
        <v>0.17790262172284643</v>
      </c>
    </row>
    <row r="136" spans="1:8">
      <c r="A136" s="27">
        <v>4029</v>
      </c>
      <c r="B136" s="8" t="s">
        <v>263</v>
      </c>
      <c r="C136" s="8">
        <v>308</v>
      </c>
      <c r="D136" s="8">
        <v>392</v>
      </c>
      <c r="E136" s="8">
        <v>151</v>
      </c>
      <c r="F136" s="8">
        <v>27</v>
      </c>
      <c r="G136" s="28">
        <f t="shared" si="5"/>
        <v>2.5960264900662251</v>
      </c>
      <c r="H136" s="33">
        <f t="shared" si="4"/>
        <v>4.9723756906077346E-2</v>
      </c>
    </row>
    <row r="137" spans="1:8">
      <c r="A137" s="27">
        <v>6117</v>
      </c>
      <c r="B137" s="8" t="s">
        <v>147</v>
      </c>
      <c r="C137" s="8">
        <v>14</v>
      </c>
      <c r="D137" s="8">
        <v>95</v>
      </c>
      <c r="E137" s="8">
        <v>158</v>
      </c>
      <c r="F137" s="8">
        <v>49</v>
      </c>
      <c r="G137" s="28">
        <f t="shared" si="5"/>
        <v>0.60126582278481011</v>
      </c>
      <c r="H137" s="33">
        <f t="shared" si="4"/>
        <v>0.19367588932806323</v>
      </c>
    </row>
    <row r="138" spans="1:8">
      <c r="A138" s="27">
        <v>1408</v>
      </c>
      <c r="B138" s="8" t="s">
        <v>266</v>
      </c>
      <c r="C138" s="8">
        <v>233</v>
      </c>
      <c r="D138" s="8">
        <v>186</v>
      </c>
      <c r="E138" s="8">
        <v>129</v>
      </c>
      <c r="F138" s="8">
        <v>38</v>
      </c>
      <c r="G138" s="28">
        <f t="shared" si="5"/>
        <v>1.441860465116279</v>
      </c>
      <c r="H138" s="33">
        <f t="shared" si="4"/>
        <v>0.12063492063492064</v>
      </c>
    </row>
    <row r="139" spans="1:8">
      <c r="A139" s="27">
        <v>8396</v>
      </c>
      <c r="B139" s="8" t="s">
        <v>52</v>
      </c>
      <c r="C139" s="8">
        <v>169</v>
      </c>
      <c r="D139" s="8">
        <v>543</v>
      </c>
      <c r="E139" s="8">
        <v>111</v>
      </c>
      <c r="F139" s="8">
        <v>28</v>
      </c>
      <c r="G139" s="28">
        <f t="shared" si="5"/>
        <v>4.8918918918918921</v>
      </c>
      <c r="H139" s="33">
        <f t="shared" si="4"/>
        <v>4.2813455657492352E-2</v>
      </c>
    </row>
    <row r="140" spans="1:8">
      <c r="A140" s="27">
        <v>6806</v>
      </c>
      <c r="B140" s="8" t="s">
        <v>268</v>
      </c>
      <c r="C140" s="8">
        <v>358</v>
      </c>
      <c r="D140" s="8">
        <v>858</v>
      </c>
      <c r="E140" s="8">
        <v>65</v>
      </c>
      <c r="F140" s="8">
        <v>5</v>
      </c>
      <c r="G140" s="28">
        <f t="shared" si="5"/>
        <v>13.2</v>
      </c>
      <c r="H140" s="33">
        <f t="shared" si="4"/>
        <v>5.4171180931744311E-3</v>
      </c>
    </row>
    <row r="141" spans="1:8">
      <c r="A141" s="27">
        <v>3496</v>
      </c>
      <c r="B141" s="8" t="s">
        <v>242</v>
      </c>
      <c r="C141" s="8">
        <v>404</v>
      </c>
      <c r="D141" s="8">
        <v>906</v>
      </c>
      <c r="E141" s="8">
        <v>43</v>
      </c>
      <c r="F141" s="8">
        <v>59</v>
      </c>
      <c r="G141" s="28">
        <f t="shared" si="5"/>
        <v>21.069767441860463</v>
      </c>
      <c r="H141" s="33">
        <f t="shared" si="4"/>
        <v>6.2170706006322442E-2</v>
      </c>
    </row>
    <row r="142" spans="1:8">
      <c r="A142" s="27">
        <v>7840</v>
      </c>
      <c r="B142" s="8" t="s">
        <v>270</v>
      </c>
      <c r="C142" s="8">
        <v>131</v>
      </c>
      <c r="D142" s="8">
        <v>808</v>
      </c>
      <c r="E142" s="8">
        <v>48</v>
      </c>
      <c r="F142" s="8">
        <v>55</v>
      </c>
      <c r="G142" s="28">
        <f t="shared" si="5"/>
        <v>16.833333333333332</v>
      </c>
      <c r="H142" s="33">
        <f t="shared" si="4"/>
        <v>6.4252336448598124E-2</v>
      </c>
    </row>
    <row r="143" spans="1:8">
      <c r="A143" s="27">
        <v>2099</v>
      </c>
      <c r="B143" s="8" t="s">
        <v>157</v>
      </c>
      <c r="C143" s="8">
        <v>32</v>
      </c>
      <c r="D143" s="8">
        <v>84</v>
      </c>
      <c r="E143" s="8">
        <v>73</v>
      </c>
      <c r="F143" s="8">
        <v>59</v>
      </c>
      <c r="G143" s="28">
        <f t="shared" si="5"/>
        <v>1.1506849315068493</v>
      </c>
      <c r="H143" s="33">
        <f t="shared" si="4"/>
        <v>0.37579617834394907</v>
      </c>
    </row>
    <row r="144" spans="1:8">
      <c r="A144" s="27">
        <v>6518</v>
      </c>
      <c r="B144" s="8" t="s">
        <v>271</v>
      </c>
      <c r="C144" s="8">
        <v>478</v>
      </c>
      <c r="D144" s="8">
        <v>780</v>
      </c>
      <c r="E144" s="8">
        <v>78</v>
      </c>
      <c r="F144" s="8">
        <v>66</v>
      </c>
      <c r="G144" s="28">
        <f t="shared" si="5"/>
        <v>10</v>
      </c>
      <c r="H144" s="33">
        <f t="shared" si="4"/>
        <v>7.6923076923076927E-2</v>
      </c>
    </row>
    <row r="145" spans="1:8">
      <c r="A145" s="27">
        <v>1976</v>
      </c>
      <c r="B145" s="8" t="s">
        <v>249</v>
      </c>
      <c r="C145" s="8">
        <v>88</v>
      </c>
      <c r="D145" s="8">
        <v>247</v>
      </c>
      <c r="E145" s="8">
        <v>30</v>
      </c>
      <c r="F145" s="8">
        <v>46</v>
      </c>
      <c r="G145" s="28">
        <f t="shared" si="5"/>
        <v>8.2333333333333325</v>
      </c>
      <c r="H145" s="33">
        <f t="shared" si="4"/>
        <v>0.16606498194945848</v>
      </c>
    </row>
    <row r="146" spans="1:8">
      <c r="A146" s="27">
        <v>8777</v>
      </c>
      <c r="B146" s="8" t="s">
        <v>272</v>
      </c>
      <c r="C146" s="8">
        <v>395</v>
      </c>
      <c r="D146" s="8">
        <v>190</v>
      </c>
      <c r="E146" s="8">
        <v>105</v>
      </c>
      <c r="F146" s="8">
        <v>67</v>
      </c>
      <c r="G146" s="28">
        <f t="shared" si="5"/>
        <v>1.8095238095238095</v>
      </c>
      <c r="H146" s="33">
        <f t="shared" si="4"/>
        <v>0.22711864406779661</v>
      </c>
    </row>
    <row r="147" spans="1:8">
      <c r="A147" s="27">
        <v>1576</v>
      </c>
      <c r="B147" s="8" t="s">
        <v>166</v>
      </c>
      <c r="C147" s="8">
        <v>385</v>
      </c>
      <c r="D147" s="8">
        <v>390</v>
      </c>
      <c r="E147" s="8">
        <v>163</v>
      </c>
      <c r="F147" s="8">
        <v>43</v>
      </c>
      <c r="G147" s="28">
        <f t="shared" si="5"/>
        <v>2.3926380368098159</v>
      </c>
      <c r="H147" s="33">
        <f t="shared" si="4"/>
        <v>7.7757685352622063E-2</v>
      </c>
    </row>
    <row r="148" spans="1:8">
      <c r="A148" s="27">
        <v>7979</v>
      </c>
      <c r="B148" s="8" t="s">
        <v>274</v>
      </c>
      <c r="C148" s="8">
        <v>280</v>
      </c>
      <c r="D148" s="8">
        <v>203</v>
      </c>
      <c r="E148" s="8">
        <v>50</v>
      </c>
      <c r="F148" s="8">
        <v>12</v>
      </c>
      <c r="G148" s="28">
        <f t="shared" si="5"/>
        <v>4.0599999999999996</v>
      </c>
      <c r="H148" s="33">
        <f t="shared" si="4"/>
        <v>4.7430830039525688E-2</v>
      </c>
    </row>
    <row r="149" spans="1:8">
      <c r="A149" s="27">
        <v>6300</v>
      </c>
      <c r="B149" s="8" t="s">
        <v>275</v>
      </c>
      <c r="C149" s="8">
        <v>164</v>
      </c>
      <c r="D149" s="8">
        <v>161</v>
      </c>
      <c r="E149" s="8">
        <v>77</v>
      </c>
      <c r="F149" s="8">
        <v>97</v>
      </c>
      <c r="G149" s="28">
        <f t="shared" si="5"/>
        <v>2.0909090909090908</v>
      </c>
      <c r="H149" s="33">
        <f t="shared" si="4"/>
        <v>0.40756302521008403</v>
      </c>
    </row>
    <row r="150" spans="1:8">
      <c r="A150" s="27">
        <v>1003</v>
      </c>
      <c r="B150" s="8" t="s">
        <v>276</v>
      </c>
      <c r="C150" s="8">
        <v>433</v>
      </c>
      <c r="D150" s="8">
        <v>350</v>
      </c>
      <c r="E150" s="8">
        <v>2</v>
      </c>
      <c r="F150" s="8">
        <v>41</v>
      </c>
      <c r="G150" s="28">
        <f t="shared" si="5"/>
        <v>175</v>
      </c>
      <c r="H150" s="33">
        <f t="shared" si="4"/>
        <v>0.11647727272727272</v>
      </c>
    </row>
    <row r="151" spans="1:8">
      <c r="A151" s="27">
        <v>8238</v>
      </c>
      <c r="B151" s="8" t="s">
        <v>277</v>
      </c>
      <c r="C151" s="8">
        <v>460</v>
      </c>
      <c r="D151" s="8">
        <v>26</v>
      </c>
      <c r="E151" s="8">
        <v>2</v>
      </c>
      <c r="F151" s="8">
        <v>39</v>
      </c>
      <c r="G151" s="28">
        <f t="shared" si="5"/>
        <v>13</v>
      </c>
      <c r="H151" s="33">
        <f t="shared" si="4"/>
        <v>1.3928571428571428</v>
      </c>
    </row>
    <row r="152" spans="1:8">
      <c r="A152" s="27">
        <v>8261</v>
      </c>
      <c r="B152" s="8" t="s">
        <v>153</v>
      </c>
      <c r="C152" s="8">
        <v>374</v>
      </c>
      <c r="D152" s="8">
        <v>819</v>
      </c>
      <c r="E152" s="8">
        <v>18</v>
      </c>
      <c r="F152" s="8">
        <v>12</v>
      </c>
      <c r="G152" s="28">
        <f t="shared" si="5"/>
        <v>45.5</v>
      </c>
      <c r="H152" s="33">
        <f t="shared" si="4"/>
        <v>1.4336917562724014E-2</v>
      </c>
    </row>
    <row r="153" spans="1:8">
      <c r="A153" s="27">
        <v>7729</v>
      </c>
      <c r="B153" s="8" t="s">
        <v>118</v>
      </c>
      <c r="C153" s="8">
        <v>147</v>
      </c>
      <c r="D153" s="8">
        <v>27</v>
      </c>
      <c r="E153" s="8">
        <v>175</v>
      </c>
      <c r="F153" s="8">
        <v>78</v>
      </c>
      <c r="G153" s="28">
        <f t="shared" si="5"/>
        <v>0.15428571428571428</v>
      </c>
      <c r="H153" s="33">
        <f t="shared" si="4"/>
        <v>0.38613861386138615</v>
      </c>
    </row>
    <row r="154" spans="1:8">
      <c r="A154" s="27">
        <v>8616</v>
      </c>
      <c r="B154" s="8" t="s">
        <v>224</v>
      </c>
      <c r="C154" s="8">
        <v>129</v>
      </c>
      <c r="D154" s="8">
        <v>543</v>
      </c>
      <c r="E154" s="8">
        <v>126</v>
      </c>
      <c r="F154" s="8">
        <v>95</v>
      </c>
      <c r="G154" s="28">
        <f t="shared" si="5"/>
        <v>4.3095238095238093</v>
      </c>
      <c r="H154" s="33">
        <f t="shared" si="4"/>
        <v>0.14200298953662183</v>
      </c>
    </row>
    <row r="155" spans="1:8">
      <c r="A155" s="27">
        <v>9734</v>
      </c>
      <c r="B155" s="8" t="s">
        <v>116</v>
      </c>
      <c r="C155" s="8">
        <v>217</v>
      </c>
      <c r="D155" s="8">
        <v>872</v>
      </c>
      <c r="E155" s="8">
        <v>8</v>
      </c>
      <c r="F155" s="8">
        <v>51</v>
      </c>
      <c r="G155" s="28">
        <f t="shared" si="5"/>
        <v>109</v>
      </c>
      <c r="H155" s="33">
        <f t="shared" si="4"/>
        <v>5.7954545454545453E-2</v>
      </c>
    </row>
    <row r="156" spans="1:8">
      <c r="A156" s="27">
        <v>2086</v>
      </c>
      <c r="B156" s="8" t="s">
        <v>280</v>
      </c>
      <c r="C156" s="8">
        <v>426</v>
      </c>
      <c r="D156" s="8">
        <v>606</v>
      </c>
      <c r="E156" s="8">
        <v>135</v>
      </c>
      <c r="F156" s="8">
        <v>50</v>
      </c>
      <c r="G156" s="28">
        <f t="shared" si="5"/>
        <v>4.4888888888888889</v>
      </c>
      <c r="H156" s="33">
        <f t="shared" si="4"/>
        <v>6.7476383265856948E-2</v>
      </c>
    </row>
    <row r="157" spans="1:8">
      <c r="A157" s="27">
        <v>8721</v>
      </c>
      <c r="B157" s="8" t="s">
        <v>281</v>
      </c>
      <c r="C157" s="8">
        <v>81</v>
      </c>
      <c r="D157" s="8">
        <v>394</v>
      </c>
      <c r="E157" s="8">
        <v>168</v>
      </c>
      <c r="F157" s="8">
        <v>21</v>
      </c>
      <c r="G157" s="28">
        <f t="shared" si="5"/>
        <v>2.3452380952380953</v>
      </c>
      <c r="H157" s="33">
        <f t="shared" si="4"/>
        <v>3.7366548042704624E-2</v>
      </c>
    </row>
    <row r="158" spans="1:8">
      <c r="A158" s="27">
        <v>1075</v>
      </c>
      <c r="B158" s="8" t="s">
        <v>283</v>
      </c>
      <c r="C158" s="8">
        <v>296</v>
      </c>
      <c r="D158" s="8">
        <v>411</v>
      </c>
      <c r="E158" s="8">
        <v>96</v>
      </c>
      <c r="F158" s="8">
        <v>1</v>
      </c>
      <c r="G158" s="28">
        <f t="shared" si="5"/>
        <v>4.28125</v>
      </c>
      <c r="H158" s="33">
        <f t="shared" si="4"/>
        <v>1.9723865877712033E-3</v>
      </c>
    </row>
    <row r="159" spans="1:8">
      <c r="A159" s="27">
        <v>2690</v>
      </c>
      <c r="B159" s="8" t="s">
        <v>177</v>
      </c>
      <c r="C159" s="8">
        <v>466</v>
      </c>
      <c r="D159" s="8">
        <v>977</v>
      </c>
      <c r="E159" s="8">
        <v>94</v>
      </c>
      <c r="F159" s="8">
        <v>67</v>
      </c>
      <c r="G159" s="28">
        <f t="shared" si="5"/>
        <v>10.393617021276595</v>
      </c>
      <c r="H159" s="33">
        <f t="shared" si="4"/>
        <v>6.2558356676003735E-2</v>
      </c>
    </row>
    <row r="160" spans="1:8">
      <c r="A160" s="27">
        <v>7654</v>
      </c>
      <c r="B160" s="8" t="s">
        <v>120</v>
      </c>
      <c r="C160" s="8">
        <v>424</v>
      </c>
      <c r="D160" s="8">
        <v>406</v>
      </c>
      <c r="E160" s="8">
        <v>150</v>
      </c>
      <c r="F160" s="8">
        <v>50</v>
      </c>
      <c r="G160" s="28">
        <f t="shared" si="5"/>
        <v>2.7066666666666666</v>
      </c>
      <c r="H160" s="33">
        <f t="shared" si="4"/>
        <v>8.9928057553956831E-2</v>
      </c>
    </row>
    <row r="161" spans="1:8">
      <c r="A161" s="27">
        <v>7577</v>
      </c>
      <c r="B161" s="8" t="s">
        <v>284</v>
      </c>
      <c r="C161" s="8">
        <v>233</v>
      </c>
      <c r="D161" s="8">
        <v>781</v>
      </c>
      <c r="E161" s="8">
        <v>23</v>
      </c>
      <c r="F161" s="8">
        <v>89</v>
      </c>
      <c r="G161" s="28">
        <f t="shared" si="5"/>
        <v>33.956521739130437</v>
      </c>
      <c r="H161" s="33">
        <f t="shared" si="4"/>
        <v>0.11069651741293532</v>
      </c>
    </row>
    <row r="162" spans="1:8">
      <c r="A162" s="27">
        <v>9814</v>
      </c>
      <c r="B162" s="8" t="s">
        <v>286</v>
      </c>
      <c r="C162" s="8">
        <v>413</v>
      </c>
      <c r="D162" s="8">
        <v>330</v>
      </c>
      <c r="E162" s="8">
        <v>63</v>
      </c>
      <c r="F162" s="8">
        <v>50</v>
      </c>
      <c r="G162" s="28">
        <f t="shared" si="5"/>
        <v>5.2380952380952381</v>
      </c>
      <c r="H162" s="33">
        <f t="shared" si="4"/>
        <v>0.1272264631043257</v>
      </c>
    </row>
    <row r="163" spans="1:8">
      <c r="A163" s="27">
        <v>5423</v>
      </c>
      <c r="B163" s="8" t="s">
        <v>50</v>
      </c>
      <c r="C163" s="8">
        <v>278</v>
      </c>
      <c r="D163" s="8">
        <v>163</v>
      </c>
      <c r="E163" s="8">
        <v>88</v>
      </c>
      <c r="F163" s="8">
        <v>62</v>
      </c>
      <c r="G163" s="28">
        <f t="shared" si="5"/>
        <v>1.8522727272727273</v>
      </c>
      <c r="H163" s="33">
        <f t="shared" si="4"/>
        <v>0.24701195219123506</v>
      </c>
    </row>
    <row r="164" spans="1:8">
      <c r="A164" s="27">
        <v>2660</v>
      </c>
      <c r="B164" s="8" t="s">
        <v>288</v>
      </c>
      <c r="C164" s="8">
        <v>351</v>
      </c>
      <c r="D164" s="8">
        <v>80</v>
      </c>
      <c r="E164" s="8">
        <v>70</v>
      </c>
      <c r="F164" s="8">
        <v>54</v>
      </c>
      <c r="G164" s="28">
        <f t="shared" si="5"/>
        <v>1.1428571428571428</v>
      </c>
      <c r="H164" s="33">
        <f t="shared" si="4"/>
        <v>0.36</v>
      </c>
    </row>
    <row r="165" spans="1:8">
      <c r="A165" s="27">
        <v>4206</v>
      </c>
      <c r="B165" s="8" t="s">
        <v>190</v>
      </c>
      <c r="C165" s="8">
        <v>354</v>
      </c>
      <c r="D165" s="8">
        <v>885</v>
      </c>
      <c r="E165" s="8">
        <v>65</v>
      </c>
      <c r="F165" s="8">
        <v>70</v>
      </c>
      <c r="G165" s="28">
        <f t="shared" si="5"/>
        <v>13.615384615384615</v>
      </c>
      <c r="H165" s="33">
        <f t="shared" si="4"/>
        <v>7.3684210526315783E-2</v>
      </c>
    </row>
    <row r="166" spans="1:8">
      <c r="A166" s="27">
        <v>5269</v>
      </c>
      <c r="B166" s="8" t="s">
        <v>50</v>
      </c>
      <c r="C166" s="8">
        <v>192</v>
      </c>
      <c r="D166" s="8">
        <v>123</v>
      </c>
      <c r="E166" s="8">
        <v>34</v>
      </c>
      <c r="F166" s="8">
        <v>73</v>
      </c>
      <c r="G166" s="28">
        <f t="shared" si="5"/>
        <v>3.6176470588235294</v>
      </c>
      <c r="H166" s="33">
        <f t="shared" si="4"/>
        <v>0.46496815286624205</v>
      </c>
    </row>
    <row r="167" spans="1:8">
      <c r="A167" s="27">
        <v>7922</v>
      </c>
      <c r="B167" s="8" t="s">
        <v>290</v>
      </c>
      <c r="C167" s="8">
        <v>176</v>
      </c>
      <c r="D167" s="8">
        <v>830</v>
      </c>
      <c r="E167" s="8">
        <v>74</v>
      </c>
      <c r="F167" s="8">
        <v>66</v>
      </c>
      <c r="G167" s="28">
        <f t="shared" si="5"/>
        <v>11.216216216216216</v>
      </c>
      <c r="H167" s="33">
        <f t="shared" si="4"/>
        <v>7.3008849557522126E-2</v>
      </c>
    </row>
    <row r="168" spans="1:8">
      <c r="A168" s="27">
        <v>7829</v>
      </c>
      <c r="B168" s="8" t="s">
        <v>291</v>
      </c>
      <c r="C168" s="8">
        <v>482</v>
      </c>
      <c r="D168" s="8">
        <v>770</v>
      </c>
      <c r="E168" s="8">
        <v>129</v>
      </c>
      <c r="F168" s="8">
        <v>0</v>
      </c>
      <c r="G168" s="28">
        <f t="shared" si="5"/>
        <v>5.9689922480620154</v>
      </c>
      <c r="H168" s="33">
        <f t="shared" si="4"/>
        <v>0</v>
      </c>
    </row>
    <row r="169" spans="1:8">
      <c r="A169" s="27">
        <v>1715</v>
      </c>
      <c r="B169" s="8" t="s">
        <v>254</v>
      </c>
      <c r="C169" s="8">
        <v>87</v>
      </c>
      <c r="D169" s="8">
        <v>753</v>
      </c>
      <c r="E169" s="8">
        <v>181</v>
      </c>
      <c r="F169" s="8">
        <v>51</v>
      </c>
      <c r="G169" s="28">
        <f t="shared" si="5"/>
        <v>4.1602209944751385</v>
      </c>
      <c r="H169" s="33">
        <f t="shared" si="4"/>
        <v>5.460385438972163E-2</v>
      </c>
    </row>
    <row r="170" spans="1:8">
      <c r="A170" s="27">
        <v>2639</v>
      </c>
      <c r="B170" s="8" t="s">
        <v>294</v>
      </c>
      <c r="C170" s="8">
        <v>163</v>
      </c>
      <c r="D170" s="8">
        <v>38</v>
      </c>
      <c r="E170" s="8">
        <v>53</v>
      </c>
      <c r="F170" s="8">
        <v>37</v>
      </c>
      <c r="G170" s="28">
        <f t="shared" si="5"/>
        <v>0.71698113207547165</v>
      </c>
      <c r="H170" s="33">
        <f t="shared" si="4"/>
        <v>0.40659340659340659</v>
      </c>
    </row>
    <row r="171" spans="1:8">
      <c r="A171" s="27">
        <v>1801</v>
      </c>
      <c r="B171" s="8" t="s">
        <v>174</v>
      </c>
      <c r="C171" s="8">
        <v>419</v>
      </c>
      <c r="D171" s="8">
        <v>386</v>
      </c>
      <c r="E171" s="8">
        <v>122</v>
      </c>
      <c r="F171" s="8">
        <v>9</v>
      </c>
      <c r="G171" s="28">
        <f t="shared" si="5"/>
        <v>3.1639344262295084</v>
      </c>
      <c r="H171" s="33">
        <f t="shared" si="4"/>
        <v>1.7716535433070866E-2</v>
      </c>
    </row>
    <row r="172" spans="1:8">
      <c r="A172" s="27">
        <v>9163</v>
      </c>
      <c r="B172" s="8" t="s">
        <v>274</v>
      </c>
      <c r="C172" s="8">
        <v>203</v>
      </c>
      <c r="D172" s="8">
        <v>874</v>
      </c>
      <c r="E172" s="8">
        <v>67</v>
      </c>
      <c r="F172" s="8">
        <v>94</v>
      </c>
      <c r="G172" s="28">
        <f t="shared" si="5"/>
        <v>13.044776119402986</v>
      </c>
      <c r="H172" s="33">
        <f t="shared" si="4"/>
        <v>9.9893730074388953E-2</v>
      </c>
    </row>
    <row r="173" spans="1:8">
      <c r="A173" s="27">
        <v>1284</v>
      </c>
      <c r="B173" s="8" t="s">
        <v>157</v>
      </c>
      <c r="C173" s="8">
        <v>405</v>
      </c>
      <c r="D173" s="8">
        <v>695</v>
      </c>
      <c r="E173" s="8">
        <v>85</v>
      </c>
      <c r="F173" s="8">
        <v>42</v>
      </c>
      <c r="G173" s="28">
        <f t="shared" si="5"/>
        <v>8.1764705882352935</v>
      </c>
      <c r="H173" s="33">
        <f t="shared" si="4"/>
        <v>5.3846153846153849E-2</v>
      </c>
    </row>
    <row r="174" spans="1:8">
      <c r="A174" s="27">
        <v>8774</v>
      </c>
      <c r="B174" s="8" t="s">
        <v>296</v>
      </c>
      <c r="C174" s="8">
        <v>496</v>
      </c>
      <c r="D174" s="8">
        <v>803</v>
      </c>
      <c r="E174" s="8">
        <v>130</v>
      </c>
      <c r="F174" s="8">
        <v>4</v>
      </c>
      <c r="G174" s="28">
        <f t="shared" si="5"/>
        <v>6.1769230769230772</v>
      </c>
      <c r="H174" s="33">
        <f t="shared" si="4"/>
        <v>4.2872454448017148E-3</v>
      </c>
    </row>
    <row r="175" spans="1:8">
      <c r="A175" s="27">
        <v>3866</v>
      </c>
      <c r="B175" s="8" t="s">
        <v>297</v>
      </c>
      <c r="C175" s="8">
        <v>328</v>
      </c>
      <c r="D175" s="8">
        <v>268</v>
      </c>
      <c r="E175" s="8">
        <v>50</v>
      </c>
      <c r="F175" s="8">
        <v>3</v>
      </c>
      <c r="G175" s="28">
        <f t="shared" si="5"/>
        <v>5.36</v>
      </c>
      <c r="H175" s="33">
        <f t="shared" si="4"/>
        <v>9.433962264150943E-3</v>
      </c>
    </row>
    <row r="176" spans="1:8">
      <c r="A176" s="27">
        <v>4477</v>
      </c>
      <c r="B176" s="8" t="s">
        <v>272</v>
      </c>
      <c r="C176" s="8">
        <v>85</v>
      </c>
      <c r="D176" s="8">
        <v>429</v>
      </c>
      <c r="E176" s="8">
        <v>52</v>
      </c>
      <c r="F176" s="8">
        <v>16</v>
      </c>
      <c r="G176" s="28">
        <f t="shared" si="5"/>
        <v>8.25</v>
      </c>
      <c r="H176" s="33">
        <f t="shared" si="4"/>
        <v>3.3264033264033266E-2</v>
      </c>
    </row>
    <row r="177" spans="1:8">
      <c r="A177" s="27">
        <v>4829</v>
      </c>
      <c r="B177" s="8" t="s">
        <v>299</v>
      </c>
      <c r="C177" s="8">
        <v>386</v>
      </c>
      <c r="D177" s="8">
        <v>62</v>
      </c>
      <c r="E177" s="8">
        <v>50</v>
      </c>
      <c r="F177" s="8">
        <v>44</v>
      </c>
      <c r="G177" s="28">
        <f t="shared" si="5"/>
        <v>1.24</v>
      </c>
      <c r="H177" s="33">
        <f t="shared" si="4"/>
        <v>0.39285714285714285</v>
      </c>
    </row>
    <row r="178" spans="1:8">
      <c r="A178" s="27">
        <v>1257</v>
      </c>
      <c r="B178" s="8" t="s">
        <v>257</v>
      </c>
      <c r="C178" s="8">
        <v>245</v>
      </c>
      <c r="D178" s="8">
        <v>831</v>
      </c>
      <c r="E178" s="8">
        <v>15</v>
      </c>
      <c r="F178" s="8">
        <v>64</v>
      </c>
      <c r="G178" s="28">
        <f t="shared" si="5"/>
        <v>55.4</v>
      </c>
      <c r="H178" s="33">
        <f t="shared" si="4"/>
        <v>7.5650118203309691E-2</v>
      </c>
    </row>
    <row r="179" spans="1:8">
      <c r="A179" s="27">
        <v>1897</v>
      </c>
      <c r="B179" s="8" t="s">
        <v>301</v>
      </c>
      <c r="C179" s="8">
        <v>97</v>
      </c>
      <c r="D179" s="8">
        <v>737</v>
      </c>
      <c r="E179" s="8">
        <v>85</v>
      </c>
      <c r="F179" s="8">
        <v>80</v>
      </c>
      <c r="G179" s="28">
        <f t="shared" si="5"/>
        <v>8.670588235294117</v>
      </c>
      <c r="H179" s="33">
        <f t="shared" si="4"/>
        <v>9.7323600973236016E-2</v>
      </c>
    </row>
    <row r="180" spans="1:8">
      <c r="A180" s="27">
        <v>3603</v>
      </c>
      <c r="B180" s="8" t="s">
        <v>302</v>
      </c>
      <c r="C180" s="8">
        <v>216</v>
      </c>
      <c r="D180" s="8">
        <v>923</v>
      </c>
      <c r="E180" s="8">
        <v>143</v>
      </c>
      <c r="F180" s="8">
        <v>20</v>
      </c>
      <c r="G180" s="28">
        <f t="shared" si="5"/>
        <v>6.4545454545454541</v>
      </c>
      <c r="H180" s="33">
        <f t="shared" si="4"/>
        <v>1.8761726078799251E-2</v>
      </c>
    </row>
    <row r="181" spans="1:8">
      <c r="A181" s="27">
        <v>9256</v>
      </c>
      <c r="B181" s="8" t="s">
        <v>257</v>
      </c>
      <c r="C181" s="8">
        <v>331</v>
      </c>
      <c r="D181" s="8">
        <v>85</v>
      </c>
      <c r="E181" s="8">
        <v>117</v>
      </c>
      <c r="F181" s="8">
        <v>21</v>
      </c>
      <c r="G181" s="28">
        <f t="shared" si="5"/>
        <v>0.72649572649572647</v>
      </c>
      <c r="H181" s="33">
        <f t="shared" si="4"/>
        <v>0.10396039603960396</v>
      </c>
    </row>
    <row r="182" spans="1:8">
      <c r="A182" s="27">
        <v>9469</v>
      </c>
      <c r="B182" s="8" t="s">
        <v>101</v>
      </c>
      <c r="C182" s="8">
        <v>451</v>
      </c>
      <c r="D182" s="8">
        <v>59</v>
      </c>
      <c r="E182" s="8">
        <v>38</v>
      </c>
      <c r="F182" s="8">
        <v>94</v>
      </c>
      <c r="G182" s="28">
        <f t="shared" si="5"/>
        <v>1.5526315789473684</v>
      </c>
      <c r="H182" s="33">
        <f t="shared" si="4"/>
        <v>0.96907216494845361</v>
      </c>
    </row>
    <row r="183" spans="1:8">
      <c r="A183" s="27">
        <v>7136</v>
      </c>
      <c r="B183" s="8" t="s">
        <v>143</v>
      </c>
      <c r="C183" s="8">
        <v>326</v>
      </c>
      <c r="D183" s="8">
        <v>590</v>
      </c>
      <c r="E183" s="8">
        <v>105</v>
      </c>
      <c r="F183" s="8">
        <v>56</v>
      </c>
      <c r="G183" s="28">
        <f t="shared" si="5"/>
        <v>5.6190476190476186</v>
      </c>
      <c r="H183" s="33">
        <f t="shared" si="4"/>
        <v>8.0575539568345317E-2</v>
      </c>
    </row>
    <row r="184" spans="1:8">
      <c r="A184" s="27">
        <v>2321</v>
      </c>
      <c r="B184" s="8" t="s">
        <v>304</v>
      </c>
      <c r="C184" s="8">
        <v>358</v>
      </c>
      <c r="D184" s="8">
        <v>348</v>
      </c>
      <c r="E184" s="8">
        <v>49</v>
      </c>
      <c r="F184" s="8">
        <v>14</v>
      </c>
      <c r="G184" s="28">
        <f t="shared" si="5"/>
        <v>7.1020408163265305</v>
      </c>
      <c r="H184" s="33">
        <f t="shared" si="4"/>
        <v>3.5264483627204031E-2</v>
      </c>
    </row>
    <row r="185" spans="1:8">
      <c r="A185" s="27">
        <v>4243</v>
      </c>
      <c r="B185" s="8" t="s">
        <v>272</v>
      </c>
      <c r="C185" s="8">
        <v>91</v>
      </c>
      <c r="D185" s="8">
        <v>561</v>
      </c>
      <c r="E185" s="8">
        <v>153</v>
      </c>
      <c r="F185" s="8">
        <v>7</v>
      </c>
      <c r="G185" s="28">
        <f t="shared" si="5"/>
        <v>3.6666666666666665</v>
      </c>
      <c r="H185" s="33">
        <f t="shared" si="4"/>
        <v>9.8039215686274508E-3</v>
      </c>
    </row>
    <row r="186" spans="1:8">
      <c r="A186" s="27">
        <v>8015</v>
      </c>
      <c r="B186" s="8" t="s">
        <v>307</v>
      </c>
      <c r="C186" s="8">
        <v>478</v>
      </c>
      <c r="D186" s="8">
        <v>214</v>
      </c>
      <c r="E186" s="8">
        <v>191</v>
      </c>
      <c r="F186" s="8">
        <v>44</v>
      </c>
      <c r="G186" s="28">
        <f t="shared" si="5"/>
        <v>1.1204188481675392</v>
      </c>
      <c r="H186" s="33">
        <f t="shared" si="4"/>
        <v>0.10864197530864197</v>
      </c>
    </row>
    <row r="187" spans="1:8">
      <c r="A187" s="27">
        <v>3440</v>
      </c>
      <c r="B187" s="8" t="s">
        <v>101</v>
      </c>
      <c r="C187" s="8">
        <v>16</v>
      </c>
      <c r="D187" s="8">
        <v>964</v>
      </c>
      <c r="E187" s="8">
        <v>111</v>
      </c>
      <c r="F187" s="8">
        <v>52</v>
      </c>
      <c r="G187" s="28">
        <f t="shared" si="5"/>
        <v>8.6846846846846848</v>
      </c>
      <c r="H187" s="33">
        <f t="shared" si="4"/>
        <v>4.8372093023255812E-2</v>
      </c>
    </row>
    <row r="188" spans="1:8">
      <c r="A188" s="27">
        <v>9914</v>
      </c>
      <c r="B188" s="8" t="s">
        <v>197</v>
      </c>
      <c r="C188" s="8">
        <v>44</v>
      </c>
      <c r="D188" s="8">
        <v>897</v>
      </c>
      <c r="E188" s="8">
        <v>62</v>
      </c>
      <c r="F188" s="8">
        <v>18</v>
      </c>
      <c r="G188" s="28">
        <f t="shared" si="5"/>
        <v>14.46774193548387</v>
      </c>
      <c r="H188" s="33">
        <f t="shared" si="4"/>
        <v>1.8769551616266946E-2</v>
      </c>
    </row>
    <row r="189" spans="1:8">
      <c r="A189" s="27">
        <v>5045</v>
      </c>
      <c r="B189" s="8" t="s">
        <v>140</v>
      </c>
      <c r="C189" s="8">
        <v>100</v>
      </c>
      <c r="D189" s="8">
        <v>983</v>
      </c>
      <c r="E189" s="8">
        <v>191</v>
      </c>
      <c r="F189" s="8">
        <v>53</v>
      </c>
      <c r="G189" s="28">
        <f t="shared" si="5"/>
        <v>5.1465968586387438</v>
      </c>
      <c r="H189" s="33">
        <f t="shared" si="4"/>
        <v>4.5144804088586031E-2</v>
      </c>
    </row>
    <row r="190" spans="1:8">
      <c r="A190" s="27">
        <v>1379</v>
      </c>
      <c r="B190" s="8" t="s">
        <v>240</v>
      </c>
      <c r="C190" s="8">
        <v>44</v>
      </c>
      <c r="D190" s="8">
        <v>432</v>
      </c>
      <c r="E190" s="8">
        <v>73</v>
      </c>
      <c r="F190" s="8">
        <v>88</v>
      </c>
      <c r="G190" s="28">
        <f t="shared" si="5"/>
        <v>5.9178082191780819</v>
      </c>
      <c r="H190" s="33">
        <f t="shared" si="4"/>
        <v>0.17425742574257425</v>
      </c>
    </row>
    <row r="191" spans="1:8">
      <c r="A191" s="27">
        <v>6099</v>
      </c>
      <c r="B191" s="8" t="s">
        <v>311</v>
      </c>
      <c r="C191" s="8">
        <v>37</v>
      </c>
      <c r="D191" s="8">
        <v>881</v>
      </c>
      <c r="E191" s="8">
        <v>189</v>
      </c>
      <c r="F191" s="8">
        <v>32</v>
      </c>
      <c r="G191" s="28">
        <f t="shared" si="5"/>
        <v>4.6613756613756614</v>
      </c>
      <c r="H191" s="33">
        <f t="shared" si="4"/>
        <v>2.9906542056074768E-2</v>
      </c>
    </row>
    <row r="192" spans="1:8">
      <c r="A192" s="27">
        <v>4696</v>
      </c>
      <c r="B192" s="8" t="s">
        <v>313</v>
      </c>
      <c r="C192" s="8">
        <v>48</v>
      </c>
      <c r="D192" s="8">
        <v>331</v>
      </c>
      <c r="E192" s="8">
        <v>93</v>
      </c>
      <c r="F192" s="8">
        <v>66</v>
      </c>
      <c r="G192" s="28">
        <f t="shared" si="5"/>
        <v>3.5591397849462365</v>
      </c>
      <c r="H192" s="33">
        <f t="shared" si="4"/>
        <v>0.15566037735849056</v>
      </c>
    </row>
    <row r="193" spans="1:8">
      <c r="A193" s="27">
        <v>4808</v>
      </c>
      <c r="B193" s="8" t="s">
        <v>280</v>
      </c>
      <c r="C193" s="8">
        <v>371</v>
      </c>
      <c r="D193" s="8">
        <v>819</v>
      </c>
      <c r="E193" s="8">
        <v>71</v>
      </c>
      <c r="F193" s="8">
        <v>36</v>
      </c>
      <c r="G193" s="28">
        <f t="shared" si="5"/>
        <v>11.535211267605634</v>
      </c>
      <c r="H193" s="33">
        <f t="shared" si="4"/>
        <v>4.0449438202247189E-2</v>
      </c>
    </row>
    <row r="194" spans="1:8">
      <c r="A194" s="27">
        <v>3633</v>
      </c>
      <c r="B194" s="8" t="s">
        <v>316</v>
      </c>
      <c r="C194" s="8">
        <v>176</v>
      </c>
      <c r="D194" s="8">
        <v>936</v>
      </c>
      <c r="E194" s="8">
        <v>11</v>
      </c>
      <c r="F194" s="8">
        <v>42</v>
      </c>
      <c r="G194" s="28">
        <f t="shared" si="5"/>
        <v>85.090909090909093</v>
      </c>
      <c r="H194" s="33">
        <f t="shared" ref="H194:H257" si="6">F194/(D194+E194)</f>
        <v>4.4350580781414996E-2</v>
      </c>
    </row>
    <row r="195" spans="1:8">
      <c r="A195" s="27">
        <v>4979</v>
      </c>
      <c r="B195" s="8" t="s">
        <v>255</v>
      </c>
      <c r="C195" s="8">
        <v>312</v>
      </c>
      <c r="D195" s="8">
        <v>321</v>
      </c>
      <c r="E195" s="8">
        <v>19</v>
      </c>
      <c r="F195" s="8">
        <v>18</v>
      </c>
      <c r="G195" s="28">
        <f t="shared" ref="G195:G258" si="7">D195/E195</f>
        <v>16.894736842105264</v>
      </c>
      <c r="H195" s="33">
        <f t="shared" si="6"/>
        <v>5.2941176470588235E-2</v>
      </c>
    </row>
    <row r="196" spans="1:8">
      <c r="A196" s="27">
        <v>2214</v>
      </c>
      <c r="B196" s="8" t="s">
        <v>318</v>
      </c>
      <c r="C196" s="8">
        <v>375</v>
      </c>
      <c r="D196" s="8">
        <v>244</v>
      </c>
      <c r="E196" s="8">
        <v>106</v>
      </c>
      <c r="F196" s="8">
        <v>16</v>
      </c>
      <c r="G196" s="28">
        <f t="shared" si="7"/>
        <v>2.3018867924528301</v>
      </c>
      <c r="H196" s="33">
        <f t="shared" si="6"/>
        <v>4.5714285714285714E-2</v>
      </c>
    </row>
    <row r="197" spans="1:8">
      <c r="A197" s="27">
        <v>6606</v>
      </c>
      <c r="B197" s="8" t="s">
        <v>311</v>
      </c>
      <c r="C197" s="8">
        <v>134</v>
      </c>
      <c r="D197" s="8">
        <v>826</v>
      </c>
      <c r="E197" s="8">
        <v>160</v>
      </c>
      <c r="F197" s="8">
        <v>96</v>
      </c>
      <c r="G197" s="28">
        <f t="shared" si="7"/>
        <v>5.1624999999999996</v>
      </c>
      <c r="H197" s="33">
        <f t="shared" si="6"/>
        <v>9.7363083164300201E-2</v>
      </c>
    </row>
    <row r="198" spans="1:8">
      <c r="A198" s="27">
        <v>4246</v>
      </c>
      <c r="B198" s="8" t="s">
        <v>259</v>
      </c>
      <c r="C198" s="8">
        <v>91</v>
      </c>
      <c r="D198" s="8">
        <v>159</v>
      </c>
      <c r="E198" s="8">
        <v>14</v>
      </c>
      <c r="F198" s="8">
        <v>85</v>
      </c>
      <c r="G198" s="28">
        <f t="shared" si="7"/>
        <v>11.357142857142858</v>
      </c>
      <c r="H198" s="33">
        <f t="shared" si="6"/>
        <v>0.4913294797687861</v>
      </c>
    </row>
    <row r="199" spans="1:8">
      <c r="A199" s="27">
        <v>2836</v>
      </c>
      <c r="B199" s="8" t="s">
        <v>232</v>
      </c>
      <c r="C199" s="8">
        <v>359</v>
      </c>
      <c r="D199" s="8">
        <v>305</v>
      </c>
      <c r="E199" s="8">
        <v>81</v>
      </c>
      <c r="F199" s="8">
        <v>28</v>
      </c>
      <c r="G199" s="28">
        <f t="shared" si="7"/>
        <v>3.7654320987654319</v>
      </c>
      <c r="H199" s="33">
        <f t="shared" si="6"/>
        <v>7.2538860103626937E-2</v>
      </c>
    </row>
    <row r="200" spans="1:8">
      <c r="A200" s="27">
        <v>6963</v>
      </c>
      <c r="B200" s="8" t="s">
        <v>322</v>
      </c>
      <c r="C200" s="8">
        <v>172</v>
      </c>
      <c r="D200" s="8">
        <v>841</v>
      </c>
      <c r="E200" s="8">
        <v>83</v>
      </c>
      <c r="F200" s="8">
        <v>44</v>
      </c>
      <c r="G200" s="28">
        <f t="shared" si="7"/>
        <v>10.132530120481928</v>
      </c>
      <c r="H200" s="33">
        <f t="shared" si="6"/>
        <v>4.7619047619047616E-2</v>
      </c>
    </row>
    <row r="201" spans="1:8">
      <c r="A201" s="27">
        <v>2243</v>
      </c>
      <c r="B201" s="8" t="s">
        <v>323</v>
      </c>
      <c r="C201" s="8">
        <v>490</v>
      </c>
      <c r="D201" s="8">
        <v>123</v>
      </c>
      <c r="E201" s="8">
        <v>183</v>
      </c>
      <c r="F201" s="8">
        <v>45</v>
      </c>
      <c r="G201" s="28">
        <f t="shared" si="7"/>
        <v>0.67213114754098358</v>
      </c>
      <c r="H201" s="33">
        <f t="shared" si="6"/>
        <v>0.14705882352941177</v>
      </c>
    </row>
    <row r="202" spans="1:8">
      <c r="A202" s="27">
        <v>5081</v>
      </c>
      <c r="B202" s="8" t="s">
        <v>325</v>
      </c>
      <c r="C202" s="8">
        <v>16</v>
      </c>
      <c r="D202" s="8">
        <v>803</v>
      </c>
      <c r="E202" s="8">
        <v>196</v>
      </c>
      <c r="F202" s="8">
        <v>90</v>
      </c>
      <c r="G202" s="28">
        <f t="shared" si="7"/>
        <v>4.0969387755102042</v>
      </c>
      <c r="H202" s="33">
        <f t="shared" si="6"/>
        <v>9.0090090090090086E-2</v>
      </c>
    </row>
    <row r="203" spans="1:8">
      <c r="A203" s="27">
        <v>4171</v>
      </c>
      <c r="B203" s="8" t="s">
        <v>224</v>
      </c>
      <c r="C203" s="8">
        <v>291</v>
      </c>
      <c r="D203" s="8">
        <v>380</v>
      </c>
      <c r="E203" s="8">
        <v>106</v>
      </c>
      <c r="F203" s="8">
        <v>22</v>
      </c>
      <c r="G203" s="28">
        <f t="shared" si="7"/>
        <v>3.5849056603773586</v>
      </c>
      <c r="H203" s="33">
        <f t="shared" si="6"/>
        <v>4.5267489711934158E-2</v>
      </c>
    </row>
    <row r="204" spans="1:8">
      <c r="A204" s="27">
        <v>7399</v>
      </c>
      <c r="B204" s="8" t="s">
        <v>201</v>
      </c>
      <c r="C204" s="8">
        <v>119</v>
      </c>
      <c r="D204" s="8">
        <v>344</v>
      </c>
      <c r="E204" s="8">
        <v>93</v>
      </c>
      <c r="F204" s="8">
        <v>0</v>
      </c>
      <c r="G204" s="28">
        <f t="shared" si="7"/>
        <v>3.6989247311827955</v>
      </c>
      <c r="H204" s="33">
        <f t="shared" si="6"/>
        <v>0</v>
      </c>
    </row>
    <row r="205" spans="1:8">
      <c r="A205" s="27">
        <v>1110</v>
      </c>
      <c r="B205" s="8" t="s">
        <v>247</v>
      </c>
      <c r="C205" s="8">
        <v>35</v>
      </c>
      <c r="D205" s="8">
        <v>908</v>
      </c>
      <c r="E205" s="8">
        <v>128</v>
      </c>
      <c r="F205" s="8">
        <v>86</v>
      </c>
      <c r="G205" s="28">
        <f t="shared" si="7"/>
        <v>7.09375</v>
      </c>
      <c r="H205" s="33">
        <f t="shared" si="6"/>
        <v>8.3011583011583012E-2</v>
      </c>
    </row>
    <row r="206" spans="1:8">
      <c r="A206" s="27">
        <v>5630</v>
      </c>
      <c r="B206" s="8" t="s">
        <v>328</v>
      </c>
      <c r="C206" s="8">
        <v>88</v>
      </c>
      <c r="D206" s="8">
        <v>782</v>
      </c>
      <c r="E206" s="8">
        <v>180</v>
      </c>
      <c r="F206" s="8">
        <v>86</v>
      </c>
      <c r="G206" s="28">
        <f t="shared" si="7"/>
        <v>4.3444444444444441</v>
      </c>
      <c r="H206" s="33">
        <f t="shared" si="6"/>
        <v>8.9397089397089402E-2</v>
      </c>
    </row>
    <row r="207" spans="1:8">
      <c r="A207" s="27">
        <v>9430</v>
      </c>
      <c r="B207" s="8" t="s">
        <v>329</v>
      </c>
      <c r="C207" s="8">
        <v>312</v>
      </c>
      <c r="D207" s="8">
        <v>769</v>
      </c>
      <c r="E207" s="8">
        <v>140</v>
      </c>
      <c r="F207" s="8">
        <v>94</v>
      </c>
      <c r="G207" s="28">
        <f t="shared" si="7"/>
        <v>5.4928571428571429</v>
      </c>
      <c r="H207" s="33">
        <f t="shared" si="6"/>
        <v>0.1034103410341034</v>
      </c>
    </row>
    <row r="208" spans="1:8">
      <c r="A208" s="27">
        <v>7436</v>
      </c>
      <c r="B208" s="8" t="s">
        <v>330</v>
      </c>
      <c r="C208" s="8">
        <v>238</v>
      </c>
      <c r="D208" s="8">
        <v>233</v>
      </c>
      <c r="E208" s="8">
        <v>102</v>
      </c>
      <c r="F208" s="8">
        <v>78</v>
      </c>
      <c r="G208" s="28">
        <f t="shared" si="7"/>
        <v>2.284313725490196</v>
      </c>
      <c r="H208" s="33">
        <f t="shared" si="6"/>
        <v>0.23283582089552238</v>
      </c>
    </row>
    <row r="209" spans="1:8">
      <c r="A209" s="27">
        <v>2147</v>
      </c>
      <c r="B209" s="8" t="s">
        <v>332</v>
      </c>
      <c r="C209" s="8">
        <v>132</v>
      </c>
      <c r="D209" s="8">
        <v>170</v>
      </c>
      <c r="E209" s="8">
        <v>164</v>
      </c>
      <c r="F209" s="8">
        <v>71</v>
      </c>
      <c r="G209" s="28">
        <f t="shared" si="7"/>
        <v>1.0365853658536586</v>
      </c>
      <c r="H209" s="33">
        <f t="shared" si="6"/>
        <v>0.21257485029940121</v>
      </c>
    </row>
    <row r="210" spans="1:8">
      <c r="A210" s="27">
        <v>3264</v>
      </c>
      <c r="B210" s="8" t="s">
        <v>118</v>
      </c>
      <c r="C210" s="8">
        <v>456</v>
      </c>
      <c r="D210" s="8">
        <v>945</v>
      </c>
      <c r="E210" s="8">
        <v>114</v>
      </c>
      <c r="F210" s="8">
        <v>44</v>
      </c>
      <c r="G210" s="28">
        <f t="shared" si="7"/>
        <v>8.2894736842105257</v>
      </c>
      <c r="H210" s="33">
        <f t="shared" si="6"/>
        <v>4.1548630783758263E-2</v>
      </c>
    </row>
    <row r="211" spans="1:8">
      <c r="A211" s="27">
        <v>1214</v>
      </c>
      <c r="B211" s="8" t="s">
        <v>334</v>
      </c>
      <c r="C211" s="8">
        <v>281</v>
      </c>
      <c r="D211" s="8">
        <v>945</v>
      </c>
      <c r="E211" s="8">
        <v>108</v>
      </c>
      <c r="F211" s="8">
        <v>98</v>
      </c>
      <c r="G211" s="28">
        <f t="shared" si="7"/>
        <v>8.75</v>
      </c>
      <c r="H211" s="33">
        <f t="shared" si="6"/>
        <v>9.306742640075974E-2</v>
      </c>
    </row>
    <row r="212" spans="1:8">
      <c r="A212" s="27">
        <v>6050</v>
      </c>
      <c r="B212" s="8" t="s">
        <v>335</v>
      </c>
      <c r="C212" s="8">
        <v>281</v>
      </c>
      <c r="D212" s="8">
        <v>217</v>
      </c>
      <c r="E212" s="8">
        <v>162</v>
      </c>
      <c r="F212" s="8">
        <v>0</v>
      </c>
      <c r="G212" s="28">
        <f t="shared" si="7"/>
        <v>1.3395061728395061</v>
      </c>
      <c r="H212" s="33">
        <f t="shared" si="6"/>
        <v>0</v>
      </c>
    </row>
    <row r="213" spans="1:8">
      <c r="A213" s="27">
        <v>7395</v>
      </c>
      <c r="B213" s="8" t="s">
        <v>130</v>
      </c>
      <c r="C213" s="8">
        <v>73</v>
      </c>
      <c r="D213" s="8">
        <v>664</v>
      </c>
      <c r="E213" s="8">
        <v>123</v>
      </c>
      <c r="F213" s="8">
        <v>70</v>
      </c>
      <c r="G213" s="28">
        <f t="shared" si="7"/>
        <v>5.3983739837398375</v>
      </c>
      <c r="H213" s="33">
        <f t="shared" si="6"/>
        <v>8.8945362134688691E-2</v>
      </c>
    </row>
    <row r="214" spans="1:8">
      <c r="A214" s="27">
        <v>3904</v>
      </c>
      <c r="B214" s="8" t="s">
        <v>224</v>
      </c>
      <c r="C214" s="8">
        <v>365</v>
      </c>
      <c r="D214" s="8">
        <v>679</v>
      </c>
      <c r="E214" s="8">
        <v>1</v>
      </c>
      <c r="F214" s="8">
        <v>100</v>
      </c>
      <c r="G214" s="28">
        <f t="shared" si="7"/>
        <v>679</v>
      </c>
      <c r="H214" s="33">
        <f t="shared" si="6"/>
        <v>0.14705882352941177</v>
      </c>
    </row>
    <row r="215" spans="1:8">
      <c r="A215" s="27">
        <v>6545</v>
      </c>
      <c r="B215" s="8" t="s">
        <v>147</v>
      </c>
      <c r="C215" s="8">
        <v>61</v>
      </c>
      <c r="D215" s="8">
        <v>242</v>
      </c>
      <c r="E215" s="8">
        <v>200</v>
      </c>
      <c r="F215" s="8">
        <v>53</v>
      </c>
      <c r="G215" s="28">
        <f t="shared" si="7"/>
        <v>1.21</v>
      </c>
      <c r="H215" s="33">
        <f t="shared" si="6"/>
        <v>0.11990950226244344</v>
      </c>
    </row>
    <row r="216" spans="1:8">
      <c r="A216" s="27">
        <v>3131</v>
      </c>
      <c r="B216" s="8" t="s">
        <v>153</v>
      </c>
      <c r="C216" s="8">
        <v>399</v>
      </c>
      <c r="D216" s="8">
        <v>541</v>
      </c>
      <c r="E216" s="8">
        <v>158</v>
      </c>
      <c r="F216" s="8">
        <v>4</v>
      </c>
      <c r="G216" s="28">
        <f t="shared" si="7"/>
        <v>3.4240506329113924</v>
      </c>
      <c r="H216" s="33">
        <f t="shared" si="6"/>
        <v>5.7224606580829757E-3</v>
      </c>
    </row>
    <row r="217" spans="1:8">
      <c r="A217" s="27">
        <v>8589</v>
      </c>
      <c r="B217" s="8" t="s">
        <v>207</v>
      </c>
      <c r="C217" s="8">
        <v>102</v>
      </c>
      <c r="D217" s="8">
        <v>108</v>
      </c>
      <c r="E217" s="8">
        <v>105</v>
      </c>
      <c r="F217" s="8">
        <v>76</v>
      </c>
      <c r="G217" s="28">
        <f t="shared" si="7"/>
        <v>1.0285714285714285</v>
      </c>
      <c r="H217" s="33">
        <f t="shared" si="6"/>
        <v>0.35680751173708919</v>
      </c>
    </row>
    <row r="218" spans="1:8">
      <c r="A218" s="27">
        <v>2908</v>
      </c>
      <c r="B218" s="8" t="s">
        <v>248</v>
      </c>
      <c r="C218" s="8">
        <v>88</v>
      </c>
      <c r="D218" s="8">
        <v>343</v>
      </c>
      <c r="E218" s="8">
        <v>163</v>
      </c>
      <c r="F218" s="8">
        <v>89</v>
      </c>
      <c r="G218" s="28">
        <f t="shared" si="7"/>
        <v>2.1042944785276072</v>
      </c>
      <c r="H218" s="33">
        <f t="shared" si="6"/>
        <v>0.17588932806324112</v>
      </c>
    </row>
    <row r="219" spans="1:8">
      <c r="A219" s="27">
        <v>5209</v>
      </c>
      <c r="B219" s="8" t="s">
        <v>238</v>
      </c>
      <c r="C219" s="8">
        <v>92</v>
      </c>
      <c r="D219" s="8">
        <v>477</v>
      </c>
      <c r="E219" s="8">
        <v>38</v>
      </c>
      <c r="F219" s="8">
        <v>71</v>
      </c>
      <c r="G219" s="28">
        <f t="shared" si="7"/>
        <v>12.552631578947368</v>
      </c>
      <c r="H219" s="33">
        <f t="shared" si="6"/>
        <v>0.13786407766990291</v>
      </c>
    </row>
    <row r="220" spans="1:8">
      <c r="A220" s="27">
        <v>2319</v>
      </c>
      <c r="B220" s="8" t="s">
        <v>150</v>
      </c>
      <c r="C220" s="8">
        <v>295</v>
      </c>
      <c r="D220" s="8">
        <v>767</v>
      </c>
      <c r="E220" s="8">
        <v>190</v>
      </c>
      <c r="F220" s="8">
        <v>7</v>
      </c>
      <c r="G220" s="28">
        <f t="shared" si="7"/>
        <v>4.0368421052631582</v>
      </c>
      <c r="H220" s="33">
        <f t="shared" si="6"/>
        <v>7.3145245559038665E-3</v>
      </c>
    </row>
    <row r="221" spans="1:8">
      <c r="A221" s="27">
        <v>9026</v>
      </c>
      <c r="B221" s="8" t="s">
        <v>197</v>
      </c>
      <c r="C221" s="8">
        <v>139</v>
      </c>
      <c r="D221" s="8">
        <v>12</v>
      </c>
      <c r="E221" s="8">
        <v>9</v>
      </c>
      <c r="F221" s="8">
        <v>21</v>
      </c>
      <c r="G221" s="28">
        <f t="shared" si="7"/>
        <v>1.3333333333333333</v>
      </c>
      <c r="H221" s="33">
        <f t="shared" si="6"/>
        <v>1</v>
      </c>
    </row>
    <row r="222" spans="1:8">
      <c r="A222" s="27">
        <v>2723</v>
      </c>
      <c r="B222" s="8" t="s">
        <v>337</v>
      </c>
      <c r="C222" s="8">
        <v>416</v>
      </c>
      <c r="D222" s="8">
        <v>920</v>
      </c>
      <c r="E222" s="8">
        <v>79</v>
      </c>
      <c r="F222" s="8">
        <v>20</v>
      </c>
      <c r="G222" s="28">
        <f t="shared" si="7"/>
        <v>11.645569620253164</v>
      </c>
      <c r="H222" s="33">
        <f t="shared" si="6"/>
        <v>2.002002002002002E-2</v>
      </c>
    </row>
    <row r="223" spans="1:8">
      <c r="A223" s="27">
        <v>5487</v>
      </c>
      <c r="B223" s="8" t="s">
        <v>148</v>
      </c>
      <c r="C223" s="8">
        <v>173</v>
      </c>
      <c r="D223" s="8">
        <v>819</v>
      </c>
      <c r="E223" s="8">
        <v>174</v>
      </c>
      <c r="F223" s="8">
        <v>34</v>
      </c>
      <c r="G223" s="28">
        <f t="shared" si="7"/>
        <v>4.7068965517241379</v>
      </c>
      <c r="H223" s="33">
        <f t="shared" si="6"/>
        <v>3.4239677744209468E-2</v>
      </c>
    </row>
    <row r="224" spans="1:8">
      <c r="A224" s="27">
        <v>4656</v>
      </c>
      <c r="B224" s="8" t="s">
        <v>207</v>
      </c>
      <c r="C224" s="8">
        <v>75</v>
      </c>
      <c r="D224" s="8">
        <v>607</v>
      </c>
      <c r="E224" s="8">
        <v>94</v>
      </c>
      <c r="F224" s="8">
        <v>57</v>
      </c>
      <c r="G224" s="28">
        <f t="shared" si="7"/>
        <v>6.457446808510638</v>
      </c>
      <c r="H224" s="33">
        <f t="shared" si="6"/>
        <v>8.1312410841654775E-2</v>
      </c>
    </row>
    <row r="225" spans="1:8">
      <c r="A225" s="27">
        <v>5718</v>
      </c>
      <c r="B225" s="8" t="s">
        <v>340</v>
      </c>
      <c r="C225" s="8">
        <v>173</v>
      </c>
      <c r="D225" s="8">
        <v>346</v>
      </c>
      <c r="E225" s="8">
        <v>76</v>
      </c>
      <c r="F225" s="8">
        <v>28</v>
      </c>
      <c r="G225" s="28">
        <f t="shared" si="7"/>
        <v>4.5526315789473681</v>
      </c>
      <c r="H225" s="33">
        <f t="shared" si="6"/>
        <v>6.6350710900473939E-2</v>
      </c>
    </row>
    <row r="226" spans="1:8">
      <c r="A226" s="27">
        <v>1215</v>
      </c>
      <c r="B226" s="8" t="s">
        <v>342</v>
      </c>
      <c r="C226" s="8">
        <v>421</v>
      </c>
      <c r="D226" s="8">
        <v>668</v>
      </c>
      <c r="E226" s="8">
        <v>17</v>
      </c>
      <c r="F226" s="8">
        <v>7</v>
      </c>
      <c r="G226" s="28">
        <f t="shared" si="7"/>
        <v>39.294117647058826</v>
      </c>
      <c r="H226" s="33">
        <f t="shared" si="6"/>
        <v>1.0218978102189781E-2</v>
      </c>
    </row>
    <row r="227" spans="1:8">
      <c r="A227" s="27">
        <v>3427</v>
      </c>
      <c r="B227" s="8" t="s">
        <v>344</v>
      </c>
      <c r="C227" s="8">
        <v>29</v>
      </c>
      <c r="D227" s="8">
        <v>317</v>
      </c>
      <c r="E227" s="8">
        <v>116</v>
      </c>
      <c r="F227" s="8">
        <v>78</v>
      </c>
      <c r="G227" s="28">
        <f t="shared" si="7"/>
        <v>2.7327586206896552</v>
      </c>
      <c r="H227" s="33">
        <f t="shared" si="6"/>
        <v>0.18013856812933027</v>
      </c>
    </row>
    <row r="228" spans="1:8">
      <c r="A228" s="27">
        <v>2428</v>
      </c>
      <c r="B228" s="8" t="s">
        <v>345</v>
      </c>
      <c r="C228" s="8">
        <v>180</v>
      </c>
      <c r="D228" s="8">
        <v>297</v>
      </c>
      <c r="E228" s="8">
        <v>19</v>
      </c>
      <c r="F228" s="8">
        <v>84</v>
      </c>
      <c r="G228" s="28">
        <f t="shared" si="7"/>
        <v>15.631578947368421</v>
      </c>
      <c r="H228" s="33">
        <f t="shared" si="6"/>
        <v>0.26582278481012656</v>
      </c>
    </row>
    <row r="229" spans="1:8">
      <c r="A229" s="27">
        <v>1947</v>
      </c>
      <c r="B229" s="8" t="s">
        <v>347</v>
      </c>
      <c r="C229" s="8">
        <v>469</v>
      </c>
      <c r="D229" s="8">
        <v>866</v>
      </c>
      <c r="E229" s="8">
        <v>120</v>
      </c>
      <c r="F229" s="8">
        <v>92</v>
      </c>
      <c r="G229" s="28">
        <f t="shared" si="7"/>
        <v>7.2166666666666668</v>
      </c>
      <c r="H229" s="33">
        <f t="shared" si="6"/>
        <v>9.330628803245436E-2</v>
      </c>
    </row>
    <row r="230" spans="1:8">
      <c r="A230" s="27">
        <v>5036</v>
      </c>
      <c r="B230" s="8" t="s">
        <v>290</v>
      </c>
      <c r="C230" s="8">
        <v>381</v>
      </c>
      <c r="D230" s="8">
        <v>286</v>
      </c>
      <c r="E230" s="8">
        <v>121</v>
      </c>
      <c r="F230" s="8">
        <v>57</v>
      </c>
      <c r="G230" s="28">
        <f t="shared" si="7"/>
        <v>2.3636363636363638</v>
      </c>
      <c r="H230" s="33">
        <f t="shared" si="6"/>
        <v>0.14004914004914004</v>
      </c>
    </row>
    <row r="231" spans="1:8">
      <c r="A231" s="27">
        <v>5857</v>
      </c>
      <c r="B231" s="8" t="s">
        <v>88</v>
      </c>
      <c r="C231" s="8">
        <v>263</v>
      </c>
      <c r="D231" s="8">
        <v>95</v>
      </c>
      <c r="E231" s="8">
        <v>149</v>
      </c>
      <c r="F231" s="8">
        <v>17</v>
      </c>
      <c r="G231" s="28">
        <f t="shared" si="7"/>
        <v>0.63758389261744963</v>
      </c>
      <c r="H231" s="33">
        <f t="shared" si="6"/>
        <v>6.9672131147540978E-2</v>
      </c>
    </row>
    <row r="232" spans="1:8">
      <c r="A232" s="27">
        <v>8770</v>
      </c>
      <c r="B232" s="8" t="s">
        <v>106</v>
      </c>
      <c r="C232" s="8">
        <v>48</v>
      </c>
      <c r="D232" s="8">
        <v>938</v>
      </c>
      <c r="E232" s="8">
        <v>92</v>
      </c>
      <c r="F232" s="8">
        <v>99</v>
      </c>
      <c r="G232" s="28">
        <f t="shared" si="7"/>
        <v>10.195652173913043</v>
      </c>
      <c r="H232" s="33">
        <f t="shared" si="6"/>
        <v>9.6116504854368928E-2</v>
      </c>
    </row>
    <row r="233" spans="1:8">
      <c r="A233" s="27">
        <v>4118</v>
      </c>
      <c r="B233" s="8" t="s">
        <v>349</v>
      </c>
      <c r="C233" s="8">
        <v>447</v>
      </c>
      <c r="D233" s="8">
        <v>264</v>
      </c>
      <c r="E233" s="8">
        <v>55</v>
      </c>
      <c r="F233" s="8">
        <v>58</v>
      </c>
      <c r="G233" s="28">
        <f t="shared" si="7"/>
        <v>4.8</v>
      </c>
      <c r="H233" s="33">
        <f t="shared" si="6"/>
        <v>0.18181818181818182</v>
      </c>
    </row>
    <row r="234" spans="1:8">
      <c r="A234" s="27">
        <v>7162</v>
      </c>
      <c r="B234" s="8" t="s">
        <v>351</v>
      </c>
      <c r="C234" s="8">
        <v>415</v>
      </c>
      <c r="D234" s="8">
        <v>44</v>
      </c>
      <c r="E234" s="8">
        <v>10</v>
      </c>
      <c r="F234" s="8">
        <v>91</v>
      </c>
      <c r="G234" s="28">
        <f t="shared" si="7"/>
        <v>4.4000000000000004</v>
      </c>
      <c r="H234" s="33">
        <f t="shared" si="6"/>
        <v>1.6851851851851851</v>
      </c>
    </row>
    <row r="235" spans="1:8">
      <c r="A235" s="27">
        <v>9278</v>
      </c>
      <c r="B235" s="8" t="s">
        <v>304</v>
      </c>
      <c r="C235" s="8">
        <v>429</v>
      </c>
      <c r="D235" s="8">
        <v>944</v>
      </c>
      <c r="E235" s="8">
        <v>165</v>
      </c>
      <c r="F235" s="8">
        <v>12</v>
      </c>
      <c r="G235" s="28">
        <f t="shared" si="7"/>
        <v>5.7212121212121216</v>
      </c>
      <c r="H235" s="33">
        <f t="shared" si="6"/>
        <v>1.0820559062218215E-2</v>
      </c>
    </row>
    <row r="236" spans="1:8">
      <c r="A236" s="27">
        <v>5406</v>
      </c>
      <c r="B236" s="8" t="s">
        <v>353</v>
      </c>
      <c r="C236" s="8">
        <v>26</v>
      </c>
      <c r="D236" s="8">
        <v>542</v>
      </c>
      <c r="E236" s="8">
        <v>152</v>
      </c>
      <c r="F236" s="8">
        <v>6</v>
      </c>
      <c r="G236" s="28">
        <f t="shared" si="7"/>
        <v>3.5657894736842106</v>
      </c>
      <c r="H236" s="33">
        <f t="shared" si="6"/>
        <v>8.6455331412103754E-3</v>
      </c>
    </row>
    <row r="237" spans="1:8">
      <c r="A237" s="27">
        <v>4641</v>
      </c>
      <c r="B237" s="8" t="s">
        <v>311</v>
      </c>
      <c r="C237" s="8">
        <v>101</v>
      </c>
      <c r="D237" s="8">
        <v>350</v>
      </c>
      <c r="E237" s="8">
        <v>17</v>
      </c>
      <c r="F237" s="8">
        <v>11</v>
      </c>
      <c r="G237" s="28">
        <f t="shared" si="7"/>
        <v>20.588235294117649</v>
      </c>
      <c r="H237" s="33">
        <f t="shared" si="6"/>
        <v>2.9972752043596729E-2</v>
      </c>
    </row>
    <row r="238" spans="1:8">
      <c r="A238" s="27">
        <v>3969</v>
      </c>
      <c r="B238" s="8" t="s">
        <v>329</v>
      </c>
      <c r="C238" s="8">
        <v>461</v>
      </c>
      <c r="D238" s="8">
        <v>31</v>
      </c>
      <c r="E238" s="8">
        <v>173</v>
      </c>
      <c r="F238" s="8">
        <v>84</v>
      </c>
      <c r="G238" s="28">
        <f t="shared" si="7"/>
        <v>0.1791907514450867</v>
      </c>
      <c r="H238" s="33">
        <f t="shared" si="6"/>
        <v>0.41176470588235292</v>
      </c>
    </row>
    <row r="239" spans="1:8">
      <c r="A239" s="27">
        <v>3078</v>
      </c>
      <c r="B239" s="8" t="s">
        <v>355</v>
      </c>
      <c r="C239" s="8">
        <v>246</v>
      </c>
      <c r="D239" s="8">
        <v>358</v>
      </c>
      <c r="E239" s="8">
        <v>158</v>
      </c>
      <c r="F239" s="8">
        <v>18</v>
      </c>
      <c r="G239" s="28">
        <f t="shared" si="7"/>
        <v>2.2658227848101267</v>
      </c>
      <c r="H239" s="33">
        <f t="shared" si="6"/>
        <v>3.4883720930232558E-2</v>
      </c>
    </row>
    <row r="240" spans="1:8">
      <c r="A240" s="27">
        <v>2808</v>
      </c>
      <c r="B240" s="8" t="s">
        <v>177</v>
      </c>
      <c r="C240" s="8">
        <v>91</v>
      </c>
      <c r="D240" s="8">
        <v>961</v>
      </c>
      <c r="E240" s="8">
        <v>170</v>
      </c>
      <c r="F240" s="8">
        <v>87</v>
      </c>
      <c r="G240" s="28">
        <f t="shared" si="7"/>
        <v>5.6529411764705886</v>
      </c>
      <c r="H240" s="33">
        <f t="shared" si="6"/>
        <v>7.6923076923076927E-2</v>
      </c>
    </row>
    <row r="241" spans="1:8">
      <c r="A241" s="27">
        <v>7484</v>
      </c>
      <c r="B241" s="8" t="s">
        <v>340</v>
      </c>
      <c r="C241" s="8">
        <v>152</v>
      </c>
      <c r="D241" s="8">
        <v>623</v>
      </c>
      <c r="E241" s="8">
        <v>180</v>
      </c>
      <c r="F241" s="8">
        <v>89</v>
      </c>
      <c r="G241" s="28">
        <f t="shared" si="7"/>
        <v>3.4611111111111112</v>
      </c>
      <c r="H241" s="33">
        <f t="shared" si="6"/>
        <v>0.11083437110834371</v>
      </c>
    </row>
    <row r="242" spans="1:8">
      <c r="A242" s="27">
        <v>2396</v>
      </c>
      <c r="B242" s="8" t="s">
        <v>272</v>
      </c>
      <c r="C242" s="8">
        <v>283</v>
      </c>
      <c r="D242" s="8">
        <v>466</v>
      </c>
      <c r="E242" s="8">
        <v>139</v>
      </c>
      <c r="F242" s="8">
        <v>62</v>
      </c>
      <c r="G242" s="28">
        <f t="shared" si="7"/>
        <v>3.3525179856115108</v>
      </c>
      <c r="H242" s="33">
        <f t="shared" si="6"/>
        <v>0.10247933884297521</v>
      </c>
    </row>
    <row r="243" spans="1:8">
      <c r="A243" s="27">
        <v>2472</v>
      </c>
      <c r="B243" s="8" t="s">
        <v>325</v>
      </c>
      <c r="C243" s="8">
        <v>61</v>
      </c>
      <c r="D243" s="8">
        <v>860</v>
      </c>
      <c r="E243" s="8">
        <v>145</v>
      </c>
      <c r="F243" s="8">
        <v>82</v>
      </c>
      <c r="G243" s="28">
        <f t="shared" si="7"/>
        <v>5.931034482758621</v>
      </c>
      <c r="H243" s="33">
        <f t="shared" si="6"/>
        <v>8.1592039800995025E-2</v>
      </c>
    </row>
    <row r="244" spans="1:8">
      <c r="A244" s="27">
        <v>7939</v>
      </c>
      <c r="B244" s="8" t="s">
        <v>357</v>
      </c>
      <c r="C244" s="8">
        <v>410</v>
      </c>
      <c r="D244" s="8">
        <v>410</v>
      </c>
      <c r="E244" s="8">
        <v>125</v>
      </c>
      <c r="F244" s="8">
        <v>68</v>
      </c>
      <c r="G244" s="28">
        <f t="shared" si="7"/>
        <v>3.28</v>
      </c>
      <c r="H244" s="33">
        <f t="shared" si="6"/>
        <v>0.12710280373831775</v>
      </c>
    </row>
    <row r="245" spans="1:8">
      <c r="A245" s="27">
        <v>8269</v>
      </c>
      <c r="B245" s="8" t="s">
        <v>88</v>
      </c>
      <c r="C245" s="8">
        <v>88</v>
      </c>
      <c r="D245" s="8">
        <v>69</v>
      </c>
      <c r="E245" s="8">
        <v>75</v>
      </c>
      <c r="F245" s="8">
        <v>80</v>
      </c>
      <c r="G245" s="28">
        <f t="shared" si="7"/>
        <v>0.92</v>
      </c>
      <c r="H245" s="33">
        <f t="shared" si="6"/>
        <v>0.55555555555555558</v>
      </c>
    </row>
    <row r="246" spans="1:8">
      <c r="A246" s="27">
        <v>9073</v>
      </c>
      <c r="B246" s="8" t="s">
        <v>104</v>
      </c>
      <c r="C246" s="8">
        <v>322</v>
      </c>
      <c r="D246" s="8">
        <v>424</v>
      </c>
      <c r="E246" s="8">
        <v>74</v>
      </c>
      <c r="F246" s="8">
        <v>3</v>
      </c>
      <c r="G246" s="28">
        <f t="shared" si="7"/>
        <v>5.7297297297297298</v>
      </c>
      <c r="H246" s="33">
        <f t="shared" si="6"/>
        <v>6.024096385542169E-3</v>
      </c>
    </row>
    <row r="247" spans="1:8">
      <c r="A247" s="27">
        <v>9879</v>
      </c>
      <c r="B247" s="8" t="s">
        <v>143</v>
      </c>
      <c r="C247" s="8">
        <v>217</v>
      </c>
      <c r="D247" s="8">
        <v>377</v>
      </c>
      <c r="E247" s="8">
        <v>136</v>
      </c>
      <c r="F247" s="8">
        <v>8</v>
      </c>
      <c r="G247" s="28">
        <f t="shared" si="7"/>
        <v>2.7720588235294117</v>
      </c>
      <c r="H247" s="33">
        <f t="shared" si="6"/>
        <v>1.5594541910331383E-2</v>
      </c>
    </row>
    <row r="248" spans="1:8">
      <c r="A248" s="27">
        <v>3822</v>
      </c>
      <c r="B248" s="8" t="s">
        <v>359</v>
      </c>
      <c r="C248" s="8">
        <v>180</v>
      </c>
      <c r="D248" s="8">
        <v>132</v>
      </c>
      <c r="E248" s="8">
        <v>127</v>
      </c>
      <c r="F248" s="8">
        <v>79</v>
      </c>
      <c r="G248" s="28">
        <f t="shared" si="7"/>
        <v>1.0393700787401574</v>
      </c>
      <c r="H248" s="33">
        <f t="shared" si="6"/>
        <v>0.30501930501930502</v>
      </c>
    </row>
    <row r="249" spans="1:8">
      <c r="A249" s="27">
        <v>9183</v>
      </c>
      <c r="B249" s="8" t="s">
        <v>101</v>
      </c>
      <c r="C249" s="8">
        <v>11</v>
      </c>
      <c r="D249" s="8">
        <v>818</v>
      </c>
      <c r="E249" s="8">
        <v>45</v>
      </c>
      <c r="F249" s="8">
        <v>97</v>
      </c>
      <c r="G249" s="28">
        <f t="shared" si="7"/>
        <v>18.177777777777777</v>
      </c>
      <c r="H249" s="33">
        <f t="shared" si="6"/>
        <v>0.11239860950173812</v>
      </c>
    </row>
    <row r="250" spans="1:8">
      <c r="A250" s="27">
        <v>8674</v>
      </c>
      <c r="B250" s="8" t="s">
        <v>360</v>
      </c>
      <c r="C250" s="8">
        <v>455</v>
      </c>
      <c r="D250" s="8">
        <v>813</v>
      </c>
      <c r="E250" s="8">
        <v>155</v>
      </c>
      <c r="F250" s="8">
        <v>85</v>
      </c>
      <c r="G250" s="28">
        <f t="shared" si="7"/>
        <v>5.2451612903225806</v>
      </c>
      <c r="H250" s="33">
        <f t="shared" si="6"/>
        <v>8.78099173553719E-2</v>
      </c>
    </row>
    <row r="251" spans="1:8">
      <c r="A251" s="27">
        <v>2481</v>
      </c>
      <c r="B251" s="8" t="s">
        <v>361</v>
      </c>
      <c r="C251" s="8">
        <v>487</v>
      </c>
      <c r="D251" s="8">
        <v>362</v>
      </c>
      <c r="E251" s="8">
        <v>130</v>
      </c>
      <c r="F251" s="8">
        <v>36</v>
      </c>
      <c r="G251" s="28">
        <f t="shared" si="7"/>
        <v>2.7846153846153845</v>
      </c>
      <c r="H251" s="33">
        <f t="shared" si="6"/>
        <v>7.3170731707317069E-2</v>
      </c>
    </row>
    <row r="252" spans="1:8">
      <c r="A252" s="27">
        <v>8729</v>
      </c>
      <c r="B252" s="8" t="s">
        <v>363</v>
      </c>
      <c r="C252" s="8">
        <v>459</v>
      </c>
      <c r="D252" s="8">
        <v>573</v>
      </c>
      <c r="E252" s="8">
        <v>190</v>
      </c>
      <c r="F252" s="8">
        <v>81</v>
      </c>
      <c r="G252" s="28">
        <f t="shared" si="7"/>
        <v>3.0157894736842104</v>
      </c>
      <c r="H252" s="33">
        <f t="shared" si="6"/>
        <v>0.10615989515072084</v>
      </c>
    </row>
    <row r="253" spans="1:8">
      <c r="A253" s="27">
        <v>5534</v>
      </c>
      <c r="B253" s="8" t="s">
        <v>364</v>
      </c>
      <c r="C253" s="8">
        <v>74</v>
      </c>
      <c r="D253" s="8">
        <v>657</v>
      </c>
      <c r="E253" s="8">
        <v>88</v>
      </c>
      <c r="F253" s="8">
        <v>40</v>
      </c>
      <c r="G253" s="28">
        <f t="shared" si="7"/>
        <v>7.4659090909090908</v>
      </c>
      <c r="H253" s="33">
        <f t="shared" si="6"/>
        <v>5.3691275167785234E-2</v>
      </c>
    </row>
    <row r="254" spans="1:8">
      <c r="A254" s="27">
        <v>9785</v>
      </c>
      <c r="B254" s="8" t="s">
        <v>259</v>
      </c>
      <c r="C254" s="8">
        <v>54</v>
      </c>
      <c r="D254" s="8">
        <v>659</v>
      </c>
      <c r="E254" s="8">
        <v>2</v>
      </c>
      <c r="F254" s="8">
        <v>82</v>
      </c>
      <c r="G254" s="28">
        <f t="shared" si="7"/>
        <v>329.5</v>
      </c>
      <c r="H254" s="33">
        <f t="shared" si="6"/>
        <v>0.12405446293494705</v>
      </c>
    </row>
    <row r="255" spans="1:8">
      <c r="A255" s="27">
        <v>9609</v>
      </c>
      <c r="B255" s="8" t="s">
        <v>344</v>
      </c>
      <c r="C255" s="8">
        <v>292</v>
      </c>
      <c r="D255" s="8">
        <v>653</v>
      </c>
      <c r="E255" s="8">
        <v>173</v>
      </c>
      <c r="F255" s="8">
        <v>8</v>
      </c>
      <c r="G255" s="28">
        <f t="shared" si="7"/>
        <v>3.7745664739884393</v>
      </c>
      <c r="H255" s="33">
        <f t="shared" si="6"/>
        <v>9.6852300242130755E-3</v>
      </c>
    </row>
    <row r="256" spans="1:8">
      <c r="A256" s="27">
        <v>2829</v>
      </c>
      <c r="B256" s="8" t="s">
        <v>365</v>
      </c>
      <c r="C256" s="8">
        <v>23</v>
      </c>
      <c r="D256" s="8">
        <v>577</v>
      </c>
      <c r="E256" s="8">
        <v>131</v>
      </c>
      <c r="F256" s="8">
        <v>14</v>
      </c>
      <c r="G256" s="28">
        <f t="shared" si="7"/>
        <v>4.4045801526717554</v>
      </c>
      <c r="H256" s="33">
        <f t="shared" si="6"/>
        <v>1.977401129943503E-2</v>
      </c>
    </row>
    <row r="257" spans="1:8">
      <c r="A257" s="27">
        <v>1714</v>
      </c>
      <c r="B257" s="8" t="s">
        <v>367</v>
      </c>
      <c r="C257" s="8">
        <v>147</v>
      </c>
      <c r="D257" s="8">
        <v>802</v>
      </c>
      <c r="E257" s="8">
        <v>177</v>
      </c>
      <c r="F257" s="8">
        <v>21</v>
      </c>
      <c r="G257" s="28">
        <f t="shared" si="7"/>
        <v>4.5310734463276834</v>
      </c>
      <c r="H257" s="33">
        <f t="shared" si="6"/>
        <v>2.1450459652706845E-2</v>
      </c>
    </row>
    <row r="258" spans="1:8">
      <c r="A258" s="27">
        <v>4475</v>
      </c>
      <c r="B258" s="8" t="s">
        <v>369</v>
      </c>
      <c r="C258" s="8">
        <v>221</v>
      </c>
      <c r="D258" s="8">
        <v>702</v>
      </c>
      <c r="E258" s="8">
        <v>130</v>
      </c>
      <c r="F258" s="8">
        <v>36</v>
      </c>
      <c r="G258" s="28">
        <f t="shared" si="7"/>
        <v>5.4</v>
      </c>
      <c r="H258" s="33">
        <f t="shared" ref="H258:H321" si="8">F258/(D258+E258)</f>
        <v>4.3269230769230768E-2</v>
      </c>
    </row>
    <row r="259" spans="1:8">
      <c r="A259" s="27">
        <v>9820</v>
      </c>
      <c r="B259" s="8" t="s">
        <v>153</v>
      </c>
      <c r="C259" s="8">
        <v>40</v>
      </c>
      <c r="D259" s="8">
        <v>92</v>
      </c>
      <c r="E259" s="8">
        <v>184</v>
      </c>
      <c r="F259" s="8">
        <v>66</v>
      </c>
      <c r="G259" s="28">
        <f t="shared" ref="G259:G322" si="9">D259/E259</f>
        <v>0.5</v>
      </c>
      <c r="H259" s="33">
        <f t="shared" si="8"/>
        <v>0.2391304347826087</v>
      </c>
    </row>
    <row r="260" spans="1:8">
      <c r="A260" s="27">
        <v>3261</v>
      </c>
      <c r="B260" s="8" t="s">
        <v>179</v>
      </c>
      <c r="C260" s="8">
        <v>365</v>
      </c>
      <c r="D260" s="8">
        <v>582</v>
      </c>
      <c r="E260" s="8">
        <v>162</v>
      </c>
      <c r="F260" s="8">
        <v>8</v>
      </c>
      <c r="G260" s="28">
        <f t="shared" si="9"/>
        <v>3.5925925925925926</v>
      </c>
      <c r="H260" s="33">
        <f t="shared" si="8"/>
        <v>1.0752688172043012E-2</v>
      </c>
    </row>
    <row r="261" spans="1:8">
      <c r="A261" s="27">
        <v>6130</v>
      </c>
      <c r="B261" s="8" t="s">
        <v>157</v>
      </c>
      <c r="C261" s="8">
        <v>360</v>
      </c>
      <c r="D261" s="8">
        <v>161</v>
      </c>
      <c r="E261" s="8">
        <v>93</v>
      </c>
      <c r="F261" s="8">
        <v>30</v>
      </c>
      <c r="G261" s="28">
        <f t="shared" si="9"/>
        <v>1.7311827956989247</v>
      </c>
      <c r="H261" s="33">
        <f t="shared" si="8"/>
        <v>0.11811023622047244</v>
      </c>
    </row>
    <row r="262" spans="1:8">
      <c r="A262" s="27">
        <v>9399</v>
      </c>
      <c r="B262" s="8" t="s">
        <v>183</v>
      </c>
      <c r="C262" s="8">
        <v>127</v>
      </c>
      <c r="D262" s="8">
        <v>842</v>
      </c>
      <c r="E262" s="8">
        <v>24</v>
      </c>
      <c r="F262" s="8">
        <v>72</v>
      </c>
      <c r="G262" s="28">
        <f t="shared" si="9"/>
        <v>35.083333333333336</v>
      </c>
      <c r="H262" s="33">
        <f t="shared" si="8"/>
        <v>8.3140877598152418E-2</v>
      </c>
    </row>
    <row r="263" spans="1:8">
      <c r="A263" s="27">
        <v>6047</v>
      </c>
      <c r="B263" s="8" t="s">
        <v>284</v>
      </c>
      <c r="C263" s="8">
        <v>30</v>
      </c>
      <c r="D263" s="8">
        <v>609</v>
      </c>
      <c r="E263" s="8">
        <v>6</v>
      </c>
      <c r="F263" s="8">
        <v>57</v>
      </c>
      <c r="G263" s="28">
        <f t="shared" si="9"/>
        <v>101.5</v>
      </c>
      <c r="H263" s="33">
        <f t="shared" si="8"/>
        <v>9.2682926829268292E-2</v>
      </c>
    </row>
    <row r="264" spans="1:8">
      <c r="A264" s="27">
        <v>7789</v>
      </c>
      <c r="B264" s="8" t="s">
        <v>120</v>
      </c>
      <c r="C264" s="8">
        <v>222</v>
      </c>
      <c r="D264" s="8">
        <v>391</v>
      </c>
      <c r="E264" s="8">
        <v>17</v>
      </c>
      <c r="F264" s="8">
        <v>21</v>
      </c>
      <c r="G264" s="28">
        <f t="shared" si="9"/>
        <v>23</v>
      </c>
      <c r="H264" s="33">
        <f t="shared" si="8"/>
        <v>5.1470588235294115E-2</v>
      </c>
    </row>
    <row r="265" spans="1:8">
      <c r="A265" s="27">
        <v>6111</v>
      </c>
      <c r="B265" s="8" t="s">
        <v>176</v>
      </c>
      <c r="C265" s="8">
        <v>168</v>
      </c>
      <c r="D265" s="8">
        <v>247</v>
      </c>
      <c r="E265" s="8">
        <v>172</v>
      </c>
      <c r="F265" s="8">
        <v>98</v>
      </c>
      <c r="G265" s="28">
        <f t="shared" si="9"/>
        <v>1.4360465116279071</v>
      </c>
      <c r="H265" s="33">
        <f t="shared" si="8"/>
        <v>0.23389021479713604</v>
      </c>
    </row>
    <row r="266" spans="1:8">
      <c r="A266" s="27">
        <v>4968</v>
      </c>
      <c r="B266" s="8" t="s">
        <v>373</v>
      </c>
      <c r="C266" s="8">
        <v>317</v>
      </c>
      <c r="D266" s="8">
        <v>559</v>
      </c>
      <c r="E266" s="8">
        <v>113</v>
      </c>
      <c r="F266" s="8">
        <v>92</v>
      </c>
      <c r="G266" s="28">
        <f t="shared" si="9"/>
        <v>4.946902654867257</v>
      </c>
      <c r="H266" s="33">
        <f t="shared" si="8"/>
        <v>0.13690476190476192</v>
      </c>
    </row>
    <row r="267" spans="1:8">
      <c r="A267" s="27">
        <v>2739</v>
      </c>
      <c r="B267" s="8" t="s">
        <v>374</v>
      </c>
      <c r="C267" s="8">
        <v>285</v>
      </c>
      <c r="D267" s="8">
        <v>706</v>
      </c>
      <c r="E267" s="8">
        <v>22</v>
      </c>
      <c r="F267" s="8">
        <v>4</v>
      </c>
      <c r="G267" s="28">
        <f t="shared" si="9"/>
        <v>32.090909090909093</v>
      </c>
      <c r="H267" s="33">
        <f t="shared" si="8"/>
        <v>5.4945054945054949E-3</v>
      </c>
    </row>
    <row r="268" spans="1:8">
      <c r="A268" s="27">
        <v>6974</v>
      </c>
      <c r="B268" s="8" t="s">
        <v>77</v>
      </c>
      <c r="C268" s="8">
        <v>420</v>
      </c>
      <c r="D268" s="8">
        <v>1000</v>
      </c>
      <c r="E268" s="8">
        <v>159</v>
      </c>
      <c r="F268" s="8">
        <v>22</v>
      </c>
      <c r="G268" s="28">
        <f t="shared" si="9"/>
        <v>6.2893081761006293</v>
      </c>
      <c r="H268" s="33">
        <f t="shared" si="8"/>
        <v>1.8981880931837791E-2</v>
      </c>
    </row>
    <row r="269" spans="1:8">
      <c r="A269" s="27">
        <v>1784</v>
      </c>
      <c r="B269" s="8" t="s">
        <v>244</v>
      </c>
      <c r="C269" s="8">
        <v>100</v>
      </c>
      <c r="D269" s="8">
        <v>586</v>
      </c>
      <c r="E269" s="8">
        <v>32</v>
      </c>
      <c r="F269" s="8">
        <v>100</v>
      </c>
      <c r="G269" s="28">
        <f t="shared" si="9"/>
        <v>18.3125</v>
      </c>
      <c r="H269" s="33">
        <f t="shared" si="8"/>
        <v>0.16181229773462782</v>
      </c>
    </row>
    <row r="270" spans="1:8">
      <c r="A270" s="27">
        <v>8077</v>
      </c>
      <c r="B270" s="8" t="s">
        <v>128</v>
      </c>
      <c r="C270" s="8">
        <v>426</v>
      </c>
      <c r="D270" s="8">
        <v>450</v>
      </c>
      <c r="E270" s="8">
        <v>92</v>
      </c>
      <c r="F270" s="8">
        <v>71</v>
      </c>
      <c r="G270" s="28">
        <f t="shared" si="9"/>
        <v>4.8913043478260869</v>
      </c>
      <c r="H270" s="33">
        <f t="shared" si="8"/>
        <v>0.13099630996309963</v>
      </c>
    </row>
    <row r="271" spans="1:8">
      <c r="A271" s="27">
        <v>2727</v>
      </c>
      <c r="B271" s="8" t="s">
        <v>376</v>
      </c>
      <c r="C271" s="8">
        <v>263</v>
      </c>
      <c r="D271" s="8">
        <v>468</v>
      </c>
      <c r="E271" s="8">
        <v>95</v>
      </c>
      <c r="F271" s="8">
        <v>87</v>
      </c>
      <c r="G271" s="28">
        <f t="shared" si="9"/>
        <v>4.9263157894736844</v>
      </c>
      <c r="H271" s="33">
        <f t="shared" si="8"/>
        <v>0.15452930728241562</v>
      </c>
    </row>
    <row r="272" spans="1:8">
      <c r="A272" s="27">
        <v>7661</v>
      </c>
      <c r="B272" s="8" t="s">
        <v>378</v>
      </c>
      <c r="C272" s="8">
        <v>162</v>
      </c>
      <c r="D272" s="8">
        <v>370</v>
      </c>
      <c r="E272" s="8">
        <v>130</v>
      </c>
      <c r="F272" s="8">
        <v>49</v>
      </c>
      <c r="G272" s="28">
        <f t="shared" si="9"/>
        <v>2.8461538461538463</v>
      </c>
      <c r="H272" s="33">
        <f t="shared" si="8"/>
        <v>9.8000000000000004E-2</v>
      </c>
    </row>
    <row r="273" spans="1:8">
      <c r="A273" s="27">
        <v>5083</v>
      </c>
      <c r="B273" s="8" t="s">
        <v>148</v>
      </c>
      <c r="C273" s="8">
        <v>19</v>
      </c>
      <c r="D273" s="8">
        <v>781</v>
      </c>
      <c r="E273" s="8">
        <v>179</v>
      </c>
      <c r="F273" s="8">
        <v>8</v>
      </c>
      <c r="G273" s="28">
        <f t="shared" si="9"/>
        <v>4.3631284916201114</v>
      </c>
      <c r="H273" s="33">
        <f t="shared" si="8"/>
        <v>8.3333333333333332E-3</v>
      </c>
    </row>
    <row r="274" spans="1:8">
      <c r="A274" s="27">
        <v>7275</v>
      </c>
      <c r="B274" s="8" t="s">
        <v>379</v>
      </c>
      <c r="C274" s="8">
        <v>358</v>
      </c>
      <c r="D274" s="8">
        <v>829</v>
      </c>
      <c r="E274" s="8">
        <v>62</v>
      </c>
      <c r="F274" s="8">
        <v>65</v>
      </c>
      <c r="G274" s="28">
        <f t="shared" si="9"/>
        <v>13.370967741935484</v>
      </c>
      <c r="H274" s="33">
        <f t="shared" si="8"/>
        <v>7.2951739618406286E-2</v>
      </c>
    </row>
    <row r="275" spans="1:8">
      <c r="A275" s="27">
        <v>7316</v>
      </c>
      <c r="B275" s="8" t="s">
        <v>380</v>
      </c>
      <c r="C275" s="8">
        <v>183</v>
      </c>
      <c r="D275" s="8">
        <v>944</v>
      </c>
      <c r="E275" s="8">
        <v>94</v>
      </c>
      <c r="F275" s="8">
        <v>72</v>
      </c>
      <c r="G275" s="28">
        <f t="shared" si="9"/>
        <v>10.042553191489361</v>
      </c>
      <c r="H275" s="33">
        <f t="shared" si="8"/>
        <v>6.9364161849710976E-2</v>
      </c>
    </row>
    <row r="276" spans="1:8">
      <c r="A276" s="27">
        <v>4497</v>
      </c>
      <c r="B276" s="8" t="s">
        <v>382</v>
      </c>
      <c r="C276" s="8">
        <v>63</v>
      </c>
      <c r="D276" s="8">
        <v>670</v>
      </c>
      <c r="E276" s="8">
        <v>72</v>
      </c>
      <c r="F276" s="8">
        <v>27</v>
      </c>
      <c r="G276" s="28">
        <f t="shared" si="9"/>
        <v>9.3055555555555554</v>
      </c>
      <c r="H276" s="33">
        <f t="shared" si="8"/>
        <v>3.638814016172507E-2</v>
      </c>
    </row>
    <row r="277" spans="1:8">
      <c r="A277" s="27">
        <v>8685</v>
      </c>
      <c r="B277" s="8" t="s">
        <v>138</v>
      </c>
      <c r="C277" s="8">
        <v>446</v>
      </c>
      <c r="D277" s="8">
        <v>831</v>
      </c>
      <c r="E277" s="8">
        <v>37</v>
      </c>
      <c r="F277" s="8">
        <v>54</v>
      </c>
      <c r="G277" s="28">
        <f t="shared" si="9"/>
        <v>22.45945945945946</v>
      </c>
      <c r="H277" s="33">
        <f t="shared" si="8"/>
        <v>6.2211981566820278E-2</v>
      </c>
    </row>
    <row r="278" spans="1:8">
      <c r="A278" s="27">
        <v>8583</v>
      </c>
      <c r="B278" s="8" t="s">
        <v>118</v>
      </c>
      <c r="C278" s="8">
        <v>352</v>
      </c>
      <c r="D278" s="8">
        <v>154</v>
      </c>
      <c r="E278" s="8">
        <v>148</v>
      </c>
      <c r="F278" s="8">
        <v>39</v>
      </c>
      <c r="G278" s="28">
        <f t="shared" si="9"/>
        <v>1.0405405405405406</v>
      </c>
      <c r="H278" s="33">
        <f t="shared" si="8"/>
        <v>0.12913907284768211</v>
      </c>
    </row>
    <row r="279" spans="1:8">
      <c r="A279" s="27">
        <v>1062</v>
      </c>
      <c r="B279" s="8" t="s">
        <v>179</v>
      </c>
      <c r="C279" s="8">
        <v>209</v>
      </c>
      <c r="D279" s="8">
        <v>707</v>
      </c>
      <c r="E279" s="8">
        <v>162</v>
      </c>
      <c r="F279" s="8">
        <v>95</v>
      </c>
      <c r="G279" s="28">
        <f t="shared" si="9"/>
        <v>4.3641975308641978</v>
      </c>
      <c r="H279" s="33">
        <f t="shared" si="8"/>
        <v>0.1093210586881473</v>
      </c>
    </row>
    <row r="280" spans="1:8">
      <c r="A280" s="27">
        <v>2593</v>
      </c>
      <c r="B280" s="8" t="s">
        <v>130</v>
      </c>
      <c r="C280" s="8">
        <v>311</v>
      </c>
      <c r="D280" s="8">
        <v>587</v>
      </c>
      <c r="E280" s="8">
        <v>140</v>
      </c>
      <c r="F280" s="8">
        <v>43</v>
      </c>
      <c r="G280" s="28">
        <f t="shared" si="9"/>
        <v>4.1928571428571431</v>
      </c>
      <c r="H280" s="33">
        <f t="shared" si="8"/>
        <v>5.9147180192572216E-2</v>
      </c>
    </row>
    <row r="281" spans="1:8">
      <c r="A281" s="27">
        <v>3951</v>
      </c>
      <c r="B281" s="8" t="s">
        <v>383</v>
      </c>
      <c r="C281" s="8">
        <v>293</v>
      </c>
      <c r="D281" s="8">
        <v>158</v>
      </c>
      <c r="E281" s="8">
        <v>119</v>
      </c>
      <c r="F281" s="8">
        <v>60</v>
      </c>
      <c r="G281" s="28">
        <f t="shared" si="9"/>
        <v>1.3277310924369747</v>
      </c>
      <c r="H281" s="33">
        <f t="shared" si="8"/>
        <v>0.21660649819494585</v>
      </c>
    </row>
    <row r="282" spans="1:8">
      <c r="A282" s="27">
        <v>8580</v>
      </c>
      <c r="B282" s="8" t="s">
        <v>385</v>
      </c>
      <c r="C282" s="8">
        <v>119</v>
      </c>
      <c r="D282" s="8">
        <v>936</v>
      </c>
      <c r="E282" s="8">
        <v>188</v>
      </c>
      <c r="F282" s="8">
        <v>59</v>
      </c>
      <c r="G282" s="28">
        <f t="shared" si="9"/>
        <v>4.9787234042553195</v>
      </c>
      <c r="H282" s="33">
        <f t="shared" si="8"/>
        <v>5.2491103202846973E-2</v>
      </c>
    </row>
    <row r="283" spans="1:8">
      <c r="A283" s="27">
        <v>4372</v>
      </c>
      <c r="B283" s="8" t="s">
        <v>157</v>
      </c>
      <c r="C283" s="8">
        <v>329</v>
      </c>
      <c r="D283" s="8">
        <v>670</v>
      </c>
      <c r="E283" s="8">
        <v>94</v>
      </c>
      <c r="F283" s="8">
        <v>61</v>
      </c>
      <c r="G283" s="28">
        <f t="shared" si="9"/>
        <v>7.1276595744680851</v>
      </c>
      <c r="H283" s="33">
        <f t="shared" si="8"/>
        <v>7.9842931937172776E-2</v>
      </c>
    </row>
    <row r="284" spans="1:8">
      <c r="A284" s="27">
        <v>4463</v>
      </c>
      <c r="B284" s="8" t="s">
        <v>387</v>
      </c>
      <c r="C284" s="8">
        <v>141</v>
      </c>
      <c r="D284" s="8">
        <v>636</v>
      </c>
      <c r="E284" s="8">
        <v>186</v>
      </c>
      <c r="F284" s="8">
        <v>95</v>
      </c>
      <c r="G284" s="28">
        <f t="shared" si="9"/>
        <v>3.4193548387096775</v>
      </c>
      <c r="H284" s="33">
        <f t="shared" si="8"/>
        <v>0.11557177615571776</v>
      </c>
    </row>
    <row r="285" spans="1:8">
      <c r="A285" s="27">
        <v>7498</v>
      </c>
      <c r="B285" s="8" t="s">
        <v>389</v>
      </c>
      <c r="C285" s="8">
        <v>15</v>
      </c>
      <c r="D285" s="8">
        <v>700</v>
      </c>
      <c r="E285" s="8">
        <v>64</v>
      </c>
      <c r="F285" s="8">
        <v>35</v>
      </c>
      <c r="G285" s="28">
        <f t="shared" si="9"/>
        <v>10.9375</v>
      </c>
      <c r="H285" s="33">
        <f t="shared" si="8"/>
        <v>4.581151832460733E-2</v>
      </c>
    </row>
    <row r="286" spans="1:8">
      <c r="A286" s="27">
        <v>9618</v>
      </c>
      <c r="B286" s="8" t="s">
        <v>234</v>
      </c>
      <c r="C286" s="8">
        <v>30</v>
      </c>
      <c r="D286" s="8">
        <v>310</v>
      </c>
      <c r="E286" s="8">
        <v>162</v>
      </c>
      <c r="F286" s="8">
        <v>30</v>
      </c>
      <c r="G286" s="28">
        <f t="shared" si="9"/>
        <v>1.9135802469135803</v>
      </c>
      <c r="H286" s="33">
        <f t="shared" si="8"/>
        <v>6.3559322033898302E-2</v>
      </c>
    </row>
    <row r="287" spans="1:8">
      <c r="A287" s="27">
        <v>1813</v>
      </c>
      <c r="B287" s="8" t="s">
        <v>391</v>
      </c>
      <c r="C287" s="8">
        <v>145</v>
      </c>
      <c r="D287" s="8">
        <v>237</v>
      </c>
      <c r="E287" s="8">
        <v>32</v>
      </c>
      <c r="F287" s="8">
        <v>39</v>
      </c>
      <c r="G287" s="28">
        <f t="shared" si="9"/>
        <v>7.40625</v>
      </c>
      <c r="H287" s="33">
        <f t="shared" si="8"/>
        <v>0.1449814126394052</v>
      </c>
    </row>
    <row r="288" spans="1:8">
      <c r="A288" s="27">
        <v>3009</v>
      </c>
      <c r="B288" s="8" t="s">
        <v>393</v>
      </c>
      <c r="C288" s="8">
        <v>250</v>
      </c>
      <c r="D288" s="8">
        <v>774</v>
      </c>
      <c r="E288" s="8">
        <v>88</v>
      </c>
      <c r="F288" s="8">
        <v>64</v>
      </c>
      <c r="G288" s="28">
        <f t="shared" si="9"/>
        <v>8.795454545454545</v>
      </c>
      <c r="H288" s="33">
        <f t="shared" si="8"/>
        <v>7.4245939675174011E-2</v>
      </c>
    </row>
    <row r="289" spans="1:8">
      <c r="A289" s="27">
        <v>8210</v>
      </c>
      <c r="B289" s="8" t="s">
        <v>114</v>
      </c>
      <c r="C289" s="8">
        <v>243</v>
      </c>
      <c r="D289" s="8">
        <v>532</v>
      </c>
      <c r="E289" s="8">
        <v>110</v>
      </c>
      <c r="F289" s="8">
        <v>73</v>
      </c>
      <c r="G289" s="28">
        <f t="shared" si="9"/>
        <v>4.836363636363636</v>
      </c>
      <c r="H289" s="33">
        <f t="shared" si="8"/>
        <v>0.11370716510903427</v>
      </c>
    </row>
    <row r="290" spans="1:8">
      <c r="A290" s="27">
        <v>8439</v>
      </c>
      <c r="B290" s="8" t="s">
        <v>395</v>
      </c>
      <c r="C290" s="8">
        <v>392</v>
      </c>
      <c r="D290" s="8">
        <v>813</v>
      </c>
      <c r="E290" s="8">
        <v>2</v>
      </c>
      <c r="F290" s="8">
        <v>57</v>
      </c>
      <c r="G290" s="28">
        <f t="shared" si="9"/>
        <v>406.5</v>
      </c>
      <c r="H290" s="33">
        <f t="shared" si="8"/>
        <v>6.9938650306748465E-2</v>
      </c>
    </row>
    <row r="291" spans="1:8">
      <c r="A291" s="27">
        <v>8310</v>
      </c>
      <c r="B291" s="8" t="s">
        <v>344</v>
      </c>
      <c r="C291" s="8">
        <v>389</v>
      </c>
      <c r="D291" s="8">
        <v>727</v>
      </c>
      <c r="E291" s="8">
        <v>26</v>
      </c>
      <c r="F291" s="8">
        <v>67</v>
      </c>
      <c r="G291" s="28">
        <f t="shared" si="9"/>
        <v>27.96153846153846</v>
      </c>
      <c r="H291" s="33">
        <f t="shared" si="8"/>
        <v>8.8977423638778225E-2</v>
      </c>
    </row>
    <row r="292" spans="1:8">
      <c r="A292" s="27">
        <v>6369</v>
      </c>
      <c r="B292" s="8" t="s">
        <v>143</v>
      </c>
      <c r="C292" s="8">
        <v>414</v>
      </c>
      <c r="D292" s="8">
        <v>271</v>
      </c>
      <c r="E292" s="8">
        <v>51</v>
      </c>
      <c r="F292" s="8">
        <v>8</v>
      </c>
      <c r="G292" s="28">
        <f t="shared" si="9"/>
        <v>5.3137254901960782</v>
      </c>
      <c r="H292" s="33">
        <f t="shared" si="8"/>
        <v>2.4844720496894408E-2</v>
      </c>
    </row>
    <row r="293" spans="1:8">
      <c r="A293" s="27">
        <v>5721</v>
      </c>
      <c r="B293" s="8" t="s">
        <v>399</v>
      </c>
      <c r="C293" s="8">
        <v>415</v>
      </c>
      <c r="D293" s="8">
        <v>958</v>
      </c>
      <c r="E293" s="8">
        <v>192</v>
      </c>
      <c r="F293" s="8">
        <v>22</v>
      </c>
      <c r="G293" s="28">
        <f t="shared" si="9"/>
        <v>4.989583333333333</v>
      </c>
      <c r="H293" s="33">
        <f t="shared" si="8"/>
        <v>1.9130434782608695E-2</v>
      </c>
    </row>
    <row r="294" spans="1:8">
      <c r="A294" s="27">
        <v>4204</v>
      </c>
      <c r="B294" s="8" t="s">
        <v>169</v>
      </c>
      <c r="C294" s="8">
        <v>494</v>
      </c>
      <c r="D294" s="8">
        <v>202</v>
      </c>
      <c r="E294" s="8">
        <v>163</v>
      </c>
      <c r="F294" s="8">
        <v>61</v>
      </c>
      <c r="G294" s="28">
        <f t="shared" si="9"/>
        <v>1.2392638036809815</v>
      </c>
      <c r="H294" s="33">
        <f t="shared" si="8"/>
        <v>0.16712328767123288</v>
      </c>
    </row>
    <row r="295" spans="1:8">
      <c r="A295" s="27">
        <v>5666</v>
      </c>
      <c r="B295" s="8" t="s">
        <v>272</v>
      </c>
      <c r="C295" s="8">
        <v>109</v>
      </c>
      <c r="D295" s="8">
        <v>899</v>
      </c>
      <c r="E295" s="8">
        <v>11</v>
      </c>
      <c r="F295" s="8">
        <v>63</v>
      </c>
      <c r="G295" s="28">
        <f t="shared" si="9"/>
        <v>81.727272727272734</v>
      </c>
      <c r="H295" s="33">
        <f t="shared" si="8"/>
        <v>6.9230769230769235E-2</v>
      </c>
    </row>
    <row r="296" spans="1:8">
      <c r="A296" s="27">
        <v>5943</v>
      </c>
      <c r="B296" s="8" t="s">
        <v>401</v>
      </c>
      <c r="C296" s="8">
        <v>200</v>
      </c>
      <c r="D296" s="8">
        <v>465</v>
      </c>
      <c r="E296" s="8">
        <v>35</v>
      </c>
      <c r="F296" s="8">
        <v>29</v>
      </c>
      <c r="G296" s="28">
        <f t="shared" si="9"/>
        <v>13.285714285714286</v>
      </c>
      <c r="H296" s="33">
        <f t="shared" si="8"/>
        <v>5.8000000000000003E-2</v>
      </c>
    </row>
    <row r="297" spans="1:8">
      <c r="A297" s="27">
        <v>3202</v>
      </c>
      <c r="B297" s="8" t="s">
        <v>52</v>
      </c>
      <c r="C297" s="8">
        <v>134</v>
      </c>
      <c r="D297" s="8">
        <v>459</v>
      </c>
      <c r="E297" s="8">
        <v>105</v>
      </c>
      <c r="F297" s="8">
        <v>3</v>
      </c>
      <c r="G297" s="28">
        <f t="shared" si="9"/>
        <v>4.371428571428571</v>
      </c>
      <c r="H297" s="33">
        <f t="shared" si="8"/>
        <v>5.3191489361702126E-3</v>
      </c>
    </row>
    <row r="298" spans="1:8">
      <c r="A298" s="27">
        <v>4512</v>
      </c>
      <c r="B298" s="8" t="s">
        <v>259</v>
      </c>
      <c r="C298" s="8">
        <v>250</v>
      </c>
      <c r="D298" s="8">
        <v>611</v>
      </c>
      <c r="E298" s="8">
        <v>170</v>
      </c>
      <c r="F298" s="8">
        <v>71</v>
      </c>
      <c r="G298" s="28">
        <f t="shared" si="9"/>
        <v>3.5941176470588236</v>
      </c>
      <c r="H298" s="33">
        <f t="shared" si="8"/>
        <v>9.0909090909090912E-2</v>
      </c>
    </row>
    <row r="299" spans="1:8">
      <c r="A299" s="27">
        <v>2075</v>
      </c>
      <c r="B299" s="8" t="s">
        <v>347</v>
      </c>
      <c r="C299" s="8">
        <v>305</v>
      </c>
      <c r="D299" s="8">
        <v>49</v>
      </c>
      <c r="E299" s="8">
        <v>146</v>
      </c>
      <c r="F299" s="8">
        <v>48</v>
      </c>
      <c r="G299" s="28">
        <f t="shared" si="9"/>
        <v>0.33561643835616439</v>
      </c>
      <c r="H299" s="33">
        <f t="shared" si="8"/>
        <v>0.24615384615384617</v>
      </c>
    </row>
    <row r="300" spans="1:8">
      <c r="A300" s="27">
        <v>4057</v>
      </c>
      <c r="B300" s="8" t="s">
        <v>404</v>
      </c>
      <c r="C300" s="8">
        <v>256</v>
      </c>
      <c r="D300" s="8">
        <v>929</v>
      </c>
      <c r="E300" s="8">
        <v>89</v>
      </c>
      <c r="F300" s="8">
        <v>89</v>
      </c>
      <c r="G300" s="28">
        <f t="shared" si="9"/>
        <v>10.438202247191011</v>
      </c>
      <c r="H300" s="33">
        <f t="shared" si="8"/>
        <v>8.7426326129666013E-2</v>
      </c>
    </row>
    <row r="301" spans="1:8">
      <c r="A301" s="27">
        <v>5537</v>
      </c>
      <c r="B301" s="8" t="s">
        <v>212</v>
      </c>
      <c r="C301" s="8">
        <v>214</v>
      </c>
      <c r="D301" s="8">
        <v>39</v>
      </c>
      <c r="E301" s="8">
        <v>89</v>
      </c>
      <c r="F301" s="8">
        <v>37</v>
      </c>
      <c r="G301" s="28">
        <f t="shared" si="9"/>
        <v>0.43820224719101125</v>
      </c>
      <c r="H301" s="33">
        <f t="shared" si="8"/>
        <v>0.2890625</v>
      </c>
    </row>
    <row r="302" spans="1:8">
      <c r="A302" s="27">
        <v>9520</v>
      </c>
      <c r="B302" s="8" t="s">
        <v>405</v>
      </c>
      <c r="C302" s="8">
        <v>272</v>
      </c>
      <c r="D302" s="8">
        <v>520</v>
      </c>
      <c r="E302" s="8">
        <v>170</v>
      </c>
      <c r="F302" s="8">
        <v>100</v>
      </c>
      <c r="G302" s="28">
        <f t="shared" si="9"/>
        <v>3.0588235294117645</v>
      </c>
      <c r="H302" s="33">
        <f t="shared" si="8"/>
        <v>0.14492753623188406</v>
      </c>
    </row>
    <row r="303" spans="1:8">
      <c r="A303" s="27">
        <v>1081</v>
      </c>
      <c r="B303" s="8" t="s">
        <v>406</v>
      </c>
      <c r="C303" s="8">
        <v>144</v>
      </c>
      <c r="D303" s="8">
        <v>501</v>
      </c>
      <c r="E303" s="8">
        <v>64</v>
      </c>
      <c r="F303" s="8">
        <v>98</v>
      </c>
      <c r="G303" s="28">
        <f t="shared" si="9"/>
        <v>7.828125</v>
      </c>
      <c r="H303" s="33">
        <f t="shared" si="8"/>
        <v>0.17345132743362832</v>
      </c>
    </row>
    <row r="304" spans="1:8">
      <c r="A304" s="27">
        <v>7621</v>
      </c>
      <c r="B304" s="8" t="s">
        <v>405</v>
      </c>
      <c r="C304" s="8">
        <v>381</v>
      </c>
      <c r="D304" s="8">
        <v>593</v>
      </c>
      <c r="E304" s="8">
        <v>46</v>
      </c>
      <c r="F304" s="8">
        <v>10</v>
      </c>
      <c r="G304" s="28">
        <f t="shared" si="9"/>
        <v>12.891304347826088</v>
      </c>
      <c r="H304" s="33">
        <f t="shared" si="8"/>
        <v>1.5649452269170579E-2</v>
      </c>
    </row>
    <row r="305" spans="1:8">
      <c r="A305" s="27">
        <v>4558</v>
      </c>
      <c r="B305" s="8" t="s">
        <v>204</v>
      </c>
      <c r="C305" s="8">
        <v>292</v>
      </c>
      <c r="D305" s="8">
        <v>109</v>
      </c>
      <c r="E305" s="8">
        <v>68</v>
      </c>
      <c r="F305" s="8">
        <v>95</v>
      </c>
      <c r="G305" s="28">
        <f t="shared" si="9"/>
        <v>1.6029411764705883</v>
      </c>
      <c r="H305" s="33">
        <f t="shared" si="8"/>
        <v>0.53672316384180796</v>
      </c>
    </row>
    <row r="306" spans="1:8">
      <c r="A306" s="27">
        <v>6628</v>
      </c>
      <c r="B306" s="8" t="s">
        <v>357</v>
      </c>
      <c r="C306" s="8">
        <v>358</v>
      </c>
      <c r="D306" s="8">
        <v>472</v>
      </c>
      <c r="E306" s="8">
        <v>65</v>
      </c>
      <c r="F306" s="8">
        <v>92</v>
      </c>
      <c r="G306" s="28">
        <f t="shared" si="9"/>
        <v>7.2615384615384615</v>
      </c>
      <c r="H306" s="33">
        <f t="shared" si="8"/>
        <v>0.17132216014897581</v>
      </c>
    </row>
    <row r="307" spans="1:8">
      <c r="A307" s="27">
        <v>7643</v>
      </c>
      <c r="B307" s="8" t="s">
        <v>408</v>
      </c>
      <c r="C307" s="8">
        <v>426</v>
      </c>
      <c r="D307" s="8">
        <v>229</v>
      </c>
      <c r="E307" s="8">
        <v>120</v>
      </c>
      <c r="F307" s="8">
        <v>38</v>
      </c>
      <c r="G307" s="28">
        <f t="shared" si="9"/>
        <v>1.9083333333333334</v>
      </c>
      <c r="H307" s="33">
        <f t="shared" si="8"/>
        <v>0.10888252148997135</v>
      </c>
    </row>
    <row r="308" spans="1:8">
      <c r="A308" s="27">
        <v>4709</v>
      </c>
      <c r="B308" s="8" t="s">
        <v>409</v>
      </c>
      <c r="C308" s="8">
        <v>474</v>
      </c>
      <c r="D308" s="8">
        <v>487</v>
      </c>
      <c r="E308" s="8">
        <v>107</v>
      </c>
      <c r="F308" s="8">
        <v>66</v>
      </c>
      <c r="G308" s="28">
        <f t="shared" si="9"/>
        <v>4.5514018691588785</v>
      </c>
      <c r="H308" s="33">
        <f t="shared" si="8"/>
        <v>0.1111111111111111</v>
      </c>
    </row>
    <row r="309" spans="1:8">
      <c r="A309" s="27">
        <v>8408</v>
      </c>
      <c r="B309" s="8" t="s">
        <v>176</v>
      </c>
      <c r="C309" s="8">
        <v>286</v>
      </c>
      <c r="D309" s="8">
        <v>543</v>
      </c>
      <c r="E309" s="8">
        <v>16</v>
      </c>
      <c r="F309" s="8">
        <v>8</v>
      </c>
      <c r="G309" s="28">
        <f t="shared" si="9"/>
        <v>33.9375</v>
      </c>
      <c r="H309" s="33">
        <f t="shared" si="8"/>
        <v>1.4311270125223614E-2</v>
      </c>
    </row>
    <row r="310" spans="1:8">
      <c r="A310" s="27">
        <v>3530</v>
      </c>
      <c r="B310" s="8" t="s">
        <v>411</v>
      </c>
      <c r="C310" s="8">
        <v>498</v>
      </c>
      <c r="D310" s="8">
        <v>105</v>
      </c>
      <c r="E310" s="8">
        <v>35</v>
      </c>
      <c r="F310" s="8">
        <v>6</v>
      </c>
      <c r="G310" s="28">
        <f t="shared" si="9"/>
        <v>3</v>
      </c>
      <c r="H310" s="33">
        <f t="shared" si="8"/>
        <v>4.2857142857142858E-2</v>
      </c>
    </row>
    <row r="311" spans="1:8">
      <c r="A311" s="27">
        <v>3779</v>
      </c>
      <c r="B311" s="8" t="s">
        <v>291</v>
      </c>
      <c r="C311" s="8">
        <v>32</v>
      </c>
      <c r="D311" s="8">
        <v>334</v>
      </c>
      <c r="E311" s="8">
        <v>151</v>
      </c>
      <c r="F311" s="8">
        <v>88</v>
      </c>
      <c r="G311" s="28">
        <f t="shared" si="9"/>
        <v>2.2119205298013247</v>
      </c>
      <c r="H311" s="33">
        <f t="shared" si="8"/>
        <v>0.18144329896907216</v>
      </c>
    </row>
    <row r="312" spans="1:8">
      <c r="A312" s="27">
        <v>8564</v>
      </c>
      <c r="B312" s="8" t="s">
        <v>202</v>
      </c>
      <c r="C312" s="8">
        <v>84</v>
      </c>
      <c r="D312" s="8">
        <v>871</v>
      </c>
      <c r="E312" s="8">
        <v>187</v>
      </c>
      <c r="F312" s="8">
        <v>96</v>
      </c>
      <c r="G312" s="28">
        <f t="shared" si="9"/>
        <v>4.6577540106951876</v>
      </c>
      <c r="H312" s="33">
        <f t="shared" si="8"/>
        <v>9.0737240075614373E-2</v>
      </c>
    </row>
    <row r="313" spans="1:8">
      <c r="A313" s="27">
        <v>8731</v>
      </c>
      <c r="B313" s="8" t="s">
        <v>177</v>
      </c>
      <c r="C313" s="8">
        <v>210</v>
      </c>
      <c r="D313" s="8">
        <v>206</v>
      </c>
      <c r="E313" s="8">
        <v>194</v>
      </c>
      <c r="F313" s="8">
        <v>62</v>
      </c>
      <c r="G313" s="28">
        <f t="shared" si="9"/>
        <v>1.0618556701030928</v>
      </c>
      <c r="H313" s="33">
        <f t="shared" si="8"/>
        <v>0.155</v>
      </c>
    </row>
    <row r="314" spans="1:8">
      <c r="A314" s="27">
        <v>5000</v>
      </c>
      <c r="B314" s="8" t="s">
        <v>150</v>
      </c>
      <c r="C314" s="8">
        <v>231</v>
      </c>
      <c r="D314" s="8">
        <v>701</v>
      </c>
      <c r="E314" s="8">
        <v>173</v>
      </c>
      <c r="F314" s="8">
        <v>65</v>
      </c>
      <c r="G314" s="28">
        <f t="shared" si="9"/>
        <v>4.0520231213872835</v>
      </c>
      <c r="H314" s="33">
        <f t="shared" si="8"/>
        <v>7.4370709382151026E-2</v>
      </c>
    </row>
    <row r="315" spans="1:8">
      <c r="A315" s="27">
        <v>3882</v>
      </c>
      <c r="B315" s="8" t="s">
        <v>318</v>
      </c>
      <c r="C315" s="8">
        <v>246</v>
      </c>
      <c r="D315" s="8">
        <v>505</v>
      </c>
      <c r="E315" s="8">
        <v>129</v>
      </c>
      <c r="F315" s="8">
        <v>82</v>
      </c>
      <c r="G315" s="28">
        <f t="shared" si="9"/>
        <v>3.9147286821705425</v>
      </c>
      <c r="H315" s="33">
        <f t="shared" si="8"/>
        <v>0.12933753943217666</v>
      </c>
    </row>
    <row r="316" spans="1:8">
      <c r="A316" s="27">
        <v>4551</v>
      </c>
      <c r="B316" s="8" t="s">
        <v>414</v>
      </c>
      <c r="C316" s="8">
        <v>174</v>
      </c>
      <c r="D316" s="8">
        <v>239</v>
      </c>
      <c r="E316" s="8">
        <v>175</v>
      </c>
      <c r="F316" s="8">
        <v>65</v>
      </c>
      <c r="G316" s="28">
        <f t="shared" si="9"/>
        <v>1.3657142857142857</v>
      </c>
      <c r="H316" s="33">
        <f t="shared" si="8"/>
        <v>0.1570048309178744</v>
      </c>
    </row>
    <row r="317" spans="1:8">
      <c r="A317" s="27">
        <v>7970</v>
      </c>
      <c r="B317" s="8" t="s">
        <v>169</v>
      </c>
      <c r="C317" s="8">
        <v>298</v>
      </c>
      <c r="D317" s="8">
        <v>115</v>
      </c>
      <c r="E317" s="8">
        <v>168</v>
      </c>
      <c r="F317" s="8">
        <v>27</v>
      </c>
      <c r="G317" s="28">
        <f t="shared" si="9"/>
        <v>0.68452380952380953</v>
      </c>
      <c r="H317" s="33">
        <f t="shared" si="8"/>
        <v>9.5406360424028266E-2</v>
      </c>
    </row>
    <row r="318" spans="1:8">
      <c r="A318" s="27">
        <v>2466</v>
      </c>
      <c r="B318" s="8" t="s">
        <v>417</v>
      </c>
      <c r="C318" s="8">
        <v>344</v>
      </c>
      <c r="D318" s="8">
        <v>142</v>
      </c>
      <c r="E318" s="8">
        <v>113</v>
      </c>
      <c r="F318" s="8">
        <v>100</v>
      </c>
      <c r="G318" s="28">
        <f t="shared" si="9"/>
        <v>1.2566371681415929</v>
      </c>
      <c r="H318" s="33">
        <f t="shared" si="8"/>
        <v>0.39215686274509803</v>
      </c>
    </row>
    <row r="319" spans="1:8">
      <c r="A319" s="27">
        <v>1303</v>
      </c>
      <c r="B319" s="8" t="s">
        <v>140</v>
      </c>
      <c r="C319" s="8">
        <v>264</v>
      </c>
      <c r="D319" s="8">
        <v>744</v>
      </c>
      <c r="E319" s="8">
        <v>33</v>
      </c>
      <c r="F319" s="8">
        <v>29</v>
      </c>
      <c r="G319" s="28">
        <f t="shared" si="9"/>
        <v>22.545454545454547</v>
      </c>
      <c r="H319" s="33">
        <f t="shared" si="8"/>
        <v>3.7323037323037322E-2</v>
      </c>
    </row>
    <row r="320" spans="1:8">
      <c r="A320" s="27">
        <v>9832</v>
      </c>
      <c r="B320" s="8" t="s">
        <v>311</v>
      </c>
      <c r="C320" s="8">
        <v>380</v>
      </c>
      <c r="D320" s="8">
        <v>820</v>
      </c>
      <c r="E320" s="8">
        <v>17</v>
      </c>
      <c r="F320" s="8">
        <v>93</v>
      </c>
      <c r="G320" s="28">
        <f t="shared" si="9"/>
        <v>48.235294117647058</v>
      </c>
      <c r="H320" s="33">
        <f t="shared" si="8"/>
        <v>0.1111111111111111</v>
      </c>
    </row>
    <row r="321" spans="1:8">
      <c r="A321" s="27">
        <v>3618</v>
      </c>
      <c r="B321" s="8" t="s">
        <v>284</v>
      </c>
      <c r="C321" s="8">
        <v>160</v>
      </c>
      <c r="D321" s="8">
        <v>940</v>
      </c>
      <c r="E321" s="8">
        <v>50</v>
      </c>
      <c r="F321" s="8">
        <v>71</v>
      </c>
      <c r="G321" s="28">
        <f t="shared" si="9"/>
        <v>18.8</v>
      </c>
      <c r="H321" s="33">
        <f t="shared" si="8"/>
        <v>7.1717171717171721E-2</v>
      </c>
    </row>
    <row r="322" spans="1:8">
      <c r="A322" s="27">
        <v>7424</v>
      </c>
      <c r="B322" s="8" t="s">
        <v>148</v>
      </c>
      <c r="C322" s="8">
        <v>55</v>
      </c>
      <c r="D322" s="8">
        <v>135</v>
      </c>
      <c r="E322" s="8">
        <v>138</v>
      </c>
      <c r="F322" s="8">
        <v>5</v>
      </c>
      <c r="G322" s="28">
        <f t="shared" si="9"/>
        <v>0.97826086956521741</v>
      </c>
      <c r="H322" s="33">
        <f t="shared" ref="H322:H385" si="10">F322/(D322+E322)</f>
        <v>1.8315018315018316E-2</v>
      </c>
    </row>
    <row r="323" spans="1:8">
      <c r="A323" s="27">
        <v>8414</v>
      </c>
      <c r="B323" s="8" t="s">
        <v>148</v>
      </c>
      <c r="C323" s="8">
        <v>70</v>
      </c>
      <c r="D323" s="8">
        <v>803</v>
      </c>
      <c r="E323" s="8">
        <v>51</v>
      </c>
      <c r="F323" s="8">
        <v>24</v>
      </c>
      <c r="G323" s="28">
        <f t="shared" ref="G323:G386" si="11">D323/E323</f>
        <v>15.745098039215685</v>
      </c>
      <c r="H323" s="33">
        <f t="shared" si="10"/>
        <v>2.8103044496487119E-2</v>
      </c>
    </row>
    <row r="324" spans="1:8">
      <c r="A324" s="27">
        <v>5688</v>
      </c>
      <c r="B324" s="8" t="s">
        <v>140</v>
      </c>
      <c r="C324" s="8">
        <v>256</v>
      </c>
      <c r="D324" s="8">
        <v>322</v>
      </c>
      <c r="E324" s="8">
        <v>199</v>
      </c>
      <c r="F324" s="8">
        <v>65</v>
      </c>
      <c r="G324" s="28">
        <f t="shared" si="11"/>
        <v>1.6180904522613064</v>
      </c>
      <c r="H324" s="33">
        <f t="shared" si="10"/>
        <v>0.12476007677543186</v>
      </c>
    </row>
    <row r="325" spans="1:8">
      <c r="A325" s="27">
        <v>2062</v>
      </c>
      <c r="B325" s="8" t="s">
        <v>421</v>
      </c>
      <c r="C325" s="8">
        <v>436</v>
      </c>
      <c r="D325" s="8">
        <v>424</v>
      </c>
      <c r="E325" s="8">
        <v>111</v>
      </c>
      <c r="F325" s="8">
        <v>64</v>
      </c>
      <c r="G325" s="28">
        <f t="shared" si="11"/>
        <v>3.8198198198198199</v>
      </c>
      <c r="H325" s="33">
        <f t="shared" si="10"/>
        <v>0.11962616822429907</v>
      </c>
    </row>
    <row r="326" spans="1:8">
      <c r="A326" s="27">
        <v>5031</v>
      </c>
      <c r="B326" s="8" t="s">
        <v>422</v>
      </c>
      <c r="C326" s="8">
        <v>394</v>
      </c>
      <c r="D326" s="8">
        <v>60</v>
      </c>
      <c r="E326" s="8">
        <v>159</v>
      </c>
      <c r="F326" s="8">
        <v>51</v>
      </c>
      <c r="G326" s="28">
        <f t="shared" si="11"/>
        <v>0.37735849056603776</v>
      </c>
      <c r="H326" s="33">
        <f t="shared" si="10"/>
        <v>0.23287671232876711</v>
      </c>
    </row>
    <row r="327" spans="1:8">
      <c r="A327" s="27">
        <v>1162</v>
      </c>
      <c r="B327" s="8" t="s">
        <v>294</v>
      </c>
      <c r="C327" s="8">
        <v>131</v>
      </c>
      <c r="D327" s="8">
        <v>865</v>
      </c>
      <c r="E327" s="8">
        <v>8</v>
      </c>
      <c r="F327" s="8">
        <v>78</v>
      </c>
      <c r="G327" s="28">
        <f t="shared" si="11"/>
        <v>108.125</v>
      </c>
      <c r="H327" s="33">
        <f t="shared" si="10"/>
        <v>8.9347079037800689E-2</v>
      </c>
    </row>
    <row r="328" spans="1:8">
      <c r="A328" s="27">
        <v>6564</v>
      </c>
      <c r="B328" s="8" t="s">
        <v>153</v>
      </c>
      <c r="C328" s="8">
        <v>98</v>
      </c>
      <c r="D328" s="8">
        <v>526</v>
      </c>
      <c r="E328" s="8">
        <v>144</v>
      </c>
      <c r="F328" s="8">
        <v>10</v>
      </c>
      <c r="G328" s="28">
        <f t="shared" si="11"/>
        <v>3.6527777777777777</v>
      </c>
      <c r="H328" s="33">
        <f t="shared" si="10"/>
        <v>1.4925373134328358E-2</v>
      </c>
    </row>
    <row r="329" spans="1:8">
      <c r="A329" s="27">
        <v>9298</v>
      </c>
      <c r="B329" s="8" t="s">
        <v>174</v>
      </c>
      <c r="C329" s="8">
        <v>276</v>
      </c>
      <c r="D329" s="8">
        <v>389</v>
      </c>
      <c r="E329" s="8">
        <v>177</v>
      </c>
      <c r="F329" s="8">
        <v>19</v>
      </c>
      <c r="G329" s="28">
        <f t="shared" si="11"/>
        <v>2.1977401129943503</v>
      </c>
      <c r="H329" s="33">
        <f t="shared" si="10"/>
        <v>3.3568904593639579E-2</v>
      </c>
    </row>
    <row r="330" spans="1:8">
      <c r="A330" s="27">
        <v>4216</v>
      </c>
      <c r="B330" s="8" t="s">
        <v>424</v>
      </c>
      <c r="C330" s="8">
        <v>251</v>
      </c>
      <c r="D330" s="8">
        <v>922</v>
      </c>
      <c r="E330" s="8">
        <v>106</v>
      </c>
      <c r="F330" s="8">
        <v>56</v>
      </c>
      <c r="G330" s="28">
        <f t="shared" si="11"/>
        <v>8.6981132075471699</v>
      </c>
      <c r="H330" s="33">
        <f t="shared" si="10"/>
        <v>5.4474708171206226E-2</v>
      </c>
    </row>
    <row r="331" spans="1:8">
      <c r="A331" s="27">
        <v>3677</v>
      </c>
      <c r="B331" s="8" t="s">
        <v>226</v>
      </c>
      <c r="C331" s="8">
        <v>233</v>
      </c>
      <c r="D331" s="8">
        <v>485</v>
      </c>
      <c r="E331" s="8">
        <v>37</v>
      </c>
      <c r="F331" s="8">
        <v>47</v>
      </c>
      <c r="G331" s="28">
        <f t="shared" si="11"/>
        <v>13.108108108108109</v>
      </c>
      <c r="H331" s="33">
        <f t="shared" si="10"/>
        <v>9.0038314176245207E-2</v>
      </c>
    </row>
    <row r="332" spans="1:8">
      <c r="A332" s="27">
        <v>8453</v>
      </c>
      <c r="B332" s="8" t="s">
        <v>344</v>
      </c>
      <c r="C332" s="8">
        <v>136</v>
      </c>
      <c r="D332" s="8">
        <v>112</v>
      </c>
      <c r="E332" s="8">
        <v>181</v>
      </c>
      <c r="F332" s="8">
        <v>15</v>
      </c>
      <c r="G332" s="28">
        <f t="shared" si="11"/>
        <v>0.61878453038674031</v>
      </c>
      <c r="H332" s="33">
        <f t="shared" si="10"/>
        <v>5.1194539249146756E-2</v>
      </c>
    </row>
    <row r="333" spans="1:8">
      <c r="A333" s="27">
        <v>6231</v>
      </c>
      <c r="B333" s="8" t="s">
        <v>186</v>
      </c>
      <c r="C333" s="8">
        <v>248</v>
      </c>
      <c r="D333" s="8">
        <v>181</v>
      </c>
      <c r="E333" s="8">
        <v>13</v>
      </c>
      <c r="F333" s="8">
        <v>43</v>
      </c>
      <c r="G333" s="28">
        <f t="shared" si="11"/>
        <v>13.923076923076923</v>
      </c>
      <c r="H333" s="33">
        <f t="shared" si="10"/>
        <v>0.22164948453608246</v>
      </c>
    </row>
    <row r="334" spans="1:8">
      <c r="A334" s="27">
        <v>1481</v>
      </c>
      <c r="B334" s="8" t="s">
        <v>52</v>
      </c>
      <c r="C334" s="8">
        <v>180</v>
      </c>
      <c r="D334" s="8">
        <v>936</v>
      </c>
      <c r="E334" s="8">
        <v>166</v>
      </c>
      <c r="F334" s="8">
        <v>71</v>
      </c>
      <c r="G334" s="28">
        <f t="shared" si="11"/>
        <v>5.6385542168674698</v>
      </c>
      <c r="H334" s="33">
        <f t="shared" si="10"/>
        <v>6.4428312159709622E-2</v>
      </c>
    </row>
    <row r="335" spans="1:8">
      <c r="A335" s="27">
        <v>7400</v>
      </c>
      <c r="B335" s="8" t="s">
        <v>428</v>
      </c>
      <c r="C335" s="8">
        <v>254</v>
      </c>
      <c r="D335" s="8">
        <v>406</v>
      </c>
      <c r="E335" s="8">
        <v>47</v>
      </c>
      <c r="F335" s="8">
        <v>5</v>
      </c>
      <c r="G335" s="28">
        <f t="shared" si="11"/>
        <v>8.6382978723404253</v>
      </c>
      <c r="H335" s="33">
        <f t="shared" si="10"/>
        <v>1.1037527593818985E-2</v>
      </c>
    </row>
    <row r="336" spans="1:8">
      <c r="A336" s="27">
        <v>7447</v>
      </c>
      <c r="B336" s="8" t="s">
        <v>130</v>
      </c>
      <c r="C336" s="8">
        <v>108</v>
      </c>
      <c r="D336" s="8">
        <v>717</v>
      </c>
      <c r="E336" s="8">
        <v>84</v>
      </c>
      <c r="F336" s="8">
        <v>82</v>
      </c>
      <c r="G336" s="28">
        <f t="shared" si="11"/>
        <v>8.5357142857142865</v>
      </c>
      <c r="H336" s="33">
        <f t="shared" si="10"/>
        <v>0.10237203495630462</v>
      </c>
    </row>
    <row r="337" spans="1:8">
      <c r="A337" s="27">
        <v>4597</v>
      </c>
      <c r="B337" s="8" t="s">
        <v>244</v>
      </c>
      <c r="C337" s="8">
        <v>183</v>
      </c>
      <c r="D337" s="8">
        <v>833</v>
      </c>
      <c r="E337" s="8">
        <v>154</v>
      </c>
      <c r="F337" s="8">
        <v>46</v>
      </c>
      <c r="G337" s="28">
        <f t="shared" si="11"/>
        <v>5.4090909090909092</v>
      </c>
      <c r="H337" s="33">
        <f t="shared" si="10"/>
        <v>4.6605876393110438E-2</v>
      </c>
    </row>
    <row r="338" spans="1:8">
      <c r="A338" s="27">
        <v>3173</v>
      </c>
      <c r="B338" s="8" t="s">
        <v>236</v>
      </c>
      <c r="C338" s="8">
        <v>53</v>
      </c>
      <c r="D338" s="8">
        <v>304</v>
      </c>
      <c r="E338" s="8">
        <v>49</v>
      </c>
      <c r="F338" s="8">
        <v>57</v>
      </c>
      <c r="G338" s="28">
        <f t="shared" si="11"/>
        <v>6.204081632653061</v>
      </c>
      <c r="H338" s="33">
        <f t="shared" si="10"/>
        <v>0.16147308781869688</v>
      </c>
    </row>
    <row r="339" spans="1:8">
      <c r="A339" s="27">
        <v>9514</v>
      </c>
      <c r="B339" s="8" t="s">
        <v>431</v>
      </c>
      <c r="C339" s="8">
        <v>120</v>
      </c>
      <c r="D339" s="8">
        <v>802</v>
      </c>
      <c r="E339" s="8">
        <v>31</v>
      </c>
      <c r="F339" s="8">
        <v>16</v>
      </c>
      <c r="G339" s="28">
        <f t="shared" si="11"/>
        <v>25.870967741935484</v>
      </c>
      <c r="H339" s="33">
        <f t="shared" si="10"/>
        <v>1.920768307322929E-2</v>
      </c>
    </row>
    <row r="340" spans="1:8">
      <c r="A340" s="27">
        <v>4985</v>
      </c>
      <c r="B340" s="8" t="s">
        <v>157</v>
      </c>
      <c r="C340" s="8">
        <v>118</v>
      </c>
      <c r="D340" s="8">
        <v>522</v>
      </c>
      <c r="E340" s="8">
        <v>160</v>
      </c>
      <c r="F340" s="8">
        <v>94</v>
      </c>
      <c r="G340" s="28">
        <f t="shared" si="11"/>
        <v>3.2625000000000002</v>
      </c>
      <c r="H340" s="33">
        <f t="shared" si="10"/>
        <v>0.1378299120234604</v>
      </c>
    </row>
    <row r="341" spans="1:8">
      <c r="A341" s="27">
        <v>4486</v>
      </c>
      <c r="B341" s="8" t="s">
        <v>395</v>
      </c>
      <c r="C341" s="8">
        <v>113</v>
      </c>
      <c r="D341" s="8">
        <v>177</v>
      </c>
      <c r="E341" s="8">
        <v>3</v>
      </c>
      <c r="F341" s="8">
        <v>69</v>
      </c>
      <c r="G341" s="28">
        <f t="shared" si="11"/>
        <v>59</v>
      </c>
      <c r="H341" s="33">
        <f t="shared" si="10"/>
        <v>0.38333333333333336</v>
      </c>
    </row>
    <row r="342" spans="1:8">
      <c r="A342" s="27">
        <v>8756</v>
      </c>
      <c r="B342" s="8" t="s">
        <v>143</v>
      </c>
      <c r="C342" s="8">
        <v>138</v>
      </c>
      <c r="D342" s="8">
        <v>811</v>
      </c>
      <c r="E342" s="8">
        <v>37</v>
      </c>
      <c r="F342" s="8">
        <v>36</v>
      </c>
      <c r="G342" s="28">
        <f t="shared" si="11"/>
        <v>21.918918918918919</v>
      </c>
      <c r="H342" s="33">
        <f t="shared" si="10"/>
        <v>4.2452830188679243E-2</v>
      </c>
    </row>
    <row r="343" spans="1:8">
      <c r="A343" s="27">
        <v>9121</v>
      </c>
      <c r="B343" s="8" t="s">
        <v>262</v>
      </c>
      <c r="C343" s="8">
        <v>178</v>
      </c>
      <c r="D343" s="8">
        <v>239</v>
      </c>
      <c r="E343" s="8">
        <v>126</v>
      </c>
      <c r="F343" s="8">
        <v>86</v>
      </c>
      <c r="G343" s="28">
        <f t="shared" si="11"/>
        <v>1.8968253968253967</v>
      </c>
      <c r="H343" s="33">
        <f t="shared" si="10"/>
        <v>0.23561643835616439</v>
      </c>
    </row>
    <row r="344" spans="1:8">
      <c r="A344" s="27">
        <v>6471</v>
      </c>
      <c r="B344" s="8" t="s">
        <v>88</v>
      </c>
      <c r="C344" s="8">
        <v>105</v>
      </c>
      <c r="D344" s="8">
        <v>49</v>
      </c>
      <c r="E344" s="8">
        <v>71</v>
      </c>
      <c r="F344" s="8">
        <v>8</v>
      </c>
      <c r="G344" s="28">
        <f t="shared" si="11"/>
        <v>0.6901408450704225</v>
      </c>
      <c r="H344" s="33">
        <f t="shared" si="10"/>
        <v>6.6666666666666666E-2</v>
      </c>
    </row>
    <row r="345" spans="1:8">
      <c r="A345" s="27">
        <v>6601</v>
      </c>
      <c r="B345" s="8" t="s">
        <v>434</v>
      </c>
      <c r="C345" s="8">
        <v>283</v>
      </c>
      <c r="D345" s="8">
        <v>407</v>
      </c>
      <c r="E345" s="8">
        <v>15</v>
      </c>
      <c r="F345" s="8">
        <v>26</v>
      </c>
      <c r="G345" s="28">
        <f t="shared" si="11"/>
        <v>27.133333333333333</v>
      </c>
      <c r="H345" s="33">
        <f t="shared" si="10"/>
        <v>6.1611374407582936E-2</v>
      </c>
    </row>
    <row r="346" spans="1:8">
      <c r="A346" s="27">
        <v>4340</v>
      </c>
      <c r="B346" s="8" t="s">
        <v>435</v>
      </c>
      <c r="C346" s="8">
        <v>154</v>
      </c>
      <c r="D346" s="8">
        <v>804</v>
      </c>
      <c r="E346" s="8">
        <v>106</v>
      </c>
      <c r="F346" s="8">
        <v>60</v>
      </c>
      <c r="G346" s="28">
        <f t="shared" si="11"/>
        <v>7.5849056603773581</v>
      </c>
      <c r="H346" s="33">
        <f t="shared" si="10"/>
        <v>6.5934065934065936E-2</v>
      </c>
    </row>
    <row r="347" spans="1:8">
      <c r="A347" s="27">
        <v>5112</v>
      </c>
      <c r="B347" s="8" t="s">
        <v>228</v>
      </c>
      <c r="C347" s="8">
        <v>240</v>
      </c>
      <c r="D347" s="8">
        <v>564</v>
      </c>
      <c r="E347" s="8">
        <v>121</v>
      </c>
      <c r="F347" s="8">
        <v>40</v>
      </c>
      <c r="G347" s="28">
        <f t="shared" si="11"/>
        <v>4.661157024793388</v>
      </c>
      <c r="H347" s="33">
        <f t="shared" si="10"/>
        <v>5.8394160583941604E-2</v>
      </c>
    </row>
    <row r="348" spans="1:8">
      <c r="A348" s="27">
        <v>5700</v>
      </c>
      <c r="B348" s="8" t="s">
        <v>242</v>
      </c>
      <c r="C348" s="8">
        <v>29</v>
      </c>
      <c r="D348" s="8">
        <v>625</v>
      </c>
      <c r="E348" s="8">
        <v>165</v>
      </c>
      <c r="F348" s="8">
        <v>41</v>
      </c>
      <c r="G348" s="28">
        <f t="shared" si="11"/>
        <v>3.7878787878787881</v>
      </c>
      <c r="H348" s="33">
        <f t="shared" si="10"/>
        <v>5.1898734177215189E-2</v>
      </c>
    </row>
    <row r="349" spans="1:8">
      <c r="A349" s="27">
        <v>8617</v>
      </c>
      <c r="B349" s="8" t="s">
        <v>140</v>
      </c>
      <c r="C349" s="8">
        <v>202</v>
      </c>
      <c r="D349" s="8">
        <v>260</v>
      </c>
      <c r="E349" s="8">
        <v>53</v>
      </c>
      <c r="F349" s="8">
        <v>13</v>
      </c>
      <c r="G349" s="28">
        <f t="shared" si="11"/>
        <v>4.9056603773584904</v>
      </c>
      <c r="H349" s="33">
        <f t="shared" si="10"/>
        <v>4.1533546325878593E-2</v>
      </c>
    </row>
    <row r="350" spans="1:8">
      <c r="A350" s="27">
        <v>9149</v>
      </c>
      <c r="B350" s="8" t="s">
        <v>439</v>
      </c>
      <c r="C350" s="8">
        <v>348</v>
      </c>
      <c r="D350" s="8">
        <v>378</v>
      </c>
      <c r="E350" s="8">
        <v>56</v>
      </c>
      <c r="F350" s="8">
        <v>9</v>
      </c>
      <c r="G350" s="28">
        <f t="shared" si="11"/>
        <v>6.75</v>
      </c>
      <c r="H350" s="33">
        <f t="shared" si="10"/>
        <v>2.0737327188940093E-2</v>
      </c>
    </row>
    <row r="351" spans="1:8">
      <c r="A351" s="27">
        <v>8651</v>
      </c>
      <c r="B351" s="8" t="s">
        <v>283</v>
      </c>
      <c r="C351" s="8">
        <v>380</v>
      </c>
      <c r="D351" s="8">
        <v>334</v>
      </c>
      <c r="E351" s="8">
        <v>175</v>
      </c>
      <c r="F351" s="8">
        <v>69</v>
      </c>
      <c r="G351" s="28">
        <f t="shared" si="11"/>
        <v>1.9085714285714286</v>
      </c>
      <c r="H351" s="33">
        <f t="shared" si="10"/>
        <v>0.13555992141453832</v>
      </c>
    </row>
    <row r="352" spans="1:8">
      <c r="A352" s="27">
        <v>1495</v>
      </c>
      <c r="B352" s="8" t="s">
        <v>441</v>
      </c>
      <c r="C352" s="8">
        <v>254</v>
      </c>
      <c r="D352" s="8">
        <v>544</v>
      </c>
      <c r="E352" s="8">
        <v>89</v>
      </c>
      <c r="F352" s="8">
        <v>97</v>
      </c>
      <c r="G352" s="28">
        <f t="shared" si="11"/>
        <v>6.1123595505617976</v>
      </c>
      <c r="H352" s="33">
        <f t="shared" si="10"/>
        <v>0.15323854660347552</v>
      </c>
    </row>
    <row r="353" spans="1:8">
      <c r="A353" s="27">
        <v>7359</v>
      </c>
      <c r="B353" s="8" t="s">
        <v>190</v>
      </c>
      <c r="C353" s="8">
        <v>477</v>
      </c>
      <c r="D353" s="8">
        <v>899</v>
      </c>
      <c r="E353" s="8">
        <v>97</v>
      </c>
      <c r="F353" s="8">
        <v>42</v>
      </c>
      <c r="G353" s="28">
        <f t="shared" si="11"/>
        <v>9.2680412371134029</v>
      </c>
      <c r="H353" s="33">
        <f t="shared" si="10"/>
        <v>4.2168674698795178E-2</v>
      </c>
    </row>
    <row r="354" spans="1:8">
      <c r="A354" s="27">
        <v>6525</v>
      </c>
      <c r="B354" s="8" t="s">
        <v>284</v>
      </c>
      <c r="C354" s="8">
        <v>385</v>
      </c>
      <c r="D354" s="8">
        <v>807</v>
      </c>
      <c r="E354" s="8">
        <v>188</v>
      </c>
      <c r="F354" s="8">
        <v>3</v>
      </c>
      <c r="G354" s="28">
        <f t="shared" si="11"/>
        <v>4.292553191489362</v>
      </c>
      <c r="H354" s="33">
        <f t="shared" si="10"/>
        <v>3.015075376884422E-3</v>
      </c>
    </row>
    <row r="355" spans="1:8">
      <c r="A355" s="27">
        <v>7207</v>
      </c>
      <c r="B355" s="8" t="s">
        <v>383</v>
      </c>
      <c r="C355" s="8">
        <v>336</v>
      </c>
      <c r="D355" s="8">
        <v>235</v>
      </c>
      <c r="E355" s="8">
        <v>25</v>
      </c>
      <c r="F355" s="8">
        <v>31</v>
      </c>
      <c r="G355" s="28">
        <f t="shared" si="11"/>
        <v>9.4</v>
      </c>
      <c r="H355" s="33">
        <f t="shared" si="10"/>
        <v>0.11923076923076924</v>
      </c>
    </row>
    <row r="356" spans="1:8">
      <c r="A356" s="27">
        <v>2361</v>
      </c>
      <c r="B356" s="8" t="s">
        <v>444</v>
      </c>
      <c r="C356" s="8">
        <v>171</v>
      </c>
      <c r="D356" s="8">
        <v>763</v>
      </c>
      <c r="E356" s="8">
        <v>16</v>
      </c>
      <c r="F356" s="8">
        <v>17</v>
      </c>
      <c r="G356" s="28">
        <f t="shared" si="11"/>
        <v>47.6875</v>
      </c>
      <c r="H356" s="33">
        <f t="shared" si="10"/>
        <v>2.1822849807445442E-2</v>
      </c>
    </row>
    <row r="357" spans="1:8">
      <c r="A357" s="27">
        <v>8766</v>
      </c>
      <c r="B357" s="8" t="s">
        <v>445</v>
      </c>
      <c r="C357" s="8">
        <v>33</v>
      </c>
      <c r="D357" s="8">
        <v>475</v>
      </c>
      <c r="E357" s="8">
        <v>151</v>
      </c>
      <c r="F357" s="8">
        <v>16</v>
      </c>
      <c r="G357" s="28">
        <f t="shared" si="11"/>
        <v>3.1456953642384105</v>
      </c>
      <c r="H357" s="33">
        <f t="shared" si="10"/>
        <v>2.5559105431309903E-2</v>
      </c>
    </row>
    <row r="358" spans="1:8">
      <c r="A358" s="27">
        <v>7236</v>
      </c>
      <c r="B358" s="8" t="s">
        <v>52</v>
      </c>
      <c r="C358" s="8">
        <v>193</v>
      </c>
      <c r="D358" s="8">
        <v>453</v>
      </c>
      <c r="E358" s="8">
        <v>113</v>
      </c>
      <c r="F358" s="8">
        <v>74</v>
      </c>
      <c r="G358" s="28">
        <f t="shared" si="11"/>
        <v>4.0088495575221241</v>
      </c>
      <c r="H358" s="33">
        <f t="shared" si="10"/>
        <v>0.13074204946996468</v>
      </c>
    </row>
    <row r="359" spans="1:8">
      <c r="A359" s="27">
        <v>8605</v>
      </c>
      <c r="B359" s="8" t="s">
        <v>143</v>
      </c>
      <c r="C359" s="8">
        <v>153</v>
      </c>
      <c r="D359" s="8">
        <v>40</v>
      </c>
      <c r="E359" s="8">
        <v>106</v>
      </c>
      <c r="F359" s="8">
        <v>44</v>
      </c>
      <c r="G359" s="28">
        <f t="shared" si="11"/>
        <v>0.37735849056603776</v>
      </c>
      <c r="H359" s="33">
        <f t="shared" si="10"/>
        <v>0.30136986301369861</v>
      </c>
    </row>
    <row r="360" spans="1:8">
      <c r="A360" s="27">
        <v>1055</v>
      </c>
      <c r="B360" s="8" t="s">
        <v>275</v>
      </c>
      <c r="C360" s="8">
        <v>140</v>
      </c>
      <c r="D360" s="8">
        <v>112</v>
      </c>
      <c r="E360" s="8">
        <v>30</v>
      </c>
      <c r="F360" s="8">
        <v>60</v>
      </c>
      <c r="G360" s="28">
        <f t="shared" si="11"/>
        <v>3.7333333333333334</v>
      </c>
      <c r="H360" s="33">
        <f t="shared" si="10"/>
        <v>0.42253521126760563</v>
      </c>
    </row>
    <row r="361" spans="1:8">
      <c r="A361" s="27">
        <v>7986</v>
      </c>
      <c r="B361" s="8" t="s">
        <v>184</v>
      </c>
      <c r="C361" s="8">
        <v>196</v>
      </c>
      <c r="D361" s="8">
        <v>102</v>
      </c>
      <c r="E361" s="8">
        <v>66</v>
      </c>
      <c r="F361" s="8">
        <v>11</v>
      </c>
      <c r="G361" s="28">
        <f t="shared" si="11"/>
        <v>1.5454545454545454</v>
      </c>
      <c r="H361" s="33">
        <f t="shared" si="10"/>
        <v>6.5476190476190479E-2</v>
      </c>
    </row>
    <row r="362" spans="1:8">
      <c r="A362" s="27">
        <v>6170</v>
      </c>
      <c r="B362" s="8" t="s">
        <v>244</v>
      </c>
      <c r="C362" s="8">
        <v>298</v>
      </c>
      <c r="D362" s="8">
        <v>943</v>
      </c>
      <c r="E362" s="8">
        <v>187</v>
      </c>
      <c r="F362" s="8">
        <v>60</v>
      </c>
      <c r="G362" s="28">
        <f t="shared" si="11"/>
        <v>5.0427807486631018</v>
      </c>
      <c r="H362" s="33">
        <f t="shared" si="10"/>
        <v>5.3097345132743362E-2</v>
      </c>
    </row>
    <row r="363" spans="1:8">
      <c r="A363" s="27">
        <v>7172</v>
      </c>
      <c r="B363" s="8" t="s">
        <v>448</v>
      </c>
      <c r="C363" s="8">
        <v>477</v>
      </c>
      <c r="D363" s="8">
        <v>426</v>
      </c>
      <c r="E363" s="8">
        <v>137</v>
      </c>
      <c r="F363" s="8">
        <v>31</v>
      </c>
      <c r="G363" s="28">
        <f t="shared" si="11"/>
        <v>3.1094890510948905</v>
      </c>
      <c r="H363" s="33">
        <f t="shared" si="10"/>
        <v>5.5062166962699825E-2</v>
      </c>
    </row>
    <row r="364" spans="1:8">
      <c r="A364" s="27">
        <v>7408</v>
      </c>
      <c r="B364" s="8" t="s">
        <v>236</v>
      </c>
      <c r="C364" s="8">
        <v>308</v>
      </c>
      <c r="D364" s="8">
        <v>202</v>
      </c>
      <c r="E364" s="8">
        <v>12</v>
      </c>
      <c r="F364" s="8">
        <v>21</v>
      </c>
      <c r="G364" s="28">
        <f t="shared" si="11"/>
        <v>16.833333333333332</v>
      </c>
      <c r="H364" s="33">
        <f t="shared" si="10"/>
        <v>9.8130841121495324E-2</v>
      </c>
    </row>
    <row r="365" spans="1:8">
      <c r="A365" s="27">
        <v>7274</v>
      </c>
      <c r="B365" s="8" t="s">
        <v>304</v>
      </c>
      <c r="C365" s="8">
        <v>193</v>
      </c>
      <c r="D365" s="8">
        <v>364</v>
      </c>
      <c r="E365" s="8">
        <v>181</v>
      </c>
      <c r="F365" s="8">
        <v>51</v>
      </c>
      <c r="G365" s="28">
        <f t="shared" si="11"/>
        <v>2.0110497237569063</v>
      </c>
      <c r="H365" s="33">
        <f t="shared" si="10"/>
        <v>9.3577981651376152E-2</v>
      </c>
    </row>
    <row r="366" spans="1:8">
      <c r="A366" s="27">
        <v>6001</v>
      </c>
      <c r="B366" s="8" t="s">
        <v>276</v>
      </c>
      <c r="C366" s="8">
        <v>420</v>
      </c>
      <c r="D366" s="8">
        <v>562</v>
      </c>
      <c r="E366" s="8">
        <v>67</v>
      </c>
      <c r="F366" s="8">
        <v>2</v>
      </c>
      <c r="G366" s="28">
        <f t="shared" si="11"/>
        <v>8.3880597014925371</v>
      </c>
      <c r="H366" s="33">
        <f t="shared" si="10"/>
        <v>3.1796502384737681E-3</v>
      </c>
    </row>
    <row r="367" spans="1:8">
      <c r="A367" s="27">
        <v>9418</v>
      </c>
      <c r="B367" s="8" t="s">
        <v>450</v>
      </c>
      <c r="C367" s="8">
        <v>128</v>
      </c>
      <c r="D367" s="8">
        <v>481</v>
      </c>
      <c r="E367" s="8">
        <v>128</v>
      </c>
      <c r="F367" s="8">
        <v>89</v>
      </c>
      <c r="G367" s="28">
        <f t="shared" si="11"/>
        <v>3.7578125</v>
      </c>
      <c r="H367" s="33">
        <f t="shared" si="10"/>
        <v>0.14614121510673234</v>
      </c>
    </row>
    <row r="368" spans="1:8">
      <c r="A368" s="27">
        <v>9354</v>
      </c>
      <c r="B368" s="8" t="s">
        <v>441</v>
      </c>
      <c r="C368" s="8">
        <v>133</v>
      </c>
      <c r="D368" s="8">
        <v>469</v>
      </c>
      <c r="E368" s="8">
        <v>182</v>
      </c>
      <c r="F368" s="8">
        <v>85</v>
      </c>
      <c r="G368" s="28">
        <f t="shared" si="11"/>
        <v>2.5769230769230771</v>
      </c>
      <c r="H368" s="33">
        <f t="shared" si="10"/>
        <v>0.13056835637480799</v>
      </c>
    </row>
    <row r="369" spans="1:8">
      <c r="A369" s="27">
        <v>8122</v>
      </c>
      <c r="B369" s="8" t="s">
        <v>452</v>
      </c>
      <c r="C369" s="8">
        <v>413</v>
      </c>
      <c r="D369" s="8">
        <v>708</v>
      </c>
      <c r="E369" s="8">
        <v>4</v>
      </c>
      <c r="F369" s="8">
        <v>62</v>
      </c>
      <c r="G369" s="28">
        <f t="shared" si="11"/>
        <v>177</v>
      </c>
      <c r="H369" s="33">
        <f t="shared" si="10"/>
        <v>8.7078651685393263E-2</v>
      </c>
    </row>
    <row r="370" spans="1:8">
      <c r="A370" s="27">
        <v>1765</v>
      </c>
      <c r="B370" s="8" t="s">
        <v>453</v>
      </c>
      <c r="C370" s="8">
        <v>28</v>
      </c>
      <c r="D370" s="8">
        <v>990</v>
      </c>
      <c r="E370" s="8">
        <v>88</v>
      </c>
      <c r="F370" s="8">
        <v>97</v>
      </c>
      <c r="G370" s="28">
        <f t="shared" si="11"/>
        <v>11.25</v>
      </c>
      <c r="H370" s="33">
        <f t="shared" si="10"/>
        <v>8.9981447124304267E-2</v>
      </c>
    </row>
    <row r="371" spans="1:8">
      <c r="A371" s="27">
        <v>5352</v>
      </c>
      <c r="B371" s="8" t="s">
        <v>290</v>
      </c>
      <c r="C371" s="8">
        <v>453</v>
      </c>
      <c r="D371" s="8">
        <v>236</v>
      </c>
      <c r="E371" s="8">
        <v>121</v>
      </c>
      <c r="F371" s="8">
        <v>1</v>
      </c>
      <c r="G371" s="28">
        <f t="shared" si="11"/>
        <v>1.9504132231404958</v>
      </c>
      <c r="H371" s="33">
        <f t="shared" si="10"/>
        <v>2.8011204481792717E-3</v>
      </c>
    </row>
    <row r="372" spans="1:8">
      <c r="A372" s="27">
        <v>7578</v>
      </c>
      <c r="B372" s="8" t="s">
        <v>130</v>
      </c>
      <c r="C372" s="8">
        <v>186</v>
      </c>
      <c r="D372" s="8">
        <v>784</v>
      </c>
      <c r="E372" s="8">
        <v>29</v>
      </c>
      <c r="F372" s="8">
        <v>76</v>
      </c>
      <c r="G372" s="28">
        <f t="shared" si="11"/>
        <v>27.03448275862069</v>
      </c>
      <c r="H372" s="33">
        <f t="shared" si="10"/>
        <v>9.348093480934809E-2</v>
      </c>
    </row>
    <row r="373" spans="1:8">
      <c r="A373" s="27">
        <v>8912</v>
      </c>
      <c r="B373" s="8" t="s">
        <v>169</v>
      </c>
      <c r="C373" s="8">
        <v>287</v>
      </c>
      <c r="D373" s="8">
        <v>714</v>
      </c>
      <c r="E373" s="8">
        <v>3</v>
      </c>
      <c r="F373" s="8">
        <v>45</v>
      </c>
      <c r="G373" s="28">
        <f t="shared" si="11"/>
        <v>238</v>
      </c>
      <c r="H373" s="33">
        <f t="shared" si="10"/>
        <v>6.2761506276150625E-2</v>
      </c>
    </row>
    <row r="374" spans="1:8">
      <c r="A374" s="27">
        <v>6641</v>
      </c>
      <c r="B374" s="8" t="s">
        <v>140</v>
      </c>
      <c r="C374" s="8">
        <v>45</v>
      </c>
      <c r="D374" s="8">
        <v>420</v>
      </c>
      <c r="E374" s="8">
        <v>87</v>
      </c>
      <c r="F374" s="8">
        <v>41</v>
      </c>
      <c r="G374" s="28">
        <f t="shared" si="11"/>
        <v>4.8275862068965516</v>
      </c>
      <c r="H374" s="33">
        <f t="shared" si="10"/>
        <v>8.0867850098619326E-2</v>
      </c>
    </row>
    <row r="375" spans="1:8">
      <c r="A375" s="27">
        <v>9664</v>
      </c>
      <c r="B375" s="8" t="s">
        <v>456</v>
      </c>
      <c r="C375" s="8">
        <v>463</v>
      </c>
      <c r="D375" s="8">
        <v>961</v>
      </c>
      <c r="E375" s="8">
        <v>9</v>
      </c>
      <c r="F375" s="8">
        <v>62</v>
      </c>
      <c r="G375" s="28">
        <f t="shared" si="11"/>
        <v>106.77777777777777</v>
      </c>
      <c r="H375" s="33">
        <f t="shared" si="10"/>
        <v>6.3917525773195871E-2</v>
      </c>
    </row>
    <row r="376" spans="1:8">
      <c r="A376" s="27">
        <v>9134</v>
      </c>
      <c r="B376" s="8" t="s">
        <v>130</v>
      </c>
      <c r="C376" s="8">
        <v>241</v>
      </c>
      <c r="D376" s="8">
        <v>775</v>
      </c>
      <c r="E376" s="8">
        <v>194</v>
      </c>
      <c r="F376" s="8">
        <v>94</v>
      </c>
      <c r="G376" s="28">
        <f t="shared" si="11"/>
        <v>3.9948453608247423</v>
      </c>
      <c r="H376" s="33">
        <f t="shared" si="10"/>
        <v>9.7007223942208468E-2</v>
      </c>
    </row>
    <row r="377" spans="1:8">
      <c r="A377" s="27">
        <v>6663</v>
      </c>
      <c r="B377" s="8" t="s">
        <v>184</v>
      </c>
      <c r="C377" s="8">
        <v>11</v>
      </c>
      <c r="D377" s="8">
        <v>773</v>
      </c>
      <c r="E377" s="8">
        <v>139</v>
      </c>
      <c r="F377" s="8">
        <v>45</v>
      </c>
      <c r="G377" s="28">
        <f t="shared" si="11"/>
        <v>5.5611510791366907</v>
      </c>
      <c r="H377" s="33">
        <f t="shared" si="10"/>
        <v>4.9342105263157895E-2</v>
      </c>
    </row>
    <row r="378" spans="1:8">
      <c r="A378" s="27">
        <v>9800</v>
      </c>
      <c r="B378" s="8" t="s">
        <v>458</v>
      </c>
      <c r="C378" s="8">
        <v>123</v>
      </c>
      <c r="D378" s="8">
        <v>841</v>
      </c>
      <c r="E378" s="8">
        <v>45</v>
      </c>
      <c r="F378" s="8">
        <v>76</v>
      </c>
      <c r="G378" s="28">
        <f t="shared" si="11"/>
        <v>18.68888888888889</v>
      </c>
      <c r="H378" s="33">
        <f t="shared" si="10"/>
        <v>8.5778781038374718E-2</v>
      </c>
    </row>
    <row r="379" spans="1:8">
      <c r="A379" s="27">
        <v>2363</v>
      </c>
      <c r="B379" s="8" t="s">
        <v>408</v>
      </c>
      <c r="C379" s="8">
        <v>411</v>
      </c>
      <c r="D379" s="8">
        <v>412</v>
      </c>
      <c r="E379" s="8">
        <v>20</v>
      </c>
      <c r="F379" s="8">
        <v>94</v>
      </c>
      <c r="G379" s="28">
        <f t="shared" si="11"/>
        <v>20.6</v>
      </c>
      <c r="H379" s="33">
        <f t="shared" si="10"/>
        <v>0.21759259259259259</v>
      </c>
    </row>
    <row r="380" spans="1:8">
      <c r="A380" s="27">
        <v>4875</v>
      </c>
      <c r="B380" s="8" t="s">
        <v>272</v>
      </c>
      <c r="C380" s="8">
        <v>469</v>
      </c>
      <c r="D380" s="8">
        <v>160</v>
      </c>
      <c r="E380" s="8">
        <v>79</v>
      </c>
      <c r="F380" s="8">
        <v>57</v>
      </c>
      <c r="G380" s="28">
        <f t="shared" si="11"/>
        <v>2.0253164556962027</v>
      </c>
      <c r="H380" s="33">
        <f t="shared" si="10"/>
        <v>0.2384937238493724</v>
      </c>
    </row>
    <row r="381" spans="1:8">
      <c r="A381" s="27">
        <v>8961</v>
      </c>
      <c r="B381" s="8" t="s">
        <v>137</v>
      </c>
      <c r="C381" s="8">
        <v>120</v>
      </c>
      <c r="D381" s="8">
        <v>346</v>
      </c>
      <c r="E381" s="8">
        <v>125</v>
      </c>
      <c r="F381" s="8">
        <v>25</v>
      </c>
      <c r="G381" s="28">
        <f t="shared" si="11"/>
        <v>2.7679999999999998</v>
      </c>
      <c r="H381" s="33">
        <f t="shared" si="10"/>
        <v>5.3078556263269641E-2</v>
      </c>
    </row>
    <row r="382" spans="1:8">
      <c r="A382" s="27">
        <v>1539</v>
      </c>
      <c r="B382" s="8" t="s">
        <v>77</v>
      </c>
      <c r="C382" s="8">
        <v>348</v>
      </c>
      <c r="D382" s="8">
        <v>266</v>
      </c>
      <c r="E382" s="8">
        <v>94</v>
      </c>
      <c r="F382" s="8">
        <v>82</v>
      </c>
      <c r="G382" s="28">
        <f t="shared" si="11"/>
        <v>2.8297872340425534</v>
      </c>
      <c r="H382" s="33">
        <f t="shared" si="10"/>
        <v>0.22777777777777777</v>
      </c>
    </row>
    <row r="383" spans="1:8">
      <c r="A383" s="27">
        <v>4037</v>
      </c>
      <c r="B383" s="8" t="s">
        <v>405</v>
      </c>
      <c r="C383" s="8">
        <v>103</v>
      </c>
      <c r="D383" s="8">
        <v>305</v>
      </c>
      <c r="E383" s="8">
        <v>191</v>
      </c>
      <c r="F383" s="8">
        <v>98</v>
      </c>
      <c r="G383" s="28">
        <f t="shared" si="11"/>
        <v>1.5968586387434556</v>
      </c>
      <c r="H383" s="33">
        <f t="shared" si="10"/>
        <v>0.19758064516129031</v>
      </c>
    </row>
    <row r="384" spans="1:8">
      <c r="A384" s="27">
        <v>4239</v>
      </c>
      <c r="B384" s="8" t="s">
        <v>272</v>
      </c>
      <c r="C384" s="8">
        <v>470</v>
      </c>
      <c r="D384" s="8">
        <v>89</v>
      </c>
      <c r="E384" s="8">
        <v>135</v>
      </c>
      <c r="F384" s="8">
        <v>45</v>
      </c>
      <c r="G384" s="28">
        <f t="shared" si="11"/>
        <v>0.65925925925925921</v>
      </c>
      <c r="H384" s="33">
        <f t="shared" si="10"/>
        <v>0.20089285714285715</v>
      </c>
    </row>
    <row r="385" spans="1:8">
      <c r="A385" s="27">
        <v>4364</v>
      </c>
      <c r="B385" s="8" t="s">
        <v>355</v>
      </c>
      <c r="C385" s="8">
        <v>241</v>
      </c>
      <c r="D385" s="8">
        <v>905</v>
      </c>
      <c r="E385" s="8">
        <v>127</v>
      </c>
      <c r="F385" s="8">
        <v>93</v>
      </c>
      <c r="G385" s="28">
        <f t="shared" si="11"/>
        <v>7.1259842519685037</v>
      </c>
      <c r="H385" s="33">
        <f t="shared" si="10"/>
        <v>9.0116279069767435E-2</v>
      </c>
    </row>
    <row r="386" spans="1:8">
      <c r="A386" s="27">
        <v>8946</v>
      </c>
      <c r="B386" s="8" t="s">
        <v>463</v>
      </c>
      <c r="C386" s="8">
        <v>277</v>
      </c>
      <c r="D386" s="8">
        <v>959</v>
      </c>
      <c r="E386" s="8">
        <v>174</v>
      </c>
      <c r="F386" s="8">
        <v>51</v>
      </c>
      <c r="G386" s="28">
        <f t="shared" si="11"/>
        <v>5.5114942528735629</v>
      </c>
      <c r="H386" s="33">
        <f t="shared" ref="H386:H449" si="12">F386/(D386+E386)</f>
        <v>4.5013239187996469E-2</v>
      </c>
    </row>
    <row r="387" spans="1:8">
      <c r="A387" s="27">
        <v>5911</v>
      </c>
      <c r="B387" s="8" t="s">
        <v>130</v>
      </c>
      <c r="C387" s="8">
        <v>158</v>
      </c>
      <c r="D387" s="8">
        <v>426</v>
      </c>
      <c r="E387" s="8">
        <v>7</v>
      </c>
      <c r="F387" s="8">
        <v>36</v>
      </c>
      <c r="G387" s="28">
        <f t="shared" ref="G387:G450" si="13">D387/E387</f>
        <v>60.857142857142854</v>
      </c>
      <c r="H387" s="33">
        <f t="shared" si="12"/>
        <v>8.3140877598152418E-2</v>
      </c>
    </row>
    <row r="388" spans="1:8">
      <c r="A388" s="27">
        <v>8033</v>
      </c>
      <c r="B388" s="8" t="s">
        <v>379</v>
      </c>
      <c r="C388" s="8">
        <v>23</v>
      </c>
      <c r="D388" s="8">
        <v>585</v>
      </c>
      <c r="E388" s="8">
        <v>97</v>
      </c>
      <c r="F388" s="8">
        <v>23</v>
      </c>
      <c r="G388" s="28">
        <f t="shared" si="13"/>
        <v>6.0309278350515463</v>
      </c>
      <c r="H388" s="33">
        <f t="shared" si="12"/>
        <v>3.3724340175953077E-2</v>
      </c>
    </row>
    <row r="389" spans="1:8">
      <c r="A389" s="27">
        <v>6603</v>
      </c>
      <c r="B389" s="8" t="s">
        <v>280</v>
      </c>
      <c r="C389" s="8">
        <v>200</v>
      </c>
      <c r="D389" s="8">
        <v>65</v>
      </c>
      <c r="E389" s="8">
        <v>11</v>
      </c>
      <c r="F389" s="8">
        <v>30</v>
      </c>
      <c r="G389" s="28">
        <f t="shared" si="13"/>
        <v>5.9090909090909092</v>
      </c>
      <c r="H389" s="33">
        <f t="shared" si="12"/>
        <v>0.39473684210526316</v>
      </c>
    </row>
    <row r="390" spans="1:8">
      <c r="A390" s="27">
        <v>9630</v>
      </c>
      <c r="B390" s="8" t="s">
        <v>101</v>
      </c>
      <c r="C390" s="8">
        <v>264</v>
      </c>
      <c r="D390" s="8">
        <v>367</v>
      </c>
      <c r="E390" s="8">
        <v>163</v>
      </c>
      <c r="F390" s="8">
        <v>88</v>
      </c>
      <c r="G390" s="28">
        <f t="shared" si="13"/>
        <v>2.2515337423312882</v>
      </c>
      <c r="H390" s="33">
        <f t="shared" si="12"/>
        <v>0.16603773584905659</v>
      </c>
    </row>
    <row r="391" spans="1:8">
      <c r="A391" s="27">
        <v>1691</v>
      </c>
      <c r="B391" s="8" t="s">
        <v>147</v>
      </c>
      <c r="C391" s="8">
        <v>309</v>
      </c>
      <c r="D391" s="8">
        <v>891</v>
      </c>
      <c r="E391" s="8">
        <v>93</v>
      </c>
      <c r="F391" s="8">
        <v>65</v>
      </c>
      <c r="G391" s="28">
        <f t="shared" si="13"/>
        <v>9.5806451612903221</v>
      </c>
      <c r="H391" s="33">
        <f t="shared" si="12"/>
        <v>6.605691056910569E-2</v>
      </c>
    </row>
    <row r="392" spans="1:8">
      <c r="A392" s="27">
        <v>5590</v>
      </c>
      <c r="B392" s="8" t="s">
        <v>88</v>
      </c>
      <c r="C392" s="8">
        <v>30</v>
      </c>
      <c r="D392" s="8">
        <v>468</v>
      </c>
      <c r="E392" s="8">
        <v>196</v>
      </c>
      <c r="F392" s="8">
        <v>52</v>
      </c>
      <c r="G392" s="28">
        <f t="shared" si="13"/>
        <v>2.3877551020408165</v>
      </c>
      <c r="H392" s="33">
        <f t="shared" si="12"/>
        <v>7.8313253012048195E-2</v>
      </c>
    </row>
    <row r="393" spans="1:8">
      <c r="A393" s="27">
        <v>8645</v>
      </c>
      <c r="B393" s="8" t="s">
        <v>257</v>
      </c>
      <c r="C393" s="8">
        <v>289</v>
      </c>
      <c r="D393" s="8">
        <v>999</v>
      </c>
      <c r="E393" s="8">
        <v>22</v>
      </c>
      <c r="F393" s="8">
        <v>50</v>
      </c>
      <c r="G393" s="28">
        <f t="shared" si="13"/>
        <v>45.409090909090907</v>
      </c>
      <c r="H393" s="33">
        <f t="shared" si="12"/>
        <v>4.8971596474045052E-2</v>
      </c>
    </row>
    <row r="394" spans="1:8">
      <c r="A394" s="27">
        <v>7663</v>
      </c>
      <c r="B394" s="8" t="s">
        <v>179</v>
      </c>
      <c r="C394" s="8">
        <v>432</v>
      </c>
      <c r="D394" s="8">
        <v>263</v>
      </c>
      <c r="E394" s="8">
        <v>55</v>
      </c>
      <c r="F394" s="8">
        <v>22</v>
      </c>
      <c r="G394" s="28">
        <f t="shared" si="13"/>
        <v>4.7818181818181822</v>
      </c>
      <c r="H394" s="33">
        <f t="shared" si="12"/>
        <v>6.9182389937106917E-2</v>
      </c>
    </row>
    <row r="395" spans="1:8">
      <c r="A395" s="27">
        <v>2647</v>
      </c>
      <c r="B395" s="8" t="s">
        <v>224</v>
      </c>
      <c r="C395" s="8">
        <v>393</v>
      </c>
      <c r="D395" s="8">
        <v>487</v>
      </c>
      <c r="E395" s="8">
        <v>105</v>
      </c>
      <c r="F395" s="8">
        <v>99</v>
      </c>
      <c r="G395" s="28">
        <f t="shared" si="13"/>
        <v>4.6380952380952385</v>
      </c>
      <c r="H395" s="33">
        <f t="shared" si="12"/>
        <v>0.16722972972972974</v>
      </c>
    </row>
    <row r="396" spans="1:8">
      <c r="A396" s="27">
        <v>6539</v>
      </c>
      <c r="B396" s="8" t="s">
        <v>201</v>
      </c>
      <c r="C396" s="8">
        <v>203</v>
      </c>
      <c r="D396" s="8">
        <v>961</v>
      </c>
      <c r="E396" s="8">
        <v>41</v>
      </c>
      <c r="F396" s="8">
        <v>76</v>
      </c>
      <c r="G396" s="28">
        <f t="shared" si="13"/>
        <v>23.439024390243901</v>
      </c>
      <c r="H396" s="33">
        <f t="shared" si="12"/>
        <v>7.5848303393213579E-2</v>
      </c>
    </row>
    <row r="397" spans="1:8">
      <c r="A397" s="27">
        <v>3472</v>
      </c>
      <c r="B397" s="8" t="s">
        <v>153</v>
      </c>
      <c r="C397" s="8">
        <v>43</v>
      </c>
      <c r="D397" s="8">
        <v>973</v>
      </c>
      <c r="E397" s="8">
        <v>7</v>
      </c>
      <c r="F397" s="8">
        <v>76</v>
      </c>
      <c r="G397" s="28">
        <f t="shared" si="13"/>
        <v>139</v>
      </c>
      <c r="H397" s="33">
        <f t="shared" si="12"/>
        <v>7.7551020408163265E-2</v>
      </c>
    </row>
    <row r="398" spans="1:8">
      <c r="A398" s="27">
        <v>4314</v>
      </c>
      <c r="B398" s="8" t="s">
        <v>373</v>
      </c>
      <c r="C398" s="8">
        <v>311</v>
      </c>
      <c r="D398" s="8">
        <v>724</v>
      </c>
      <c r="E398" s="8">
        <v>191</v>
      </c>
      <c r="F398" s="8">
        <v>55</v>
      </c>
      <c r="G398" s="28">
        <f t="shared" si="13"/>
        <v>3.7905759162303663</v>
      </c>
      <c r="H398" s="33">
        <f t="shared" si="12"/>
        <v>6.0109289617486336E-2</v>
      </c>
    </row>
    <row r="399" spans="1:8">
      <c r="A399" s="27">
        <v>6739</v>
      </c>
      <c r="B399" s="8" t="s">
        <v>357</v>
      </c>
      <c r="C399" s="8">
        <v>23</v>
      </c>
      <c r="D399" s="8">
        <v>725</v>
      </c>
      <c r="E399" s="8">
        <v>168</v>
      </c>
      <c r="F399" s="8">
        <v>25</v>
      </c>
      <c r="G399" s="28">
        <f t="shared" si="13"/>
        <v>4.3154761904761907</v>
      </c>
      <c r="H399" s="33">
        <f t="shared" si="12"/>
        <v>2.7995520716685332E-2</v>
      </c>
    </row>
    <row r="400" spans="1:8">
      <c r="A400" s="27">
        <v>6368</v>
      </c>
      <c r="B400" s="8" t="s">
        <v>41</v>
      </c>
      <c r="C400" s="8">
        <v>370</v>
      </c>
      <c r="D400" s="8">
        <v>973</v>
      </c>
      <c r="E400" s="8">
        <v>152</v>
      </c>
      <c r="F400" s="8">
        <v>98</v>
      </c>
      <c r="G400" s="28">
        <f t="shared" si="13"/>
        <v>6.4013157894736841</v>
      </c>
      <c r="H400" s="33">
        <f t="shared" si="12"/>
        <v>8.7111111111111111E-2</v>
      </c>
    </row>
    <row r="401" spans="1:8">
      <c r="A401" s="27">
        <v>7309</v>
      </c>
      <c r="B401" s="8" t="s">
        <v>176</v>
      </c>
      <c r="C401" s="8">
        <v>343</v>
      </c>
      <c r="D401" s="8">
        <v>830</v>
      </c>
      <c r="E401" s="8">
        <v>172</v>
      </c>
      <c r="F401" s="8">
        <v>99</v>
      </c>
      <c r="G401" s="28">
        <f t="shared" si="13"/>
        <v>4.8255813953488369</v>
      </c>
      <c r="H401" s="33">
        <f t="shared" si="12"/>
        <v>9.880239520958084E-2</v>
      </c>
    </row>
    <row r="402" spans="1:8">
      <c r="A402" s="27">
        <v>3976</v>
      </c>
      <c r="B402" s="8" t="s">
        <v>297</v>
      </c>
      <c r="C402" s="8">
        <v>391</v>
      </c>
      <c r="D402" s="8">
        <v>726</v>
      </c>
      <c r="E402" s="8">
        <v>176</v>
      </c>
      <c r="F402" s="8">
        <v>65</v>
      </c>
      <c r="G402" s="28">
        <f t="shared" si="13"/>
        <v>4.125</v>
      </c>
      <c r="H402" s="33">
        <f t="shared" si="12"/>
        <v>7.2062084257206213E-2</v>
      </c>
    </row>
    <row r="403" spans="1:8">
      <c r="A403" s="27">
        <v>7230</v>
      </c>
      <c r="B403" s="8" t="s">
        <v>473</v>
      </c>
      <c r="C403" s="8">
        <v>405</v>
      </c>
      <c r="D403" s="8">
        <v>90</v>
      </c>
      <c r="E403" s="8">
        <v>151</v>
      </c>
      <c r="F403" s="8">
        <v>64</v>
      </c>
      <c r="G403" s="28">
        <f t="shared" si="13"/>
        <v>0.59602649006622521</v>
      </c>
      <c r="H403" s="33">
        <f t="shared" si="12"/>
        <v>0.26556016597510373</v>
      </c>
    </row>
    <row r="404" spans="1:8">
      <c r="A404" s="27">
        <v>8888</v>
      </c>
      <c r="B404" s="8" t="s">
        <v>344</v>
      </c>
      <c r="C404" s="8">
        <v>14</v>
      </c>
      <c r="D404" s="8">
        <v>617</v>
      </c>
      <c r="E404" s="8">
        <v>128</v>
      </c>
      <c r="F404" s="8">
        <v>31</v>
      </c>
      <c r="G404" s="28">
        <f t="shared" si="13"/>
        <v>4.8203125</v>
      </c>
      <c r="H404" s="33">
        <f t="shared" si="12"/>
        <v>4.1610738255033558E-2</v>
      </c>
    </row>
    <row r="405" spans="1:8">
      <c r="A405" s="27">
        <v>1194</v>
      </c>
      <c r="B405" s="8" t="s">
        <v>357</v>
      </c>
      <c r="C405" s="8">
        <v>11</v>
      </c>
      <c r="D405" s="8">
        <v>246</v>
      </c>
      <c r="E405" s="8">
        <v>96</v>
      </c>
      <c r="F405" s="8">
        <v>56</v>
      </c>
      <c r="G405" s="28">
        <f t="shared" si="13"/>
        <v>2.5625</v>
      </c>
      <c r="H405" s="33">
        <f t="shared" si="12"/>
        <v>0.16374269005847952</v>
      </c>
    </row>
    <row r="406" spans="1:8">
      <c r="A406" s="27">
        <v>6983</v>
      </c>
      <c r="B406" s="8" t="s">
        <v>88</v>
      </c>
      <c r="C406" s="8">
        <v>335</v>
      </c>
      <c r="D406" s="8">
        <v>484</v>
      </c>
      <c r="E406" s="8">
        <v>54</v>
      </c>
      <c r="F406" s="8">
        <v>51</v>
      </c>
      <c r="G406" s="28">
        <f t="shared" si="13"/>
        <v>8.9629629629629637</v>
      </c>
      <c r="H406" s="33">
        <f t="shared" si="12"/>
        <v>9.4795539033457249E-2</v>
      </c>
    </row>
    <row r="407" spans="1:8">
      <c r="A407" s="27">
        <v>1413</v>
      </c>
      <c r="B407" s="8" t="s">
        <v>98</v>
      </c>
      <c r="C407" s="8">
        <v>408</v>
      </c>
      <c r="D407" s="8">
        <v>418</v>
      </c>
      <c r="E407" s="8">
        <v>198</v>
      </c>
      <c r="F407" s="8">
        <v>0</v>
      </c>
      <c r="G407" s="28">
        <f t="shared" si="13"/>
        <v>2.1111111111111112</v>
      </c>
      <c r="H407" s="33">
        <f t="shared" si="12"/>
        <v>0</v>
      </c>
    </row>
    <row r="408" spans="1:8">
      <c r="A408" s="27">
        <v>9509</v>
      </c>
      <c r="B408" s="8" t="s">
        <v>232</v>
      </c>
      <c r="C408" s="8">
        <v>302</v>
      </c>
      <c r="D408" s="8">
        <v>431</v>
      </c>
      <c r="E408" s="8">
        <v>116</v>
      </c>
      <c r="F408" s="8">
        <v>15</v>
      </c>
      <c r="G408" s="28">
        <f t="shared" si="13"/>
        <v>3.7155172413793105</v>
      </c>
      <c r="H408" s="33">
        <f t="shared" si="12"/>
        <v>2.7422303473491772E-2</v>
      </c>
    </row>
    <row r="409" spans="1:8">
      <c r="A409" s="27">
        <v>6330</v>
      </c>
      <c r="B409" s="8" t="s">
        <v>478</v>
      </c>
      <c r="C409" s="8">
        <v>329</v>
      </c>
      <c r="D409" s="8">
        <v>973</v>
      </c>
      <c r="E409" s="8">
        <v>163</v>
      </c>
      <c r="F409" s="8">
        <v>78</v>
      </c>
      <c r="G409" s="28">
        <f t="shared" si="13"/>
        <v>5.9693251533742329</v>
      </c>
      <c r="H409" s="33">
        <f t="shared" si="12"/>
        <v>6.8661971830985921E-2</v>
      </c>
    </row>
    <row r="410" spans="1:8">
      <c r="A410" s="27">
        <v>2504</v>
      </c>
      <c r="B410" s="8" t="s">
        <v>480</v>
      </c>
      <c r="C410" s="8">
        <v>328</v>
      </c>
      <c r="D410" s="8">
        <v>858</v>
      </c>
      <c r="E410" s="8">
        <v>159</v>
      </c>
      <c r="F410" s="8">
        <v>75</v>
      </c>
      <c r="G410" s="28">
        <f t="shared" si="13"/>
        <v>5.3962264150943398</v>
      </c>
      <c r="H410" s="33">
        <f t="shared" si="12"/>
        <v>7.3746312684365781E-2</v>
      </c>
    </row>
    <row r="411" spans="1:8">
      <c r="A411" s="27">
        <v>6593</v>
      </c>
      <c r="B411" s="8" t="s">
        <v>357</v>
      </c>
      <c r="C411" s="8">
        <v>353</v>
      </c>
      <c r="D411" s="8">
        <v>637</v>
      </c>
      <c r="E411" s="8">
        <v>160</v>
      </c>
      <c r="F411" s="8">
        <v>67</v>
      </c>
      <c r="G411" s="28">
        <f t="shared" si="13"/>
        <v>3.9812500000000002</v>
      </c>
      <c r="H411" s="33">
        <f t="shared" si="12"/>
        <v>8.4065244667503133E-2</v>
      </c>
    </row>
    <row r="412" spans="1:8">
      <c r="A412" s="27">
        <v>9537</v>
      </c>
      <c r="B412" s="8" t="s">
        <v>357</v>
      </c>
      <c r="C412" s="8">
        <v>386</v>
      </c>
      <c r="D412" s="8">
        <v>693</v>
      </c>
      <c r="E412" s="8">
        <v>61</v>
      </c>
      <c r="F412" s="8">
        <v>48</v>
      </c>
      <c r="G412" s="28">
        <f t="shared" si="13"/>
        <v>11.360655737704919</v>
      </c>
      <c r="H412" s="33">
        <f t="shared" si="12"/>
        <v>6.3660477453580902E-2</v>
      </c>
    </row>
    <row r="413" spans="1:8">
      <c r="A413" s="27">
        <v>9628</v>
      </c>
      <c r="B413" s="8" t="s">
        <v>211</v>
      </c>
      <c r="C413" s="8">
        <v>401</v>
      </c>
      <c r="D413" s="8">
        <v>308</v>
      </c>
      <c r="E413" s="8">
        <v>103</v>
      </c>
      <c r="F413" s="8">
        <v>98</v>
      </c>
      <c r="G413" s="28">
        <f t="shared" si="13"/>
        <v>2.9902912621359223</v>
      </c>
      <c r="H413" s="33">
        <f t="shared" si="12"/>
        <v>0.23844282238442821</v>
      </c>
    </row>
    <row r="414" spans="1:8">
      <c r="A414" s="27">
        <v>4024</v>
      </c>
      <c r="B414" s="8" t="s">
        <v>244</v>
      </c>
      <c r="C414" s="8">
        <v>286</v>
      </c>
      <c r="D414" s="8">
        <v>843</v>
      </c>
      <c r="E414" s="8">
        <v>26</v>
      </c>
      <c r="F414" s="8">
        <v>11</v>
      </c>
      <c r="G414" s="28">
        <f t="shared" si="13"/>
        <v>32.42307692307692</v>
      </c>
      <c r="H414" s="33">
        <f t="shared" si="12"/>
        <v>1.2658227848101266E-2</v>
      </c>
    </row>
    <row r="415" spans="1:8">
      <c r="A415" s="27">
        <v>5321</v>
      </c>
      <c r="B415" s="8" t="s">
        <v>304</v>
      </c>
      <c r="C415" s="8">
        <v>20</v>
      </c>
      <c r="D415" s="8">
        <v>895</v>
      </c>
      <c r="E415" s="8">
        <v>40</v>
      </c>
      <c r="F415" s="8">
        <v>97</v>
      </c>
      <c r="G415" s="28">
        <f t="shared" si="13"/>
        <v>22.375</v>
      </c>
      <c r="H415" s="33">
        <f t="shared" si="12"/>
        <v>0.10374331550802139</v>
      </c>
    </row>
    <row r="416" spans="1:8">
      <c r="A416" s="27">
        <v>3926</v>
      </c>
      <c r="B416" s="8" t="s">
        <v>485</v>
      </c>
      <c r="C416" s="8">
        <v>167</v>
      </c>
      <c r="D416" s="8">
        <v>466</v>
      </c>
      <c r="E416" s="8">
        <v>69</v>
      </c>
      <c r="F416" s="8">
        <v>86</v>
      </c>
      <c r="G416" s="28">
        <f t="shared" si="13"/>
        <v>6.7536231884057969</v>
      </c>
      <c r="H416" s="33">
        <f t="shared" si="12"/>
        <v>0.16074766355140188</v>
      </c>
    </row>
    <row r="417" spans="1:8">
      <c r="A417" s="27">
        <v>8738</v>
      </c>
      <c r="B417" s="8" t="s">
        <v>140</v>
      </c>
      <c r="C417" s="8">
        <v>427</v>
      </c>
      <c r="D417" s="8">
        <v>886</v>
      </c>
      <c r="E417" s="8">
        <v>17</v>
      </c>
      <c r="F417" s="8">
        <v>41</v>
      </c>
      <c r="G417" s="28">
        <f t="shared" si="13"/>
        <v>52.117647058823529</v>
      </c>
      <c r="H417" s="33">
        <f t="shared" si="12"/>
        <v>4.5404208194905871E-2</v>
      </c>
    </row>
    <row r="418" spans="1:8">
      <c r="A418" s="27">
        <v>2701</v>
      </c>
      <c r="B418" s="8" t="s">
        <v>355</v>
      </c>
      <c r="C418" s="8">
        <v>13</v>
      </c>
      <c r="D418" s="8">
        <v>537</v>
      </c>
      <c r="E418" s="8">
        <v>121</v>
      </c>
      <c r="F418" s="8">
        <v>17</v>
      </c>
      <c r="G418" s="28">
        <f t="shared" si="13"/>
        <v>4.4380165289256199</v>
      </c>
      <c r="H418" s="33">
        <f t="shared" si="12"/>
        <v>2.5835866261398176E-2</v>
      </c>
    </row>
    <row r="419" spans="1:8">
      <c r="A419" s="27">
        <v>5339</v>
      </c>
      <c r="B419" s="8" t="s">
        <v>486</v>
      </c>
      <c r="C419" s="8">
        <v>53</v>
      </c>
      <c r="D419" s="8">
        <v>524</v>
      </c>
      <c r="E419" s="8">
        <v>161</v>
      </c>
      <c r="F419" s="8">
        <v>65</v>
      </c>
      <c r="G419" s="28">
        <f t="shared" si="13"/>
        <v>3.2546583850931676</v>
      </c>
      <c r="H419" s="33">
        <f t="shared" si="12"/>
        <v>9.4890510948905105E-2</v>
      </c>
    </row>
    <row r="420" spans="1:8">
      <c r="A420" s="27">
        <v>1612</v>
      </c>
      <c r="B420" s="8" t="s">
        <v>488</v>
      </c>
      <c r="C420" s="8">
        <v>197</v>
      </c>
      <c r="D420" s="8">
        <v>409</v>
      </c>
      <c r="E420" s="8">
        <v>22</v>
      </c>
      <c r="F420" s="8">
        <v>64</v>
      </c>
      <c r="G420" s="28">
        <f t="shared" si="13"/>
        <v>18.59090909090909</v>
      </c>
      <c r="H420" s="33">
        <f t="shared" si="12"/>
        <v>0.14849187935034802</v>
      </c>
    </row>
    <row r="421" spans="1:8">
      <c r="A421" s="27">
        <v>5407</v>
      </c>
      <c r="B421" s="8" t="s">
        <v>101</v>
      </c>
      <c r="C421" s="8">
        <v>429</v>
      </c>
      <c r="D421" s="8">
        <v>988</v>
      </c>
      <c r="E421" s="8">
        <v>115</v>
      </c>
      <c r="F421" s="8">
        <v>19</v>
      </c>
      <c r="G421" s="28">
        <f t="shared" si="13"/>
        <v>8.5913043478260871</v>
      </c>
      <c r="H421" s="33">
        <f t="shared" si="12"/>
        <v>1.7225747960108794E-2</v>
      </c>
    </row>
    <row r="422" spans="1:8">
      <c r="A422" s="27">
        <v>8225</v>
      </c>
      <c r="B422" s="8" t="s">
        <v>380</v>
      </c>
      <c r="C422" s="8">
        <v>282</v>
      </c>
      <c r="D422" s="8">
        <v>386</v>
      </c>
      <c r="E422" s="8">
        <v>177</v>
      </c>
      <c r="F422" s="8">
        <v>17</v>
      </c>
      <c r="G422" s="28">
        <f t="shared" si="13"/>
        <v>2.1807909604519775</v>
      </c>
      <c r="H422" s="33">
        <f t="shared" si="12"/>
        <v>3.0195381882770871E-2</v>
      </c>
    </row>
    <row r="423" spans="1:8">
      <c r="A423" s="27">
        <v>4714</v>
      </c>
      <c r="B423" s="8" t="s">
        <v>489</v>
      </c>
      <c r="C423" s="8">
        <v>248</v>
      </c>
      <c r="D423" s="8">
        <v>996</v>
      </c>
      <c r="E423" s="8">
        <v>24</v>
      </c>
      <c r="F423" s="8">
        <v>53</v>
      </c>
      <c r="G423" s="28">
        <f t="shared" si="13"/>
        <v>41.5</v>
      </c>
      <c r="H423" s="33">
        <f t="shared" si="12"/>
        <v>5.1960784313725493E-2</v>
      </c>
    </row>
    <row r="424" spans="1:8">
      <c r="A424" s="27">
        <v>3826</v>
      </c>
      <c r="B424" s="8" t="s">
        <v>357</v>
      </c>
      <c r="C424" s="8">
        <v>406</v>
      </c>
      <c r="D424" s="8">
        <v>369</v>
      </c>
      <c r="E424" s="8">
        <v>13</v>
      </c>
      <c r="F424" s="8">
        <v>82</v>
      </c>
      <c r="G424" s="28">
        <f t="shared" si="13"/>
        <v>28.384615384615383</v>
      </c>
      <c r="H424" s="33">
        <f t="shared" si="12"/>
        <v>0.21465968586387435</v>
      </c>
    </row>
    <row r="425" spans="1:8">
      <c r="A425" s="27">
        <v>3781</v>
      </c>
      <c r="B425" s="8" t="s">
        <v>491</v>
      </c>
      <c r="C425" s="8">
        <v>249</v>
      </c>
      <c r="D425" s="8">
        <v>713</v>
      </c>
      <c r="E425" s="8">
        <v>125</v>
      </c>
      <c r="F425" s="8">
        <v>95</v>
      </c>
      <c r="G425" s="28">
        <f t="shared" si="13"/>
        <v>5.7039999999999997</v>
      </c>
      <c r="H425" s="33">
        <f t="shared" si="12"/>
        <v>0.11336515513126491</v>
      </c>
    </row>
    <row r="426" spans="1:8">
      <c r="A426" s="27">
        <v>5635</v>
      </c>
      <c r="B426" s="8" t="s">
        <v>492</v>
      </c>
      <c r="C426" s="8">
        <v>12</v>
      </c>
      <c r="D426" s="8">
        <v>928</v>
      </c>
      <c r="E426" s="8">
        <v>147</v>
      </c>
      <c r="F426" s="8">
        <v>92</v>
      </c>
      <c r="G426" s="28">
        <f t="shared" si="13"/>
        <v>6.3129251700680271</v>
      </c>
      <c r="H426" s="33">
        <f t="shared" si="12"/>
        <v>8.5581395348837214E-2</v>
      </c>
    </row>
    <row r="427" spans="1:8">
      <c r="A427" s="27">
        <v>2291</v>
      </c>
      <c r="B427" s="8" t="s">
        <v>197</v>
      </c>
      <c r="C427" s="8">
        <v>57</v>
      </c>
      <c r="D427" s="8">
        <v>869</v>
      </c>
      <c r="E427" s="8">
        <v>107</v>
      </c>
      <c r="F427" s="8">
        <v>67</v>
      </c>
      <c r="G427" s="28">
        <f t="shared" si="13"/>
        <v>8.121495327102803</v>
      </c>
      <c r="H427" s="33">
        <f t="shared" si="12"/>
        <v>6.8647540983606564E-2</v>
      </c>
    </row>
    <row r="428" spans="1:8">
      <c r="A428" s="27">
        <v>3119</v>
      </c>
      <c r="B428" s="8" t="s">
        <v>450</v>
      </c>
      <c r="C428" s="8">
        <v>247</v>
      </c>
      <c r="D428" s="8">
        <v>563</v>
      </c>
      <c r="E428" s="8">
        <v>185</v>
      </c>
      <c r="F428" s="8">
        <v>3</v>
      </c>
      <c r="G428" s="28">
        <f t="shared" si="13"/>
        <v>3.0432432432432432</v>
      </c>
      <c r="H428" s="33">
        <f t="shared" si="12"/>
        <v>4.0106951871657758E-3</v>
      </c>
    </row>
    <row r="429" spans="1:8">
      <c r="A429" s="27">
        <v>5280</v>
      </c>
      <c r="B429" s="8" t="s">
        <v>494</v>
      </c>
      <c r="C429" s="8">
        <v>25</v>
      </c>
      <c r="D429" s="8">
        <v>429</v>
      </c>
      <c r="E429" s="8">
        <v>138</v>
      </c>
      <c r="F429" s="8">
        <v>40</v>
      </c>
      <c r="G429" s="28">
        <f t="shared" si="13"/>
        <v>3.1086956521739131</v>
      </c>
      <c r="H429" s="33">
        <f t="shared" si="12"/>
        <v>7.0546737213403876E-2</v>
      </c>
    </row>
    <row r="430" spans="1:8">
      <c r="A430" s="27">
        <v>2546</v>
      </c>
      <c r="B430" s="8" t="s">
        <v>495</v>
      </c>
      <c r="C430" s="8">
        <v>425</v>
      </c>
      <c r="D430" s="8">
        <v>236</v>
      </c>
      <c r="E430" s="8">
        <v>37</v>
      </c>
      <c r="F430" s="8">
        <v>49</v>
      </c>
      <c r="G430" s="28">
        <f t="shared" si="13"/>
        <v>6.3783783783783781</v>
      </c>
      <c r="H430" s="33">
        <f t="shared" si="12"/>
        <v>0.17948717948717949</v>
      </c>
    </row>
    <row r="431" spans="1:8">
      <c r="A431" s="27">
        <v>5975</v>
      </c>
      <c r="B431" s="8" t="s">
        <v>143</v>
      </c>
      <c r="C431" s="8">
        <v>315</v>
      </c>
      <c r="D431" s="8">
        <v>889</v>
      </c>
      <c r="E431" s="8">
        <v>80</v>
      </c>
      <c r="F431" s="8">
        <v>52</v>
      </c>
      <c r="G431" s="28">
        <f t="shared" si="13"/>
        <v>11.112500000000001</v>
      </c>
      <c r="H431" s="33">
        <f t="shared" si="12"/>
        <v>5.3663570691434466E-2</v>
      </c>
    </row>
    <row r="432" spans="1:8">
      <c r="A432" s="27">
        <v>9113</v>
      </c>
      <c r="B432" s="8" t="s">
        <v>236</v>
      </c>
      <c r="C432" s="8">
        <v>466</v>
      </c>
      <c r="D432" s="8">
        <v>785</v>
      </c>
      <c r="E432" s="8">
        <v>12</v>
      </c>
      <c r="F432" s="8">
        <v>94</v>
      </c>
      <c r="G432" s="28">
        <f t="shared" si="13"/>
        <v>65.416666666666671</v>
      </c>
      <c r="H432" s="33">
        <f t="shared" si="12"/>
        <v>0.11794228356336262</v>
      </c>
    </row>
    <row r="433" spans="1:8">
      <c r="A433" s="27">
        <v>6250</v>
      </c>
      <c r="B433" s="8" t="s">
        <v>498</v>
      </c>
      <c r="C433" s="8">
        <v>207</v>
      </c>
      <c r="D433" s="8">
        <v>909</v>
      </c>
      <c r="E433" s="8">
        <v>164</v>
      </c>
      <c r="F433" s="8">
        <v>75</v>
      </c>
      <c r="G433" s="28">
        <f t="shared" si="13"/>
        <v>5.5426829268292686</v>
      </c>
      <c r="H433" s="33">
        <f t="shared" si="12"/>
        <v>6.9897483690587139E-2</v>
      </c>
    </row>
    <row r="434" spans="1:8">
      <c r="A434" s="27">
        <v>6190</v>
      </c>
      <c r="B434" s="8" t="s">
        <v>499</v>
      </c>
      <c r="C434" s="8">
        <v>248</v>
      </c>
      <c r="D434" s="8">
        <v>142</v>
      </c>
      <c r="E434" s="8">
        <v>22</v>
      </c>
      <c r="F434" s="8">
        <v>94</v>
      </c>
      <c r="G434" s="28">
        <f t="shared" si="13"/>
        <v>6.4545454545454541</v>
      </c>
      <c r="H434" s="33">
        <f t="shared" si="12"/>
        <v>0.57317073170731703</v>
      </c>
    </row>
    <row r="435" spans="1:8">
      <c r="A435" s="27">
        <v>5713</v>
      </c>
      <c r="B435" s="8" t="s">
        <v>500</v>
      </c>
      <c r="C435" s="8">
        <v>278</v>
      </c>
      <c r="D435" s="8">
        <v>743</v>
      </c>
      <c r="E435" s="8">
        <v>180</v>
      </c>
      <c r="F435" s="8">
        <v>0</v>
      </c>
      <c r="G435" s="28">
        <f t="shared" si="13"/>
        <v>4.1277777777777782</v>
      </c>
      <c r="H435" s="33">
        <f t="shared" si="12"/>
        <v>0</v>
      </c>
    </row>
    <row r="436" spans="1:8">
      <c r="A436" s="27">
        <v>1932</v>
      </c>
      <c r="B436" s="8" t="s">
        <v>169</v>
      </c>
      <c r="C436" s="8">
        <v>315</v>
      </c>
      <c r="D436" s="8">
        <v>40</v>
      </c>
      <c r="E436" s="8">
        <v>188</v>
      </c>
      <c r="F436" s="8">
        <v>86</v>
      </c>
      <c r="G436" s="28">
        <f t="shared" si="13"/>
        <v>0.21276595744680851</v>
      </c>
      <c r="H436" s="33">
        <f t="shared" si="12"/>
        <v>0.37719298245614036</v>
      </c>
    </row>
    <row r="437" spans="1:8">
      <c r="A437" s="27">
        <v>6527</v>
      </c>
      <c r="B437" s="8" t="s">
        <v>502</v>
      </c>
      <c r="C437" s="8">
        <v>190</v>
      </c>
      <c r="D437" s="8">
        <v>400</v>
      </c>
      <c r="E437" s="8">
        <v>151</v>
      </c>
      <c r="F437" s="8">
        <v>52</v>
      </c>
      <c r="G437" s="28">
        <f t="shared" si="13"/>
        <v>2.6490066225165565</v>
      </c>
      <c r="H437" s="33">
        <f t="shared" si="12"/>
        <v>9.4373865698729589E-2</v>
      </c>
    </row>
    <row r="438" spans="1:8">
      <c r="A438" s="27">
        <v>9363</v>
      </c>
      <c r="B438" s="8" t="s">
        <v>140</v>
      </c>
      <c r="C438" s="8">
        <v>190</v>
      </c>
      <c r="D438" s="8">
        <v>359</v>
      </c>
      <c r="E438" s="8">
        <v>192</v>
      </c>
      <c r="F438" s="8">
        <v>38</v>
      </c>
      <c r="G438" s="28">
        <f t="shared" si="13"/>
        <v>1.8697916666666667</v>
      </c>
      <c r="H438" s="33">
        <f t="shared" si="12"/>
        <v>6.8965517241379309E-2</v>
      </c>
    </row>
    <row r="439" spans="1:8">
      <c r="A439" s="27">
        <v>5019</v>
      </c>
      <c r="B439" s="8" t="s">
        <v>147</v>
      </c>
      <c r="C439" s="8">
        <v>408</v>
      </c>
      <c r="D439" s="8">
        <v>711</v>
      </c>
      <c r="E439" s="8">
        <v>23</v>
      </c>
      <c r="F439" s="8">
        <v>65</v>
      </c>
      <c r="G439" s="28">
        <f t="shared" si="13"/>
        <v>30.913043478260871</v>
      </c>
      <c r="H439" s="33">
        <f t="shared" si="12"/>
        <v>8.8555858310626706E-2</v>
      </c>
    </row>
    <row r="440" spans="1:8">
      <c r="A440" s="27">
        <v>9258</v>
      </c>
      <c r="B440" s="8" t="s">
        <v>504</v>
      </c>
      <c r="C440" s="8">
        <v>227</v>
      </c>
      <c r="D440" s="8">
        <v>581</v>
      </c>
      <c r="E440" s="8">
        <v>146</v>
      </c>
      <c r="F440" s="8">
        <v>37</v>
      </c>
      <c r="G440" s="28">
        <f t="shared" si="13"/>
        <v>3.9794520547945207</v>
      </c>
      <c r="H440" s="33">
        <f t="shared" si="12"/>
        <v>5.0894085281980743E-2</v>
      </c>
    </row>
    <row r="441" spans="1:8">
      <c r="A441" s="27">
        <v>7512</v>
      </c>
      <c r="B441" s="8" t="s">
        <v>505</v>
      </c>
      <c r="C441" s="8">
        <v>479</v>
      </c>
      <c r="D441" s="8">
        <v>923</v>
      </c>
      <c r="E441" s="8">
        <v>182</v>
      </c>
      <c r="F441" s="8">
        <v>14</v>
      </c>
      <c r="G441" s="28">
        <f t="shared" si="13"/>
        <v>5.0714285714285712</v>
      </c>
      <c r="H441" s="33">
        <f t="shared" si="12"/>
        <v>1.2669683257918552E-2</v>
      </c>
    </row>
    <row r="442" spans="1:8">
      <c r="A442" s="27">
        <v>8195</v>
      </c>
      <c r="B442" s="8" t="s">
        <v>507</v>
      </c>
      <c r="C442" s="8">
        <v>415</v>
      </c>
      <c r="D442" s="8">
        <v>381</v>
      </c>
      <c r="E442" s="8">
        <v>78</v>
      </c>
      <c r="F442" s="8">
        <v>84</v>
      </c>
      <c r="G442" s="28">
        <f t="shared" si="13"/>
        <v>4.884615384615385</v>
      </c>
      <c r="H442" s="33">
        <f t="shared" si="12"/>
        <v>0.18300653594771241</v>
      </c>
    </row>
    <row r="443" spans="1:8">
      <c r="A443" s="27">
        <v>8242</v>
      </c>
      <c r="B443" s="8" t="s">
        <v>257</v>
      </c>
      <c r="C443" s="8">
        <v>204</v>
      </c>
      <c r="D443" s="8">
        <v>706</v>
      </c>
      <c r="E443" s="8">
        <v>153</v>
      </c>
      <c r="F443" s="8">
        <v>94</v>
      </c>
      <c r="G443" s="28">
        <f t="shared" si="13"/>
        <v>4.6143790849673199</v>
      </c>
      <c r="H443" s="33">
        <f t="shared" si="12"/>
        <v>0.10942956926658906</v>
      </c>
    </row>
    <row r="444" spans="1:8">
      <c r="A444" s="27">
        <v>2220</v>
      </c>
      <c r="B444" s="8" t="s">
        <v>448</v>
      </c>
      <c r="C444" s="8">
        <v>205</v>
      </c>
      <c r="D444" s="8">
        <v>792</v>
      </c>
      <c r="E444" s="8">
        <v>103</v>
      </c>
      <c r="F444" s="8">
        <v>24</v>
      </c>
      <c r="G444" s="28">
        <f t="shared" si="13"/>
        <v>7.6893203883495147</v>
      </c>
      <c r="H444" s="33">
        <f t="shared" si="12"/>
        <v>2.6815642458100558E-2</v>
      </c>
    </row>
    <row r="445" spans="1:8">
      <c r="A445" s="27">
        <v>9308</v>
      </c>
      <c r="B445" s="8" t="s">
        <v>88</v>
      </c>
      <c r="C445" s="8">
        <v>64</v>
      </c>
      <c r="D445" s="8">
        <v>221</v>
      </c>
      <c r="E445" s="8">
        <v>4</v>
      </c>
      <c r="F445" s="8">
        <v>88</v>
      </c>
      <c r="G445" s="28">
        <f t="shared" si="13"/>
        <v>55.25</v>
      </c>
      <c r="H445" s="33">
        <f t="shared" si="12"/>
        <v>0.39111111111111113</v>
      </c>
    </row>
    <row r="446" spans="1:8">
      <c r="A446" s="27">
        <v>3437</v>
      </c>
      <c r="B446" s="8" t="s">
        <v>215</v>
      </c>
      <c r="C446" s="8">
        <v>281</v>
      </c>
      <c r="D446" s="8">
        <v>770</v>
      </c>
      <c r="E446" s="8">
        <v>74</v>
      </c>
      <c r="F446" s="8">
        <v>12</v>
      </c>
      <c r="G446" s="28">
        <f t="shared" si="13"/>
        <v>10.405405405405405</v>
      </c>
      <c r="H446" s="33">
        <f t="shared" si="12"/>
        <v>1.4218009478672985E-2</v>
      </c>
    </row>
    <row r="447" spans="1:8">
      <c r="A447" s="27">
        <v>8305</v>
      </c>
      <c r="B447" s="8" t="s">
        <v>140</v>
      </c>
      <c r="C447" s="8">
        <v>78</v>
      </c>
      <c r="D447" s="8">
        <v>914</v>
      </c>
      <c r="E447" s="8">
        <v>22</v>
      </c>
      <c r="F447" s="8">
        <v>14</v>
      </c>
      <c r="G447" s="28">
        <f t="shared" si="13"/>
        <v>41.545454545454547</v>
      </c>
      <c r="H447" s="33">
        <f t="shared" si="12"/>
        <v>1.4957264957264958E-2</v>
      </c>
    </row>
    <row r="448" spans="1:8">
      <c r="A448" s="27">
        <v>6773</v>
      </c>
      <c r="B448" s="8" t="s">
        <v>473</v>
      </c>
      <c r="C448" s="8">
        <v>343</v>
      </c>
      <c r="D448" s="8">
        <v>492</v>
      </c>
      <c r="E448" s="8">
        <v>187</v>
      </c>
      <c r="F448" s="8">
        <v>75</v>
      </c>
      <c r="G448" s="28">
        <f t="shared" si="13"/>
        <v>2.6310160427807485</v>
      </c>
      <c r="H448" s="33">
        <f t="shared" si="12"/>
        <v>0.11045655375552282</v>
      </c>
    </row>
    <row r="449" spans="1:8">
      <c r="A449" s="27">
        <v>3010</v>
      </c>
      <c r="B449" s="8" t="s">
        <v>280</v>
      </c>
      <c r="C449" s="8">
        <v>318</v>
      </c>
      <c r="D449" s="8">
        <v>925</v>
      </c>
      <c r="E449" s="8">
        <v>191</v>
      </c>
      <c r="F449" s="8">
        <v>38</v>
      </c>
      <c r="G449" s="28">
        <f t="shared" si="13"/>
        <v>4.842931937172775</v>
      </c>
      <c r="H449" s="33">
        <f t="shared" si="12"/>
        <v>3.4050179211469536E-2</v>
      </c>
    </row>
    <row r="450" spans="1:8">
      <c r="A450" s="27">
        <v>3622</v>
      </c>
      <c r="B450" s="8" t="s">
        <v>284</v>
      </c>
      <c r="C450" s="8">
        <v>444</v>
      </c>
      <c r="D450" s="8">
        <v>183</v>
      </c>
      <c r="E450" s="8">
        <v>195</v>
      </c>
      <c r="F450" s="8">
        <v>36</v>
      </c>
      <c r="G450" s="28">
        <f t="shared" si="13"/>
        <v>0.93846153846153846</v>
      </c>
      <c r="H450" s="33">
        <f t="shared" ref="H450:H513" si="14">F450/(D450+E450)</f>
        <v>9.5238095238095233E-2</v>
      </c>
    </row>
    <row r="451" spans="1:8">
      <c r="A451" s="27">
        <v>6006</v>
      </c>
      <c r="B451" s="8" t="s">
        <v>106</v>
      </c>
      <c r="C451" s="8">
        <v>171</v>
      </c>
      <c r="D451" s="8">
        <v>889</v>
      </c>
      <c r="E451" s="8">
        <v>54</v>
      </c>
      <c r="F451" s="8">
        <v>1</v>
      </c>
      <c r="G451" s="28">
        <f t="shared" ref="G451:G514" si="15">D451/E451</f>
        <v>16.462962962962962</v>
      </c>
      <c r="H451" s="33">
        <f t="shared" si="14"/>
        <v>1.0604453870625664E-3</v>
      </c>
    </row>
    <row r="452" spans="1:8">
      <c r="A452" s="27">
        <v>1338</v>
      </c>
      <c r="B452" s="8" t="s">
        <v>148</v>
      </c>
      <c r="C452" s="8">
        <v>309</v>
      </c>
      <c r="D452" s="8">
        <v>174</v>
      </c>
      <c r="E452" s="8">
        <v>172</v>
      </c>
      <c r="F452" s="8">
        <v>71</v>
      </c>
      <c r="G452" s="28">
        <f t="shared" si="15"/>
        <v>1.0116279069767442</v>
      </c>
      <c r="H452" s="33">
        <f t="shared" si="14"/>
        <v>0.20520231213872833</v>
      </c>
    </row>
    <row r="453" spans="1:8">
      <c r="A453" s="27">
        <v>6722</v>
      </c>
      <c r="B453" s="8" t="s">
        <v>138</v>
      </c>
      <c r="C453" s="8">
        <v>447</v>
      </c>
      <c r="D453" s="8">
        <v>709</v>
      </c>
      <c r="E453" s="8">
        <v>93</v>
      </c>
      <c r="F453" s="8">
        <v>35</v>
      </c>
      <c r="G453" s="28">
        <f t="shared" si="15"/>
        <v>7.623655913978495</v>
      </c>
      <c r="H453" s="33">
        <f t="shared" si="14"/>
        <v>4.3640897755610975E-2</v>
      </c>
    </row>
    <row r="454" spans="1:8">
      <c r="A454" s="27">
        <v>5871</v>
      </c>
      <c r="B454" s="8" t="s">
        <v>508</v>
      </c>
      <c r="C454" s="8">
        <v>120</v>
      </c>
      <c r="D454" s="8">
        <v>783</v>
      </c>
      <c r="E454" s="8">
        <v>81</v>
      </c>
      <c r="F454" s="8">
        <v>52</v>
      </c>
      <c r="G454" s="28">
        <f t="shared" si="15"/>
        <v>9.6666666666666661</v>
      </c>
      <c r="H454" s="33">
        <f t="shared" si="14"/>
        <v>6.0185185185185182E-2</v>
      </c>
    </row>
    <row r="455" spans="1:8">
      <c r="A455" s="27">
        <v>9290</v>
      </c>
      <c r="B455" s="8" t="s">
        <v>510</v>
      </c>
      <c r="C455" s="8">
        <v>168</v>
      </c>
      <c r="D455" s="8">
        <v>304</v>
      </c>
      <c r="E455" s="8">
        <v>196</v>
      </c>
      <c r="F455" s="8">
        <v>44</v>
      </c>
      <c r="G455" s="28">
        <f t="shared" si="15"/>
        <v>1.5510204081632653</v>
      </c>
      <c r="H455" s="33">
        <f t="shared" si="14"/>
        <v>8.7999999999999995E-2</v>
      </c>
    </row>
    <row r="456" spans="1:8">
      <c r="A456" s="27">
        <v>8567</v>
      </c>
      <c r="B456" s="8" t="s">
        <v>88</v>
      </c>
      <c r="C456" s="8">
        <v>203</v>
      </c>
      <c r="D456" s="8">
        <v>738</v>
      </c>
      <c r="E456" s="8">
        <v>96</v>
      </c>
      <c r="F456" s="8">
        <v>10</v>
      </c>
      <c r="G456" s="28">
        <f t="shared" si="15"/>
        <v>7.6875</v>
      </c>
      <c r="H456" s="33">
        <f t="shared" si="14"/>
        <v>1.1990407673860911E-2</v>
      </c>
    </row>
    <row r="457" spans="1:8">
      <c r="A457" s="27">
        <v>5253</v>
      </c>
      <c r="B457" s="8" t="s">
        <v>502</v>
      </c>
      <c r="C457" s="8">
        <v>436</v>
      </c>
      <c r="D457" s="8">
        <v>228</v>
      </c>
      <c r="E457" s="8">
        <v>110</v>
      </c>
      <c r="F457" s="8">
        <v>78</v>
      </c>
      <c r="G457" s="28">
        <f t="shared" si="15"/>
        <v>2.0727272727272728</v>
      </c>
      <c r="H457" s="33">
        <f t="shared" si="14"/>
        <v>0.23076923076923078</v>
      </c>
    </row>
    <row r="458" spans="1:8">
      <c r="A458" s="27">
        <v>8172</v>
      </c>
      <c r="B458" s="8" t="s">
        <v>511</v>
      </c>
      <c r="C458" s="8">
        <v>195</v>
      </c>
      <c r="D458" s="8">
        <v>997</v>
      </c>
      <c r="E458" s="8">
        <v>107</v>
      </c>
      <c r="F458" s="8">
        <v>78</v>
      </c>
      <c r="G458" s="28">
        <f t="shared" si="15"/>
        <v>9.3177570093457938</v>
      </c>
      <c r="H458" s="33">
        <f t="shared" si="14"/>
        <v>7.0652173913043473E-2</v>
      </c>
    </row>
    <row r="459" spans="1:8">
      <c r="A459" s="27">
        <v>2154</v>
      </c>
      <c r="B459" s="8" t="s">
        <v>96</v>
      </c>
      <c r="C459" s="8">
        <v>454</v>
      </c>
      <c r="D459" s="8">
        <v>722</v>
      </c>
      <c r="E459" s="8">
        <v>98</v>
      </c>
      <c r="F459" s="8">
        <v>36</v>
      </c>
      <c r="G459" s="28">
        <f t="shared" si="15"/>
        <v>7.3673469387755102</v>
      </c>
      <c r="H459" s="33">
        <f t="shared" si="14"/>
        <v>4.3902439024390241E-2</v>
      </c>
    </row>
    <row r="460" spans="1:8">
      <c r="A460" s="27">
        <v>5013</v>
      </c>
      <c r="B460" s="8" t="s">
        <v>513</v>
      </c>
      <c r="C460" s="8">
        <v>187</v>
      </c>
      <c r="D460" s="8">
        <v>316</v>
      </c>
      <c r="E460" s="8">
        <v>10</v>
      </c>
      <c r="F460" s="8">
        <v>8</v>
      </c>
      <c r="G460" s="28">
        <f t="shared" si="15"/>
        <v>31.6</v>
      </c>
      <c r="H460" s="33">
        <f t="shared" si="14"/>
        <v>2.4539877300613498E-2</v>
      </c>
    </row>
    <row r="461" spans="1:8">
      <c r="A461" s="27">
        <v>4211</v>
      </c>
      <c r="B461" s="8" t="s">
        <v>515</v>
      </c>
      <c r="C461" s="8">
        <v>277</v>
      </c>
      <c r="D461" s="8">
        <v>455</v>
      </c>
      <c r="E461" s="8">
        <v>120</v>
      </c>
      <c r="F461" s="8">
        <v>92</v>
      </c>
      <c r="G461" s="28">
        <f t="shared" si="15"/>
        <v>3.7916666666666665</v>
      </c>
      <c r="H461" s="33">
        <f t="shared" si="14"/>
        <v>0.16</v>
      </c>
    </row>
    <row r="462" spans="1:8">
      <c r="A462" s="27">
        <v>4408</v>
      </c>
      <c r="B462" s="8" t="s">
        <v>238</v>
      </c>
      <c r="C462" s="8">
        <v>257</v>
      </c>
      <c r="D462" s="8">
        <v>985</v>
      </c>
      <c r="E462" s="8">
        <v>97</v>
      </c>
      <c r="F462" s="8">
        <v>88</v>
      </c>
      <c r="G462" s="28">
        <f t="shared" si="15"/>
        <v>10.154639175257731</v>
      </c>
      <c r="H462" s="33">
        <f t="shared" si="14"/>
        <v>8.1330868761552683E-2</v>
      </c>
    </row>
    <row r="463" spans="1:8">
      <c r="A463" s="27">
        <v>8473</v>
      </c>
      <c r="B463" s="8" t="s">
        <v>517</v>
      </c>
      <c r="C463" s="8">
        <v>12</v>
      </c>
      <c r="D463" s="8">
        <v>718</v>
      </c>
      <c r="E463" s="8">
        <v>100</v>
      </c>
      <c r="F463" s="8">
        <v>24</v>
      </c>
      <c r="G463" s="28">
        <f t="shared" si="15"/>
        <v>7.18</v>
      </c>
      <c r="H463" s="33">
        <f t="shared" si="14"/>
        <v>2.9339853300733496E-2</v>
      </c>
    </row>
    <row r="464" spans="1:8">
      <c r="A464" s="27">
        <v>7510</v>
      </c>
      <c r="B464" s="8" t="s">
        <v>518</v>
      </c>
      <c r="C464" s="8">
        <v>362</v>
      </c>
      <c r="D464" s="8">
        <v>923</v>
      </c>
      <c r="E464" s="8">
        <v>57</v>
      </c>
      <c r="F464" s="8">
        <v>38</v>
      </c>
      <c r="G464" s="28">
        <f t="shared" si="15"/>
        <v>16.192982456140349</v>
      </c>
      <c r="H464" s="33">
        <f t="shared" si="14"/>
        <v>3.8775510204081633E-2</v>
      </c>
    </row>
    <row r="465" spans="1:8">
      <c r="A465" s="27">
        <v>5376</v>
      </c>
      <c r="B465" s="8" t="s">
        <v>224</v>
      </c>
      <c r="C465" s="8">
        <v>89</v>
      </c>
      <c r="D465" s="8">
        <v>174</v>
      </c>
      <c r="E465" s="8">
        <v>178</v>
      </c>
      <c r="F465" s="8">
        <v>7</v>
      </c>
      <c r="G465" s="28">
        <f t="shared" si="15"/>
        <v>0.97752808988764039</v>
      </c>
      <c r="H465" s="33">
        <f t="shared" si="14"/>
        <v>1.9886363636363636E-2</v>
      </c>
    </row>
    <row r="466" spans="1:8">
      <c r="A466" s="27">
        <v>8005</v>
      </c>
      <c r="B466" s="8" t="s">
        <v>254</v>
      </c>
      <c r="C466" s="8">
        <v>123</v>
      </c>
      <c r="D466" s="8">
        <v>253</v>
      </c>
      <c r="E466" s="8">
        <v>157</v>
      </c>
      <c r="F466" s="8">
        <v>85</v>
      </c>
      <c r="G466" s="28">
        <f t="shared" si="15"/>
        <v>1.6114649681528663</v>
      </c>
      <c r="H466" s="33">
        <f t="shared" si="14"/>
        <v>0.2073170731707317</v>
      </c>
    </row>
    <row r="467" spans="1:8">
      <c r="A467" s="27">
        <v>7439</v>
      </c>
      <c r="B467" s="8" t="s">
        <v>199</v>
      </c>
      <c r="C467" s="8">
        <v>427</v>
      </c>
      <c r="D467" s="8">
        <v>479</v>
      </c>
      <c r="E467" s="8">
        <v>98</v>
      </c>
      <c r="F467" s="8">
        <v>18</v>
      </c>
      <c r="G467" s="28">
        <f t="shared" si="15"/>
        <v>4.8877551020408161</v>
      </c>
      <c r="H467" s="33">
        <f t="shared" si="14"/>
        <v>3.1195840554592721E-2</v>
      </c>
    </row>
    <row r="468" spans="1:8">
      <c r="A468" s="27">
        <v>3699</v>
      </c>
      <c r="B468" s="8" t="s">
        <v>411</v>
      </c>
      <c r="C468" s="8">
        <v>439</v>
      </c>
      <c r="D468" s="8">
        <v>932</v>
      </c>
      <c r="E468" s="8">
        <v>98</v>
      </c>
      <c r="F468" s="8">
        <v>58</v>
      </c>
      <c r="G468" s="28">
        <f t="shared" si="15"/>
        <v>9.5102040816326525</v>
      </c>
      <c r="H468" s="33">
        <f t="shared" si="14"/>
        <v>5.6310679611650483E-2</v>
      </c>
    </row>
    <row r="469" spans="1:8">
      <c r="A469" s="27">
        <v>3162</v>
      </c>
      <c r="B469" s="8" t="s">
        <v>157</v>
      </c>
      <c r="C469" s="8">
        <v>396</v>
      </c>
      <c r="D469" s="8">
        <v>175</v>
      </c>
      <c r="E469" s="8">
        <v>17</v>
      </c>
      <c r="F469" s="8">
        <v>11</v>
      </c>
      <c r="G469" s="28">
        <f t="shared" si="15"/>
        <v>10.294117647058824</v>
      </c>
      <c r="H469" s="33">
        <f t="shared" si="14"/>
        <v>5.7291666666666664E-2</v>
      </c>
    </row>
    <row r="470" spans="1:8">
      <c r="A470" s="27">
        <v>8798</v>
      </c>
      <c r="B470" s="8" t="s">
        <v>521</v>
      </c>
      <c r="C470" s="8">
        <v>453</v>
      </c>
      <c r="D470" s="8">
        <v>591</v>
      </c>
      <c r="E470" s="8">
        <v>169</v>
      </c>
      <c r="F470" s="8">
        <v>72</v>
      </c>
      <c r="G470" s="28">
        <f t="shared" si="15"/>
        <v>3.4970414201183431</v>
      </c>
      <c r="H470" s="33">
        <f t="shared" si="14"/>
        <v>9.4736842105263161E-2</v>
      </c>
    </row>
    <row r="471" spans="1:8">
      <c r="A471" s="27">
        <v>6400</v>
      </c>
      <c r="B471" s="8" t="s">
        <v>177</v>
      </c>
      <c r="C471" s="8">
        <v>356</v>
      </c>
      <c r="D471" s="8">
        <v>776</v>
      </c>
      <c r="E471" s="8">
        <v>40</v>
      </c>
      <c r="F471" s="8">
        <v>56</v>
      </c>
      <c r="G471" s="28">
        <f t="shared" si="15"/>
        <v>19.399999999999999</v>
      </c>
      <c r="H471" s="33">
        <f t="shared" si="14"/>
        <v>6.8627450980392163E-2</v>
      </c>
    </row>
    <row r="472" spans="1:8">
      <c r="A472" s="27">
        <v>9404</v>
      </c>
      <c r="B472" s="8" t="s">
        <v>157</v>
      </c>
      <c r="C472" s="8">
        <v>192</v>
      </c>
      <c r="D472" s="8">
        <v>229</v>
      </c>
      <c r="E472" s="8">
        <v>54</v>
      </c>
      <c r="F472" s="8">
        <v>87</v>
      </c>
      <c r="G472" s="28">
        <f t="shared" si="15"/>
        <v>4.2407407407407405</v>
      </c>
      <c r="H472" s="33">
        <f t="shared" si="14"/>
        <v>0.30742049469964666</v>
      </c>
    </row>
    <row r="473" spans="1:8">
      <c r="A473" s="27">
        <v>8151</v>
      </c>
      <c r="B473" s="8" t="s">
        <v>106</v>
      </c>
      <c r="C473" s="8">
        <v>483</v>
      </c>
      <c r="D473" s="8">
        <v>730</v>
      </c>
      <c r="E473" s="8">
        <v>98</v>
      </c>
      <c r="F473" s="8">
        <v>29</v>
      </c>
      <c r="G473" s="28">
        <f t="shared" si="15"/>
        <v>7.4489795918367347</v>
      </c>
      <c r="H473" s="33">
        <f t="shared" si="14"/>
        <v>3.5024154589371984E-2</v>
      </c>
    </row>
    <row r="474" spans="1:8">
      <c r="A474" s="27">
        <v>7742</v>
      </c>
      <c r="B474" s="8" t="s">
        <v>153</v>
      </c>
      <c r="C474" s="8">
        <v>17</v>
      </c>
      <c r="D474" s="8">
        <v>312</v>
      </c>
      <c r="E474" s="8">
        <v>114</v>
      </c>
      <c r="F474" s="8">
        <v>15</v>
      </c>
      <c r="G474" s="28">
        <f t="shared" si="15"/>
        <v>2.736842105263158</v>
      </c>
      <c r="H474" s="33">
        <f t="shared" si="14"/>
        <v>3.5211267605633804E-2</v>
      </c>
    </row>
    <row r="475" spans="1:8">
      <c r="A475" s="27">
        <v>4553</v>
      </c>
      <c r="B475" s="8" t="s">
        <v>387</v>
      </c>
      <c r="C475" s="8">
        <v>272</v>
      </c>
      <c r="D475" s="8">
        <v>356</v>
      </c>
      <c r="E475" s="8">
        <v>126</v>
      </c>
      <c r="F475" s="8">
        <v>40</v>
      </c>
      <c r="G475" s="28">
        <f t="shared" si="15"/>
        <v>2.8253968253968256</v>
      </c>
      <c r="H475" s="33">
        <f t="shared" si="14"/>
        <v>8.2987551867219914E-2</v>
      </c>
    </row>
    <row r="476" spans="1:8">
      <c r="A476" s="27">
        <v>6919</v>
      </c>
      <c r="B476" s="8" t="s">
        <v>525</v>
      </c>
      <c r="C476" s="8">
        <v>195</v>
      </c>
      <c r="D476" s="8">
        <v>49</v>
      </c>
      <c r="E476" s="8">
        <v>30</v>
      </c>
      <c r="F476" s="8">
        <v>68</v>
      </c>
      <c r="G476" s="28">
        <f t="shared" si="15"/>
        <v>1.6333333333333333</v>
      </c>
      <c r="H476" s="33">
        <f t="shared" si="14"/>
        <v>0.86075949367088611</v>
      </c>
    </row>
    <row r="477" spans="1:8">
      <c r="A477" s="27">
        <v>7168</v>
      </c>
      <c r="B477" s="8" t="s">
        <v>367</v>
      </c>
      <c r="C477" s="8">
        <v>416</v>
      </c>
      <c r="D477" s="8">
        <v>774</v>
      </c>
      <c r="E477" s="8">
        <v>55</v>
      </c>
      <c r="F477" s="8">
        <v>41</v>
      </c>
      <c r="G477" s="28">
        <f t="shared" si="15"/>
        <v>14.072727272727272</v>
      </c>
      <c r="H477" s="33">
        <f t="shared" si="14"/>
        <v>4.9457177322074788E-2</v>
      </c>
    </row>
    <row r="478" spans="1:8">
      <c r="A478" s="27">
        <v>6474</v>
      </c>
      <c r="B478" s="8" t="s">
        <v>272</v>
      </c>
      <c r="C478" s="8">
        <v>459</v>
      </c>
      <c r="D478" s="8">
        <v>961</v>
      </c>
      <c r="E478" s="8">
        <v>173</v>
      </c>
      <c r="F478" s="8">
        <v>92</v>
      </c>
      <c r="G478" s="28">
        <f t="shared" si="15"/>
        <v>5.5549132947976876</v>
      </c>
      <c r="H478" s="33">
        <f t="shared" si="14"/>
        <v>8.1128747795414458E-2</v>
      </c>
    </row>
    <row r="479" spans="1:8">
      <c r="A479" s="27">
        <v>4242</v>
      </c>
      <c r="B479" s="8" t="s">
        <v>41</v>
      </c>
      <c r="C479" s="8">
        <v>168</v>
      </c>
      <c r="D479" s="8">
        <v>539</v>
      </c>
      <c r="E479" s="8">
        <v>48</v>
      </c>
      <c r="F479" s="8">
        <v>82</v>
      </c>
      <c r="G479" s="28">
        <f t="shared" si="15"/>
        <v>11.229166666666666</v>
      </c>
      <c r="H479" s="33">
        <f t="shared" si="14"/>
        <v>0.13969335604770017</v>
      </c>
    </row>
    <row r="480" spans="1:8">
      <c r="A480" s="27">
        <v>3395</v>
      </c>
      <c r="B480" s="8" t="s">
        <v>157</v>
      </c>
      <c r="C480" s="8">
        <v>307</v>
      </c>
      <c r="D480" s="8">
        <v>340</v>
      </c>
      <c r="E480" s="8">
        <v>174</v>
      </c>
      <c r="F480" s="8">
        <v>11</v>
      </c>
      <c r="G480" s="28">
        <f t="shared" si="15"/>
        <v>1.9540229885057472</v>
      </c>
      <c r="H480" s="33">
        <f t="shared" si="14"/>
        <v>2.1400778210116732E-2</v>
      </c>
    </row>
    <row r="481" spans="1:8">
      <c r="A481" s="27">
        <v>8694</v>
      </c>
      <c r="B481" s="8" t="s">
        <v>527</v>
      </c>
      <c r="C481" s="8">
        <v>270</v>
      </c>
      <c r="D481" s="8">
        <v>836</v>
      </c>
      <c r="E481" s="8">
        <v>67</v>
      </c>
      <c r="F481" s="8">
        <v>51</v>
      </c>
      <c r="G481" s="28">
        <f t="shared" si="15"/>
        <v>12.477611940298507</v>
      </c>
      <c r="H481" s="33">
        <f t="shared" si="14"/>
        <v>5.647840531561462E-2</v>
      </c>
    </row>
    <row r="482" spans="1:8">
      <c r="A482" s="27">
        <v>7150</v>
      </c>
      <c r="B482" s="8" t="s">
        <v>138</v>
      </c>
      <c r="C482" s="8">
        <v>358</v>
      </c>
      <c r="D482" s="8">
        <v>746</v>
      </c>
      <c r="E482" s="8">
        <v>200</v>
      </c>
      <c r="F482" s="8">
        <v>35</v>
      </c>
      <c r="G482" s="28">
        <f t="shared" si="15"/>
        <v>3.73</v>
      </c>
      <c r="H482" s="33">
        <f t="shared" si="14"/>
        <v>3.699788583509514E-2</v>
      </c>
    </row>
    <row r="483" spans="1:8">
      <c r="A483" s="27">
        <v>4111</v>
      </c>
      <c r="B483" s="8" t="s">
        <v>359</v>
      </c>
      <c r="C483" s="8">
        <v>301</v>
      </c>
      <c r="D483" s="8">
        <v>939</v>
      </c>
      <c r="E483" s="8">
        <v>21</v>
      </c>
      <c r="F483" s="8">
        <v>83</v>
      </c>
      <c r="G483" s="28">
        <f t="shared" si="15"/>
        <v>44.714285714285715</v>
      </c>
      <c r="H483" s="33">
        <f t="shared" si="14"/>
        <v>8.6458333333333331E-2</v>
      </c>
    </row>
    <row r="484" spans="1:8">
      <c r="A484" s="27">
        <v>3532</v>
      </c>
      <c r="B484" s="8" t="s">
        <v>357</v>
      </c>
      <c r="C484" s="8">
        <v>277</v>
      </c>
      <c r="D484" s="8">
        <v>659</v>
      </c>
      <c r="E484" s="8">
        <v>150</v>
      </c>
      <c r="F484" s="8">
        <v>79</v>
      </c>
      <c r="G484" s="28">
        <f t="shared" si="15"/>
        <v>4.3933333333333335</v>
      </c>
      <c r="H484" s="33">
        <f t="shared" si="14"/>
        <v>9.7651421508034617E-2</v>
      </c>
    </row>
    <row r="485" spans="1:8">
      <c r="A485" s="27">
        <v>5375</v>
      </c>
      <c r="B485" s="8" t="s">
        <v>531</v>
      </c>
      <c r="C485" s="8">
        <v>423</v>
      </c>
      <c r="D485" s="8">
        <v>435</v>
      </c>
      <c r="E485" s="8">
        <v>108</v>
      </c>
      <c r="F485" s="8">
        <v>44</v>
      </c>
      <c r="G485" s="28">
        <f t="shared" si="15"/>
        <v>4.0277777777777777</v>
      </c>
      <c r="H485" s="33">
        <f t="shared" si="14"/>
        <v>8.1031307550644568E-2</v>
      </c>
    </row>
    <row r="486" spans="1:8">
      <c r="A486" s="27">
        <v>8881</v>
      </c>
      <c r="B486" s="8" t="s">
        <v>275</v>
      </c>
      <c r="C486" s="8">
        <v>197</v>
      </c>
      <c r="D486" s="8">
        <v>292</v>
      </c>
      <c r="E486" s="8">
        <v>169</v>
      </c>
      <c r="F486" s="8">
        <v>3</v>
      </c>
      <c r="G486" s="28">
        <f t="shared" si="15"/>
        <v>1.7278106508875739</v>
      </c>
      <c r="H486" s="33">
        <f t="shared" si="14"/>
        <v>6.5075921908893707E-3</v>
      </c>
    </row>
    <row r="487" spans="1:8">
      <c r="A487" s="27">
        <v>1235</v>
      </c>
      <c r="B487" s="8" t="s">
        <v>101</v>
      </c>
      <c r="C487" s="8">
        <v>100</v>
      </c>
      <c r="D487" s="8">
        <v>103</v>
      </c>
      <c r="E487" s="8">
        <v>36</v>
      </c>
      <c r="F487" s="8">
        <v>68</v>
      </c>
      <c r="G487" s="28">
        <f t="shared" si="15"/>
        <v>2.8611111111111112</v>
      </c>
      <c r="H487" s="33">
        <f t="shared" si="14"/>
        <v>0.48920863309352519</v>
      </c>
    </row>
    <row r="488" spans="1:8">
      <c r="A488" s="27">
        <v>2533</v>
      </c>
      <c r="B488" s="8" t="s">
        <v>311</v>
      </c>
      <c r="C488" s="8">
        <v>338</v>
      </c>
      <c r="D488" s="8">
        <v>525</v>
      </c>
      <c r="E488" s="8">
        <v>140</v>
      </c>
      <c r="F488" s="8">
        <v>75</v>
      </c>
      <c r="G488" s="28">
        <f t="shared" si="15"/>
        <v>3.75</v>
      </c>
      <c r="H488" s="33">
        <f t="shared" si="14"/>
        <v>0.11278195488721804</v>
      </c>
    </row>
    <row r="489" spans="1:8">
      <c r="A489" s="27">
        <v>2734</v>
      </c>
      <c r="B489" s="8" t="s">
        <v>288</v>
      </c>
      <c r="C489" s="8">
        <v>130</v>
      </c>
      <c r="D489" s="8">
        <v>428</v>
      </c>
      <c r="E489" s="8">
        <v>119</v>
      </c>
      <c r="F489" s="8">
        <v>53</v>
      </c>
      <c r="G489" s="28">
        <f t="shared" si="15"/>
        <v>3.596638655462185</v>
      </c>
      <c r="H489" s="33">
        <f t="shared" si="14"/>
        <v>9.6892138939670927E-2</v>
      </c>
    </row>
    <row r="490" spans="1:8">
      <c r="A490" s="27">
        <v>4129</v>
      </c>
      <c r="B490" s="8" t="s">
        <v>240</v>
      </c>
      <c r="C490" s="8">
        <v>383</v>
      </c>
      <c r="D490" s="8">
        <v>711</v>
      </c>
      <c r="E490" s="8">
        <v>147</v>
      </c>
      <c r="F490" s="8">
        <v>68</v>
      </c>
      <c r="G490" s="28">
        <f t="shared" si="15"/>
        <v>4.8367346938775508</v>
      </c>
      <c r="H490" s="33">
        <f t="shared" si="14"/>
        <v>7.9254079254079249E-2</v>
      </c>
    </row>
    <row r="491" spans="1:8">
      <c r="A491" s="27">
        <v>3762</v>
      </c>
      <c r="B491" s="8" t="s">
        <v>318</v>
      </c>
      <c r="C491" s="8">
        <v>411</v>
      </c>
      <c r="D491" s="8">
        <v>887</v>
      </c>
      <c r="E491" s="8">
        <v>37</v>
      </c>
      <c r="F491" s="8">
        <v>66</v>
      </c>
      <c r="G491" s="28">
        <f t="shared" si="15"/>
        <v>23.972972972972972</v>
      </c>
      <c r="H491" s="33">
        <f t="shared" si="14"/>
        <v>7.1428571428571425E-2</v>
      </c>
    </row>
    <row r="492" spans="1:8">
      <c r="A492" s="27">
        <v>4341</v>
      </c>
      <c r="B492" s="8" t="s">
        <v>532</v>
      </c>
      <c r="C492" s="8">
        <v>347</v>
      </c>
      <c r="D492" s="8">
        <v>546</v>
      </c>
      <c r="E492" s="8">
        <v>12</v>
      </c>
      <c r="F492" s="8">
        <v>31</v>
      </c>
      <c r="G492" s="28">
        <f t="shared" si="15"/>
        <v>45.5</v>
      </c>
      <c r="H492" s="33">
        <f t="shared" si="14"/>
        <v>5.5555555555555552E-2</v>
      </c>
    </row>
    <row r="493" spans="1:8">
      <c r="A493" s="27">
        <v>6638</v>
      </c>
      <c r="B493" s="8" t="s">
        <v>533</v>
      </c>
      <c r="C493" s="8">
        <v>302</v>
      </c>
      <c r="D493" s="8">
        <v>417</v>
      </c>
      <c r="E493" s="8">
        <v>143</v>
      </c>
      <c r="F493" s="8">
        <v>14</v>
      </c>
      <c r="G493" s="28">
        <f t="shared" si="15"/>
        <v>2.9160839160839163</v>
      </c>
      <c r="H493" s="33">
        <f t="shared" si="14"/>
        <v>2.5000000000000001E-2</v>
      </c>
    </row>
    <row r="494" spans="1:8">
      <c r="A494" s="27">
        <v>5861</v>
      </c>
      <c r="B494" s="8" t="s">
        <v>325</v>
      </c>
      <c r="C494" s="8">
        <v>361</v>
      </c>
      <c r="D494" s="8">
        <v>407</v>
      </c>
      <c r="E494" s="8">
        <v>126</v>
      </c>
      <c r="F494" s="8">
        <v>80</v>
      </c>
      <c r="G494" s="28">
        <f t="shared" si="15"/>
        <v>3.2301587301587302</v>
      </c>
      <c r="H494" s="33">
        <f t="shared" si="14"/>
        <v>0.15009380863039401</v>
      </c>
    </row>
    <row r="495" spans="1:8">
      <c r="A495" s="27">
        <v>8815</v>
      </c>
      <c r="B495" s="8" t="s">
        <v>345</v>
      </c>
      <c r="C495" s="8">
        <v>148</v>
      </c>
      <c r="D495" s="8">
        <v>579</v>
      </c>
      <c r="E495" s="8">
        <v>121</v>
      </c>
      <c r="F495" s="8">
        <v>8</v>
      </c>
      <c r="G495" s="28">
        <f t="shared" si="15"/>
        <v>4.785123966942149</v>
      </c>
      <c r="H495" s="33">
        <f t="shared" si="14"/>
        <v>1.1428571428571429E-2</v>
      </c>
    </row>
    <row r="496" spans="1:8">
      <c r="A496" s="27">
        <v>8793</v>
      </c>
      <c r="B496" s="8" t="s">
        <v>148</v>
      </c>
      <c r="C496" s="8">
        <v>162</v>
      </c>
      <c r="D496" s="8">
        <v>672</v>
      </c>
      <c r="E496" s="8">
        <v>57</v>
      </c>
      <c r="F496" s="8">
        <v>16</v>
      </c>
      <c r="G496" s="28">
        <f t="shared" si="15"/>
        <v>11.789473684210526</v>
      </c>
      <c r="H496" s="33">
        <f t="shared" si="14"/>
        <v>2.194787379972565E-2</v>
      </c>
    </row>
    <row r="497" spans="1:8">
      <c r="A497" s="27">
        <v>3469</v>
      </c>
      <c r="B497" s="8" t="s">
        <v>122</v>
      </c>
      <c r="C497" s="8">
        <v>379</v>
      </c>
      <c r="D497" s="8">
        <v>377</v>
      </c>
      <c r="E497" s="8">
        <v>153</v>
      </c>
      <c r="F497" s="8">
        <v>67</v>
      </c>
      <c r="G497" s="28">
        <f t="shared" si="15"/>
        <v>2.4640522875816995</v>
      </c>
      <c r="H497" s="33">
        <f t="shared" si="14"/>
        <v>0.12641509433962264</v>
      </c>
    </row>
    <row r="498" spans="1:8">
      <c r="A498" s="27">
        <v>3654</v>
      </c>
      <c r="B498" s="8" t="s">
        <v>153</v>
      </c>
      <c r="C498" s="8">
        <v>373</v>
      </c>
      <c r="D498" s="8">
        <v>818</v>
      </c>
      <c r="E498" s="8">
        <v>34</v>
      </c>
      <c r="F498" s="8">
        <v>57</v>
      </c>
      <c r="G498" s="28">
        <f t="shared" si="15"/>
        <v>24.058823529411764</v>
      </c>
      <c r="H498" s="33">
        <f t="shared" si="14"/>
        <v>6.6901408450704219E-2</v>
      </c>
    </row>
    <row r="499" spans="1:8">
      <c r="A499" s="27">
        <v>9555</v>
      </c>
      <c r="B499" s="8" t="s">
        <v>345</v>
      </c>
      <c r="C499" s="8">
        <v>354</v>
      </c>
      <c r="D499" s="8">
        <v>225</v>
      </c>
      <c r="E499" s="8">
        <v>1</v>
      </c>
      <c r="F499" s="8">
        <v>83</v>
      </c>
      <c r="G499" s="28">
        <f t="shared" si="15"/>
        <v>225</v>
      </c>
      <c r="H499" s="33">
        <f t="shared" si="14"/>
        <v>0.36725663716814161</v>
      </c>
    </row>
    <row r="500" spans="1:8">
      <c r="A500" s="27">
        <v>4028</v>
      </c>
      <c r="B500" s="8" t="s">
        <v>228</v>
      </c>
      <c r="C500" s="8">
        <v>76</v>
      </c>
      <c r="D500" s="8">
        <v>324</v>
      </c>
      <c r="E500" s="8">
        <v>113</v>
      </c>
      <c r="F500" s="8">
        <v>87</v>
      </c>
      <c r="G500" s="28">
        <f t="shared" si="15"/>
        <v>2.8672566371681416</v>
      </c>
      <c r="H500" s="33">
        <f t="shared" si="14"/>
        <v>0.19908466819221968</v>
      </c>
    </row>
    <row r="501" spans="1:8">
      <c r="A501" s="27">
        <v>9499</v>
      </c>
      <c r="B501" s="8" t="s">
        <v>190</v>
      </c>
      <c r="C501" s="8">
        <v>316</v>
      </c>
      <c r="D501" s="8">
        <v>793</v>
      </c>
      <c r="E501" s="8">
        <v>141</v>
      </c>
      <c r="F501" s="8">
        <v>28</v>
      </c>
      <c r="G501" s="28">
        <f t="shared" si="15"/>
        <v>5.624113475177305</v>
      </c>
      <c r="H501" s="33">
        <f t="shared" si="14"/>
        <v>2.9978586723768737E-2</v>
      </c>
    </row>
    <row r="502" spans="1:8">
      <c r="A502" s="27">
        <v>8628</v>
      </c>
      <c r="B502" s="8" t="s">
        <v>164</v>
      </c>
      <c r="C502" s="8">
        <v>331</v>
      </c>
      <c r="D502" s="8">
        <v>133</v>
      </c>
      <c r="E502" s="8">
        <v>143</v>
      </c>
      <c r="F502" s="8">
        <v>35</v>
      </c>
      <c r="G502" s="28">
        <f t="shared" si="15"/>
        <v>0.93006993006993011</v>
      </c>
      <c r="H502" s="33">
        <f t="shared" si="14"/>
        <v>0.12681159420289856</v>
      </c>
    </row>
    <row r="503" spans="1:8">
      <c r="A503" s="27">
        <v>9942</v>
      </c>
      <c r="B503" s="8" t="s">
        <v>157</v>
      </c>
      <c r="C503" s="8">
        <v>418</v>
      </c>
      <c r="D503" s="8">
        <v>260</v>
      </c>
      <c r="E503" s="8">
        <v>161</v>
      </c>
      <c r="F503" s="8">
        <v>49</v>
      </c>
      <c r="G503" s="28">
        <f t="shared" si="15"/>
        <v>1.6149068322981366</v>
      </c>
      <c r="H503" s="33">
        <f t="shared" si="14"/>
        <v>0.1163895486935867</v>
      </c>
    </row>
    <row r="504" spans="1:8">
      <c r="A504" s="27">
        <v>4044</v>
      </c>
      <c r="B504" s="8" t="s">
        <v>536</v>
      </c>
      <c r="C504" s="8">
        <v>309</v>
      </c>
      <c r="D504" s="8">
        <v>851</v>
      </c>
      <c r="E504" s="8">
        <v>166</v>
      </c>
      <c r="F504" s="8">
        <v>66</v>
      </c>
      <c r="G504" s="28">
        <f t="shared" si="15"/>
        <v>5.1265060240963853</v>
      </c>
      <c r="H504" s="33">
        <f t="shared" si="14"/>
        <v>6.4896755162241887E-2</v>
      </c>
    </row>
    <row r="505" spans="1:8">
      <c r="A505" s="27">
        <v>8143</v>
      </c>
      <c r="B505" s="8" t="s">
        <v>106</v>
      </c>
      <c r="C505" s="8">
        <v>252</v>
      </c>
      <c r="D505" s="8">
        <v>105</v>
      </c>
      <c r="E505" s="8">
        <v>118</v>
      </c>
      <c r="F505" s="8">
        <v>52</v>
      </c>
      <c r="G505" s="28">
        <f t="shared" si="15"/>
        <v>0.88983050847457623</v>
      </c>
      <c r="H505" s="33">
        <f t="shared" si="14"/>
        <v>0.23318385650224216</v>
      </c>
    </row>
    <row r="506" spans="1:8">
      <c r="A506" s="27">
        <v>3984</v>
      </c>
      <c r="B506" s="8" t="s">
        <v>257</v>
      </c>
      <c r="C506" s="8">
        <v>146</v>
      </c>
      <c r="D506" s="8">
        <v>646</v>
      </c>
      <c r="E506" s="8">
        <v>139</v>
      </c>
      <c r="F506" s="8">
        <v>27</v>
      </c>
      <c r="G506" s="28">
        <f t="shared" si="15"/>
        <v>4.6474820143884896</v>
      </c>
      <c r="H506" s="33">
        <f t="shared" si="14"/>
        <v>3.4394904458598725E-2</v>
      </c>
    </row>
    <row r="507" spans="1:8">
      <c r="A507" s="27">
        <v>9294</v>
      </c>
      <c r="B507" s="8" t="s">
        <v>539</v>
      </c>
      <c r="C507" s="8">
        <v>352</v>
      </c>
      <c r="D507" s="8">
        <v>358</v>
      </c>
      <c r="E507" s="8">
        <v>6</v>
      </c>
      <c r="F507" s="8">
        <v>32</v>
      </c>
      <c r="G507" s="28">
        <f t="shared" si="15"/>
        <v>59.666666666666664</v>
      </c>
      <c r="H507" s="33">
        <f t="shared" si="14"/>
        <v>8.7912087912087919E-2</v>
      </c>
    </row>
    <row r="508" spans="1:8">
      <c r="A508" s="27">
        <v>4769</v>
      </c>
      <c r="B508" s="8" t="s">
        <v>157</v>
      </c>
      <c r="C508" s="8">
        <v>43</v>
      </c>
      <c r="D508" s="8">
        <v>336</v>
      </c>
      <c r="E508" s="8">
        <v>135</v>
      </c>
      <c r="F508" s="8">
        <v>70</v>
      </c>
      <c r="G508" s="28">
        <f t="shared" si="15"/>
        <v>2.4888888888888889</v>
      </c>
      <c r="H508" s="33">
        <f t="shared" si="14"/>
        <v>0.14861995753715498</v>
      </c>
    </row>
    <row r="509" spans="1:8">
      <c r="A509" s="27">
        <v>8864</v>
      </c>
      <c r="B509" s="8" t="s">
        <v>157</v>
      </c>
      <c r="C509" s="8">
        <v>440</v>
      </c>
      <c r="D509" s="8">
        <v>80</v>
      </c>
      <c r="E509" s="8">
        <v>143</v>
      </c>
      <c r="F509" s="8">
        <v>2</v>
      </c>
      <c r="G509" s="28">
        <f t="shared" si="15"/>
        <v>0.55944055944055948</v>
      </c>
      <c r="H509" s="33">
        <f t="shared" si="14"/>
        <v>8.9686098654708519E-3</v>
      </c>
    </row>
    <row r="510" spans="1:8">
      <c r="A510" s="27">
        <v>1857</v>
      </c>
      <c r="B510" s="8" t="s">
        <v>541</v>
      </c>
      <c r="C510" s="8">
        <v>376</v>
      </c>
      <c r="D510" s="8">
        <v>326</v>
      </c>
      <c r="E510" s="8">
        <v>89</v>
      </c>
      <c r="F510" s="8">
        <v>84</v>
      </c>
      <c r="G510" s="28">
        <f t="shared" si="15"/>
        <v>3.6629213483146068</v>
      </c>
      <c r="H510" s="33">
        <f t="shared" si="14"/>
        <v>0.20240963855421687</v>
      </c>
    </row>
    <row r="511" spans="1:8">
      <c r="A511" s="27">
        <v>5566</v>
      </c>
      <c r="B511" s="8" t="s">
        <v>345</v>
      </c>
      <c r="C511" s="8">
        <v>137</v>
      </c>
      <c r="D511" s="8">
        <v>699</v>
      </c>
      <c r="E511" s="8">
        <v>70</v>
      </c>
      <c r="F511" s="8">
        <v>25</v>
      </c>
      <c r="G511" s="28">
        <f t="shared" si="15"/>
        <v>9.9857142857142858</v>
      </c>
      <c r="H511" s="33">
        <f t="shared" si="14"/>
        <v>3.2509752925877766E-2</v>
      </c>
    </row>
    <row r="512" spans="1:8">
      <c r="A512" s="27">
        <v>1373</v>
      </c>
      <c r="B512" s="8" t="s">
        <v>147</v>
      </c>
      <c r="C512" s="8">
        <v>301</v>
      </c>
      <c r="D512" s="8">
        <v>89</v>
      </c>
      <c r="E512" s="8">
        <v>55</v>
      </c>
      <c r="F512" s="8">
        <v>54</v>
      </c>
      <c r="G512" s="28">
        <f t="shared" si="15"/>
        <v>1.6181818181818182</v>
      </c>
      <c r="H512" s="33">
        <f t="shared" si="14"/>
        <v>0.375</v>
      </c>
    </row>
    <row r="513" spans="1:8">
      <c r="A513" s="27">
        <v>6345</v>
      </c>
      <c r="B513" s="8" t="s">
        <v>542</v>
      </c>
      <c r="C513" s="8">
        <v>410</v>
      </c>
      <c r="D513" s="8">
        <v>909</v>
      </c>
      <c r="E513" s="8">
        <v>99</v>
      </c>
      <c r="F513" s="8">
        <v>22</v>
      </c>
      <c r="G513" s="28">
        <f t="shared" si="15"/>
        <v>9.1818181818181817</v>
      </c>
      <c r="H513" s="33">
        <f t="shared" si="14"/>
        <v>2.1825396825396824E-2</v>
      </c>
    </row>
    <row r="514" spans="1:8">
      <c r="A514" s="27">
        <v>3234</v>
      </c>
      <c r="B514" s="8" t="s">
        <v>143</v>
      </c>
      <c r="C514" s="8">
        <v>298</v>
      </c>
      <c r="D514" s="8">
        <v>918</v>
      </c>
      <c r="E514" s="8">
        <v>153</v>
      </c>
      <c r="F514" s="8">
        <v>52</v>
      </c>
      <c r="G514" s="28">
        <f t="shared" si="15"/>
        <v>6</v>
      </c>
      <c r="H514" s="33">
        <f t="shared" ref="H514:H577" si="16">F514/(D514+E514)</f>
        <v>4.8552754435107377E-2</v>
      </c>
    </row>
    <row r="515" spans="1:8">
      <c r="A515" s="27">
        <v>6998</v>
      </c>
      <c r="B515" s="8" t="s">
        <v>126</v>
      </c>
      <c r="C515" s="8">
        <v>54</v>
      </c>
      <c r="D515" s="8">
        <v>285</v>
      </c>
      <c r="E515" s="8">
        <v>66</v>
      </c>
      <c r="F515" s="8">
        <v>43</v>
      </c>
      <c r="G515" s="28">
        <f t="shared" ref="G515:G578" si="17">D515/E515</f>
        <v>4.3181818181818183</v>
      </c>
      <c r="H515" s="33">
        <f t="shared" si="16"/>
        <v>0.12250712250712251</v>
      </c>
    </row>
    <row r="516" spans="1:8">
      <c r="A516" s="27">
        <v>5809</v>
      </c>
      <c r="B516" s="8" t="s">
        <v>238</v>
      </c>
      <c r="C516" s="8">
        <v>486</v>
      </c>
      <c r="D516" s="8">
        <v>463</v>
      </c>
      <c r="E516" s="8">
        <v>171</v>
      </c>
      <c r="F516" s="8">
        <v>10</v>
      </c>
      <c r="G516" s="28">
        <f t="shared" si="17"/>
        <v>2.7076023391812867</v>
      </c>
      <c r="H516" s="33">
        <f t="shared" si="16"/>
        <v>1.5772870662460567E-2</v>
      </c>
    </row>
    <row r="517" spans="1:8">
      <c r="A517" s="27">
        <v>6522</v>
      </c>
      <c r="B517" s="8" t="s">
        <v>544</v>
      </c>
      <c r="C517" s="8">
        <v>38</v>
      </c>
      <c r="D517" s="8">
        <v>875</v>
      </c>
      <c r="E517" s="8">
        <v>115</v>
      </c>
      <c r="F517" s="8">
        <v>75</v>
      </c>
      <c r="G517" s="28">
        <f t="shared" si="17"/>
        <v>7.6086956521739131</v>
      </c>
      <c r="H517" s="33">
        <f t="shared" si="16"/>
        <v>7.575757575757576E-2</v>
      </c>
    </row>
    <row r="518" spans="1:8">
      <c r="A518" s="27">
        <v>3892</v>
      </c>
      <c r="B518" s="8" t="s">
        <v>280</v>
      </c>
      <c r="C518" s="8">
        <v>442</v>
      </c>
      <c r="D518" s="8">
        <v>875</v>
      </c>
      <c r="E518" s="8">
        <v>70</v>
      </c>
      <c r="F518" s="8">
        <v>96</v>
      </c>
      <c r="G518" s="28">
        <f t="shared" si="17"/>
        <v>12.5</v>
      </c>
      <c r="H518" s="33">
        <f t="shared" si="16"/>
        <v>0.10158730158730159</v>
      </c>
    </row>
    <row r="519" spans="1:8">
      <c r="A519" s="27">
        <v>4427</v>
      </c>
      <c r="B519" s="8" t="s">
        <v>545</v>
      </c>
      <c r="C519" s="8">
        <v>474</v>
      </c>
      <c r="D519" s="8">
        <v>341</v>
      </c>
      <c r="E519" s="8">
        <v>165</v>
      </c>
      <c r="F519" s="8">
        <v>30</v>
      </c>
      <c r="G519" s="28">
        <f t="shared" si="17"/>
        <v>2.0666666666666669</v>
      </c>
      <c r="H519" s="33">
        <f t="shared" si="16"/>
        <v>5.9288537549407112E-2</v>
      </c>
    </row>
    <row r="520" spans="1:8">
      <c r="A520" s="27">
        <v>8145</v>
      </c>
      <c r="B520" s="8" t="s">
        <v>546</v>
      </c>
      <c r="C520" s="8">
        <v>96</v>
      </c>
      <c r="D520" s="8">
        <v>273</v>
      </c>
      <c r="E520" s="8">
        <v>79</v>
      </c>
      <c r="F520" s="8">
        <v>60</v>
      </c>
      <c r="G520" s="28">
        <f t="shared" si="17"/>
        <v>3.4556962025316458</v>
      </c>
      <c r="H520" s="33">
        <f t="shared" si="16"/>
        <v>0.17045454545454544</v>
      </c>
    </row>
    <row r="521" spans="1:8">
      <c r="A521" s="27">
        <v>1150</v>
      </c>
      <c r="B521" s="8" t="s">
        <v>224</v>
      </c>
      <c r="C521" s="8">
        <v>160</v>
      </c>
      <c r="D521" s="8">
        <v>352</v>
      </c>
      <c r="E521" s="8">
        <v>31</v>
      </c>
      <c r="F521" s="8">
        <v>37</v>
      </c>
      <c r="G521" s="28">
        <f t="shared" si="17"/>
        <v>11.35483870967742</v>
      </c>
      <c r="H521" s="33">
        <f t="shared" si="16"/>
        <v>9.6605744125326368E-2</v>
      </c>
    </row>
    <row r="522" spans="1:8">
      <c r="A522" s="27">
        <v>7366</v>
      </c>
      <c r="B522" s="8" t="s">
        <v>547</v>
      </c>
      <c r="C522" s="8">
        <v>451</v>
      </c>
      <c r="D522" s="8">
        <v>588</v>
      </c>
      <c r="E522" s="8">
        <v>147</v>
      </c>
      <c r="F522" s="8">
        <v>75</v>
      </c>
      <c r="G522" s="28">
        <f t="shared" si="17"/>
        <v>4</v>
      </c>
      <c r="H522" s="33">
        <f t="shared" si="16"/>
        <v>0.10204081632653061</v>
      </c>
    </row>
    <row r="523" spans="1:8">
      <c r="A523" s="27">
        <v>3004</v>
      </c>
      <c r="B523" s="8" t="s">
        <v>304</v>
      </c>
      <c r="C523" s="8">
        <v>184</v>
      </c>
      <c r="D523" s="8">
        <v>233</v>
      </c>
      <c r="E523" s="8">
        <v>15</v>
      </c>
      <c r="F523" s="8">
        <v>28</v>
      </c>
      <c r="G523" s="28">
        <f t="shared" si="17"/>
        <v>15.533333333333333</v>
      </c>
      <c r="H523" s="33">
        <f t="shared" si="16"/>
        <v>0.11290322580645161</v>
      </c>
    </row>
    <row r="524" spans="1:8">
      <c r="A524" s="27">
        <v>9934</v>
      </c>
      <c r="B524" s="8" t="s">
        <v>549</v>
      </c>
      <c r="C524" s="8">
        <v>50</v>
      </c>
      <c r="D524" s="8">
        <v>159</v>
      </c>
      <c r="E524" s="8">
        <v>131</v>
      </c>
      <c r="F524" s="8">
        <v>49</v>
      </c>
      <c r="G524" s="28">
        <f t="shared" si="17"/>
        <v>1.2137404580152671</v>
      </c>
      <c r="H524" s="33">
        <f t="shared" si="16"/>
        <v>0.16896551724137931</v>
      </c>
    </row>
    <row r="525" spans="1:8">
      <c r="A525" s="27">
        <v>1228</v>
      </c>
      <c r="B525" s="8" t="s">
        <v>263</v>
      </c>
      <c r="C525" s="8">
        <v>299</v>
      </c>
      <c r="D525" s="8">
        <v>488</v>
      </c>
      <c r="E525" s="8">
        <v>135</v>
      </c>
      <c r="F525" s="8">
        <v>100</v>
      </c>
      <c r="G525" s="28">
        <f t="shared" si="17"/>
        <v>3.6148148148148147</v>
      </c>
      <c r="H525" s="33">
        <f t="shared" si="16"/>
        <v>0.16051364365971107</v>
      </c>
    </row>
    <row r="526" spans="1:8">
      <c r="A526" s="27">
        <v>5806</v>
      </c>
      <c r="B526" s="8" t="s">
        <v>551</v>
      </c>
      <c r="C526" s="8">
        <v>495</v>
      </c>
      <c r="D526" s="8">
        <v>522</v>
      </c>
      <c r="E526" s="8">
        <v>32</v>
      </c>
      <c r="F526" s="8">
        <v>41</v>
      </c>
      <c r="G526" s="28">
        <f t="shared" si="17"/>
        <v>16.3125</v>
      </c>
      <c r="H526" s="33">
        <f t="shared" si="16"/>
        <v>7.4007220216606495E-2</v>
      </c>
    </row>
    <row r="527" spans="1:8">
      <c r="A527" s="27">
        <v>7538</v>
      </c>
      <c r="B527" s="8" t="s">
        <v>232</v>
      </c>
      <c r="C527" s="8">
        <v>132</v>
      </c>
      <c r="D527" s="8">
        <v>30</v>
      </c>
      <c r="E527" s="8">
        <v>177</v>
      </c>
      <c r="F527" s="8">
        <v>31</v>
      </c>
      <c r="G527" s="28">
        <f t="shared" si="17"/>
        <v>0.16949152542372881</v>
      </c>
      <c r="H527" s="33">
        <f t="shared" si="16"/>
        <v>0.14975845410628019</v>
      </c>
    </row>
    <row r="528" spans="1:8">
      <c r="A528" s="27">
        <v>1035</v>
      </c>
      <c r="B528" s="8" t="s">
        <v>201</v>
      </c>
      <c r="C528" s="8">
        <v>395</v>
      </c>
      <c r="D528" s="8">
        <v>139</v>
      </c>
      <c r="E528" s="8">
        <v>29</v>
      </c>
      <c r="F528" s="8">
        <v>44</v>
      </c>
      <c r="G528" s="28">
        <f t="shared" si="17"/>
        <v>4.7931034482758621</v>
      </c>
      <c r="H528" s="33">
        <f t="shared" si="16"/>
        <v>0.26190476190476192</v>
      </c>
    </row>
    <row r="529" spans="1:8">
      <c r="A529" s="27">
        <v>8399</v>
      </c>
      <c r="B529" s="8" t="s">
        <v>382</v>
      </c>
      <c r="C529" s="8">
        <v>34</v>
      </c>
      <c r="D529" s="8">
        <v>393</v>
      </c>
      <c r="E529" s="8">
        <v>130</v>
      </c>
      <c r="F529" s="8">
        <v>10</v>
      </c>
      <c r="G529" s="28">
        <f t="shared" si="17"/>
        <v>3.023076923076923</v>
      </c>
      <c r="H529" s="33">
        <f t="shared" si="16"/>
        <v>1.9120458891013385E-2</v>
      </c>
    </row>
    <row r="530" spans="1:8">
      <c r="A530" s="27">
        <v>1912</v>
      </c>
      <c r="B530" s="8" t="s">
        <v>281</v>
      </c>
      <c r="C530" s="8">
        <v>348</v>
      </c>
      <c r="D530" s="8">
        <v>792</v>
      </c>
      <c r="E530" s="8">
        <v>67</v>
      </c>
      <c r="F530" s="8">
        <v>60</v>
      </c>
      <c r="G530" s="28">
        <f t="shared" si="17"/>
        <v>11.82089552238806</v>
      </c>
      <c r="H530" s="33">
        <f t="shared" si="16"/>
        <v>6.9848661233993012E-2</v>
      </c>
    </row>
    <row r="531" spans="1:8">
      <c r="A531" s="27">
        <v>6604</v>
      </c>
      <c r="B531" s="8" t="s">
        <v>148</v>
      </c>
      <c r="C531" s="8">
        <v>247</v>
      </c>
      <c r="D531" s="8">
        <v>186</v>
      </c>
      <c r="E531" s="8">
        <v>158</v>
      </c>
      <c r="F531" s="8">
        <v>19</v>
      </c>
      <c r="G531" s="28">
        <f t="shared" si="17"/>
        <v>1.1772151898734178</v>
      </c>
      <c r="H531" s="33">
        <f t="shared" si="16"/>
        <v>5.5232558139534885E-2</v>
      </c>
    </row>
    <row r="532" spans="1:8">
      <c r="A532" s="27">
        <v>8952</v>
      </c>
      <c r="B532" s="8" t="s">
        <v>183</v>
      </c>
      <c r="C532" s="8">
        <v>216</v>
      </c>
      <c r="D532" s="8">
        <v>872</v>
      </c>
      <c r="E532" s="8">
        <v>150</v>
      </c>
      <c r="F532" s="8">
        <v>10</v>
      </c>
      <c r="G532" s="28">
        <f t="shared" si="17"/>
        <v>5.8133333333333335</v>
      </c>
      <c r="H532" s="33">
        <f t="shared" si="16"/>
        <v>9.7847358121330719E-3</v>
      </c>
    </row>
    <row r="533" spans="1:8">
      <c r="A533" s="27">
        <v>2549</v>
      </c>
      <c r="B533" s="8" t="s">
        <v>152</v>
      </c>
      <c r="C533" s="8">
        <v>299</v>
      </c>
      <c r="D533" s="8">
        <v>77</v>
      </c>
      <c r="E533" s="8">
        <v>191</v>
      </c>
      <c r="F533" s="8">
        <v>85</v>
      </c>
      <c r="G533" s="28">
        <f t="shared" si="17"/>
        <v>0.40314136125654448</v>
      </c>
      <c r="H533" s="33">
        <f t="shared" si="16"/>
        <v>0.31716417910447764</v>
      </c>
    </row>
    <row r="534" spans="1:8">
      <c r="A534" s="27">
        <v>8954</v>
      </c>
      <c r="B534" s="8" t="s">
        <v>238</v>
      </c>
      <c r="C534" s="8">
        <v>315</v>
      </c>
      <c r="D534" s="8">
        <v>829</v>
      </c>
      <c r="E534" s="8">
        <v>178</v>
      </c>
      <c r="F534" s="8">
        <v>53</v>
      </c>
      <c r="G534" s="28">
        <f t="shared" si="17"/>
        <v>4.6573033707865168</v>
      </c>
      <c r="H534" s="33">
        <f t="shared" si="16"/>
        <v>5.2631578947368418E-2</v>
      </c>
    </row>
    <row r="535" spans="1:8">
      <c r="A535" s="27">
        <v>1922</v>
      </c>
      <c r="B535" s="8" t="s">
        <v>104</v>
      </c>
      <c r="C535" s="8">
        <v>35</v>
      </c>
      <c r="D535" s="8">
        <v>821</v>
      </c>
      <c r="E535" s="8">
        <v>7</v>
      </c>
      <c r="F535" s="8">
        <v>3</v>
      </c>
      <c r="G535" s="28">
        <f t="shared" si="17"/>
        <v>117.28571428571429</v>
      </c>
      <c r="H535" s="33">
        <f t="shared" si="16"/>
        <v>3.6231884057971015E-3</v>
      </c>
    </row>
    <row r="536" spans="1:8">
      <c r="A536" s="27">
        <v>9861</v>
      </c>
      <c r="B536" s="8" t="s">
        <v>140</v>
      </c>
      <c r="C536" s="8">
        <v>359</v>
      </c>
      <c r="D536" s="8">
        <v>265</v>
      </c>
      <c r="E536" s="8">
        <v>34</v>
      </c>
      <c r="F536" s="8">
        <v>64</v>
      </c>
      <c r="G536" s="28">
        <f t="shared" si="17"/>
        <v>7.7941176470588234</v>
      </c>
      <c r="H536" s="33">
        <f t="shared" si="16"/>
        <v>0.21404682274247491</v>
      </c>
    </row>
    <row r="537" spans="1:8">
      <c r="A537" s="27">
        <v>4383</v>
      </c>
      <c r="B537" s="8" t="s">
        <v>553</v>
      </c>
      <c r="C537" s="8">
        <v>361</v>
      </c>
      <c r="D537" s="8">
        <v>416</v>
      </c>
      <c r="E537" s="8">
        <v>143</v>
      </c>
      <c r="F537" s="8">
        <v>99</v>
      </c>
      <c r="G537" s="28">
        <f t="shared" si="17"/>
        <v>2.9090909090909092</v>
      </c>
      <c r="H537" s="33">
        <f t="shared" si="16"/>
        <v>0.17710196779964221</v>
      </c>
    </row>
    <row r="538" spans="1:8">
      <c r="A538" s="27">
        <v>4328</v>
      </c>
      <c r="B538" s="8" t="s">
        <v>120</v>
      </c>
      <c r="C538" s="8">
        <v>273</v>
      </c>
      <c r="D538" s="8">
        <v>253</v>
      </c>
      <c r="E538" s="8">
        <v>70</v>
      </c>
      <c r="F538" s="8">
        <v>42</v>
      </c>
      <c r="G538" s="28">
        <f t="shared" si="17"/>
        <v>3.6142857142857143</v>
      </c>
      <c r="H538" s="33">
        <f t="shared" si="16"/>
        <v>0.13003095975232198</v>
      </c>
    </row>
    <row r="539" spans="1:8">
      <c r="A539" s="27">
        <v>4622</v>
      </c>
      <c r="B539" s="8" t="s">
        <v>191</v>
      </c>
      <c r="C539" s="8">
        <v>47</v>
      </c>
      <c r="D539" s="8">
        <v>770</v>
      </c>
      <c r="E539" s="8">
        <v>2</v>
      </c>
      <c r="F539" s="8">
        <v>46</v>
      </c>
      <c r="G539" s="28">
        <f t="shared" si="17"/>
        <v>385</v>
      </c>
      <c r="H539" s="33">
        <f t="shared" si="16"/>
        <v>5.9585492227979271E-2</v>
      </c>
    </row>
    <row r="540" spans="1:8">
      <c r="A540" s="27">
        <v>7828</v>
      </c>
      <c r="B540" s="8" t="s">
        <v>555</v>
      </c>
      <c r="C540" s="8">
        <v>477</v>
      </c>
      <c r="D540" s="8">
        <v>969</v>
      </c>
      <c r="E540" s="8">
        <v>12</v>
      </c>
      <c r="F540" s="8">
        <v>37</v>
      </c>
      <c r="G540" s="28">
        <f t="shared" si="17"/>
        <v>80.75</v>
      </c>
      <c r="H540" s="33">
        <f t="shared" si="16"/>
        <v>3.7716615698267071E-2</v>
      </c>
    </row>
    <row r="541" spans="1:8">
      <c r="A541" s="27">
        <v>1393</v>
      </c>
      <c r="B541" s="8" t="s">
        <v>254</v>
      </c>
      <c r="C541" s="8">
        <v>418</v>
      </c>
      <c r="D541" s="8">
        <v>701</v>
      </c>
      <c r="E541" s="8">
        <v>125</v>
      </c>
      <c r="F541" s="8">
        <v>68</v>
      </c>
      <c r="G541" s="28">
        <f t="shared" si="17"/>
        <v>5.6079999999999997</v>
      </c>
      <c r="H541" s="33">
        <f t="shared" si="16"/>
        <v>8.2324455205811137E-2</v>
      </c>
    </row>
    <row r="542" spans="1:8">
      <c r="A542" s="27">
        <v>9239</v>
      </c>
      <c r="B542" s="8" t="s">
        <v>257</v>
      </c>
      <c r="C542" s="8">
        <v>274</v>
      </c>
      <c r="D542" s="8">
        <v>732</v>
      </c>
      <c r="E542" s="8">
        <v>105</v>
      </c>
      <c r="F542" s="8">
        <v>36</v>
      </c>
      <c r="G542" s="28">
        <f t="shared" si="17"/>
        <v>6.9714285714285715</v>
      </c>
      <c r="H542" s="33">
        <f t="shared" si="16"/>
        <v>4.3010752688172046E-2</v>
      </c>
    </row>
    <row r="543" spans="1:8">
      <c r="A543" s="27">
        <v>1636</v>
      </c>
      <c r="B543" s="8" t="s">
        <v>147</v>
      </c>
      <c r="C543" s="8">
        <v>102</v>
      </c>
      <c r="D543" s="8">
        <v>989</v>
      </c>
      <c r="E543" s="8">
        <v>44</v>
      </c>
      <c r="F543" s="8">
        <v>63</v>
      </c>
      <c r="G543" s="28">
        <f t="shared" si="17"/>
        <v>22.477272727272727</v>
      </c>
      <c r="H543" s="33">
        <f t="shared" si="16"/>
        <v>6.0987415295256538E-2</v>
      </c>
    </row>
    <row r="544" spans="1:8">
      <c r="A544" s="27">
        <v>4401</v>
      </c>
      <c r="B544" s="8" t="s">
        <v>558</v>
      </c>
      <c r="C544" s="8">
        <v>164</v>
      </c>
      <c r="D544" s="8">
        <v>89</v>
      </c>
      <c r="E544" s="8">
        <v>32</v>
      </c>
      <c r="F544" s="8">
        <v>83</v>
      </c>
      <c r="G544" s="28">
        <f t="shared" si="17"/>
        <v>2.78125</v>
      </c>
      <c r="H544" s="33">
        <f t="shared" si="16"/>
        <v>0.68595041322314054</v>
      </c>
    </row>
    <row r="545" spans="1:8">
      <c r="A545" s="27">
        <v>7135</v>
      </c>
      <c r="B545" s="8" t="s">
        <v>560</v>
      </c>
      <c r="C545" s="8">
        <v>478</v>
      </c>
      <c r="D545" s="8">
        <v>578</v>
      </c>
      <c r="E545" s="8">
        <v>117</v>
      </c>
      <c r="F545" s="8">
        <v>27</v>
      </c>
      <c r="G545" s="28">
        <f t="shared" si="17"/>
        <v>4.9401709401709404</v>
      </c>
      <c r="H545" s="33">
        <f t="shared" si="16"/>
        <v>3.884892086330935E-2</v>
      </c>
    </row>
    <row r="546" spans="1:8">
      <c r="A546" s="27">
        <v>8923</v>
      </c>
      <c r="B546" s="8" t="s">
        <v>184</v>
      </c>
      <c r="C546" s="8">
        <v>100</v>
      </c>
      <c r="D546" s="8">
        <v>417</v>
      </c>
      <c r="E546" s="8">
        <v>87</v>
      </c>
      <c r="F546" s="8">
        <v>14</v>
      </c>
      <c r="G546" s="28">
        <f t="shared" si="17"/>
        <v>4.7931034482758621</v>
      </c>
      <c r="H546" s="33">
        <f t="shared" si="16"/>
        <v>2.7777777777777776E-2</v>
      </c>
    </row>
    <row r="547" spans="1:8">
      <c r="A547" s="27">
        <v>9748</v>
      </c>
      <c r="B547" s="8" t="s">
        <v>323</v>
      </c>
      <c r="C547" s="8">
        <v>264</v>
      </c>
      <c r="D547" s="8">
        <v>474</v>
      </c>
      <c r="E547" s="8">
        <v>10</v>
      </c>
      <c r="F547" s="8">
        <v>18</v>
      </c>
      <c r="G547" s="28">
        <f t="shared" si="17"/>
        <v>47.4</v>
      </c>
      <c r="H547" s="33">
        <f t="shared" si="16"/>
        <v>3.71900826446281E-2</v>
      </c>
    </row>
    <row r="548" spans="1:8">
      <c r="A548" s="27">
        <v>7046</v>
      </c>
      <c r="B548" s="8" t="s">
        <v>344</v>
      </c>
      <c r="C548" s="8">
        <v>208</v>
      </c>
      <c r="D548" s="8">
        <v>512</v>
      </c>
      <c r="E548" s="8">
        <v>176</v>
      </c>
      <c r="F548" s="8">
        <v>36</v>
      </c>
      <c r="G548" s="28">
        <f t="shared" si="17"/>
        <v>2.9090909090909092</v>
      </c>
      <c r="H548" s="33">
        <f t="shared" si="16"/>
        <v>5.232558139534884E-2</v>
      </c>
    </row>
    <row r="549" spans="1:8">
      <c r="A549" s="27">
        <v>9688</v>
      </c>
      <c r="B549" s="8" t="s">
        <v>562</v>
      </c>
      <c r="C549" s="8">
        <v>56</v>
      </c>
      <c r="D549" s="8">
        <v>280</v>
      </c>
      <c r="E549" s="8">
        <v>67</v>
      </c>
      <c r="F549" s="8">
        <v>21</v>
      </c>
      <c r="G549" s="28">
        <f t="shared" si="17"/>
        <v>4.1791044776119399</v>
      </c>
      <c r="H549" s="33">
        <f t="shared" si="16"/>
        <v>6.0518731988472622E-2</v>
      </c>
    </row>
    <row r="550" spans="1:8">
      <c r="A550" s="27">
        <v>6720</v>
      </c>
      <c r="B550" s="8" t="s">
        <v>157</v>
      </c>
      <c r="C550" s="8">
        <v>207</v>
      </c>
      <c r="D550" s="8">
        <v>494</v>
      </c>
      <c r="E550" s="8">
        <v>28</v>
      </c>
      <c r="F550" s="8">
        <v>99</v>
      </c>
      <c r="G550" s="28">
        <f t="shared" si="17"/>
        <v>17.642857142857142</v>
      </c>
      <c r="H550" s="33">
        <f t="shared" si="16"/>
        <v>0.18965517241379309</v>
      </c>
    </row>
    <row r="551" spans="1:8">
      <c r="A551" s="27">
        <v>2766</v>
      </c>
      <c r="B551" s="8" t="s">
        <v>563</v>
      </c>
      <c r="C551" s="8">
        <v>187</v>
      </c>
      <c r="D551" s="8">
        <v>697</v>
      </c>
      <c r="E551" s="8">
        <v>5</v>
      </c>
      <c r="F551" s="8">
        <v>29</v>
      </c>
      <c r="G551" s="28">
        <f t="shared" si="17"/>
        <v>139.4</v>
      </c>
      <c r="H551" s="33">
        <f t="shared" si="16"/>
        <v>4.1310541310541307E-2</v>
      </c>
    </row>
    <row r="552" spans="1:8">
      <c r="A552" s="27">
        <v>3847</v>
      </c>
      <c r="B552" s="8" t="s">
        <v>114</v>
      </c>
      <c r="C552" s="8">
        <v>62</v>
      </c>
      <c r="D552" s="8">
        <v>879</v>
      </c>
      <c r="E552" s="8">
        <v>128</v>
      </c>
      <c r="F552" s="8">
        <v>56</v>
      </c>
      <c r="G552" s="28">
        <f t="shared" si="17"/>
        <v>6.8671875</v>
      </c>
      <c r="H552" s="33">
        <f t="shared" si="16"/>
        <v>5.5610724925521347E-2</v>
      </c>
    </row>
    <row r="553" spans="1:8">
      <c r="A553" s="27">
        <v>8554</v>
      </c>
      <c r="B553" s="8" t="s">
        <v>153</v>
      </c>
      <c r="C553" s="8">
        <v>182</v>
      </c>
      <c r="D553" s="8">
        <v>442</v>
      </c>
      <c r="E553" s="8">
        <v>87</v>
      </c>
      <c r="F553" s="8">
        <v>62</v>
      </c>
      <c r="G553" s="28">
        <f t="shared" si="17"/>
        <v>5.0804597701149428</v>
      </c>
      <c r="H553" s="33">
        <f t="shared" si="16"/>
        <v>0.11720226843100189</v>
      </c>
    </row>
    <row r="554" spans="1:8">
      <c r="A554" s="27">
        <v>6569</v>
      </c>
      <c r="B554" s="8" t="s">
        <v>34</v>
      </c>
      <c r="C554" s="8">
        <v>468</v>
      </c>
      <c r="D554" s="8">
        <v>514</v>
      </c>
      <c r="E554" s="8">
        <v>46</v>
      </c>
      <c r="F554" s="8">
        <v>74</v>
      </c>
      <c r="G554" s="28">
        <f t="shared" si="17"/>
        <v>11.173913043478262</v>
      </c>
      <c r="H554" s="33">
        <f t="shared" si="16"/>
        <v>0.13214285714285715</v>
      </c>
    </row>
    <row r="555" spans="1:8">
      <c r="A555" s="27">
        <v>6391</v>
      </c>
      <c r="B555" s="8" t="s">
        <v>257</v>
      </c>
      <c r="C555" s="8">
        <v>389</v>
      </c>
      <c r="D555" s="8">
        <v>120</v>
      </c>
      <c r="E555" s="8">
        <v>191</v>
      </c>
      <c r="F555" s="8">
        <v>75</v>
      </c>
      <c r="G555" s="28">
        <f t="shared" si="17"/>
        <v>0.62827225130890052</v>
      </c>
      <c r="H555" s="33">
        <f t="shared" si="16"/>
        <v>0.24115755627009647</v>
      </c>
    </row>
    <row r="556" spans="1:8">
      <c r="A556" s="27">
        <v>4883</v>
      </c>
      <c r="B556" s="8" t="s">
        <v>564</v>
      </c>
      <c r="C556" s="8">
        <v>155</v>
      </c>
      <c r="D556" s="8">
        <v>573</v>
      </c>
      <c r="E556" s="8">
        <v>190</v>
      </c>
      <c r="F556" s="8">
        <v>86</v>
      </c>
      <c r="G556" s="28">
        <f t="shared" si="17"/>
        <v>3.0157894736842104</v>
      </c>
      <c r="H556" s="33">
        <f t="shared" si="16"/>
        <v>0.1127129750982962</v>
      </c>
    </row>
    <row r="557" spans="1:8">
      <c r="A557" s="27">
        <v>4530</v>
      </c>
      <c r="B557" s="8" t="s">
        <v>226</v>
      </c>
      <c r="C557" s="8">
        <v>331</v>
      </c>
      <c r="D557" s="8">
        <v>231</v>
      </c>
      <c r="E557" s="8">
        <v>199</v>
      </c>
      <c r="F557" s="8">
        <v>93</v>
      </c>
      <c r="G557" s="28">
        <f t="shared" si="17"/>
        <v>1.1608040201005025</v>
      </c>
      <c r="H557" s="33">
        <f t="shared" si="16"/>
        <v>0.21627906976744185</v>
      </c>
    </row>
    <row r="558" spans="1:8">
      <c r="A558" s="27">
        <v>6531</v>
      </c>
      <c r="B558" s="8" t="s">
        <v>280</v>
      </c>
      <c r="C558" s="8">
        <v>131</v>
      </c>
      <c r="D558" s="8">
        <v>374</v>
      </c>
      <c r="E558" s="8">
        <v>154</v>
      </c>
      <c r="F558" s="8">
        <v>81</v>
      </c>
      <c r="G558" s="28">
        <f t="shared" si="17"/>
        <v>2.4285714285714284</v>
      </c>
      <c r="H558" s="33">
        <f t="shared" si="16"/>
        <v>0.15340909090909091</v>
      </c>
    </row>
    <row r="559" spans="1:8">
      <c r="A559" s="27">
        <v>9701</v>
      </c>
      <c r="B559" s="8" t="s">
        <v>566</v>
      </c>
      <c r="C559" s="8">
        <v>376</v>
      </c>
      <c r="D559" s="8">
        <v>727</v>
      </c>
      <c r="E559" s="8">
        <v>13</v>
      </c>
      <c r="F559" s="8">
        <v>5</v>
      </c>
      <c r="G559" s="28">
        <f t="shared" si="17"/>
        <v>55.92307692307692</v>
      </c>
      <c r="H559" s="33">
        <f t="shared" si="16"/>
        <v>6.7567567567567571E-3</v>
      </c>
    </row>
    <row r="560" spans="1:8">
      <c r="A560" s="27">
        <v>4702</v>
      </c>
      <c r="B560" s="8" t="s">
        <v>383</v>
      </c>
      <c r="C560" s="8">
        <v>106</v>
      </c>
      <c r="D560" s="8">
        <v>858</v>
      </c>
      <c r="E560" s="8">
        <v>12</v>
      </c>
      <c r="F560" s="8">
        <v>25</v>
      </c>
      <c r="G560" s="28">
        <f t="shared" si="17"/>
        <v>71.5</v>
      </c>
      <c r="H560" s="33">
        <f t="shared" si="16"/>
        <v>2.8735632183908046E-2</v>
      </c>
    </row>
    <row r="561" spans="1:8">
      <c r="A561" s="27">
        <v>3163</v>
      </c>
      <c r="B561" s="8" t="s">
        <v>409</v>
      </c>
      <c r="C561" s="8">
        <v>445</v>
      </c>
      <c r="D561" s="8">
        <v>25</v>
      </c>
      <c r="E561" s="8">
        <v>132</v>
      </c>
      <c r="F561" s="8">
        <v>50</v>
      </c>
      <c r="G561" s="28">
        <f t="shared" si="17"/>
        <v>0.18939393939393939</v>
      </c>
      <c r="H561" s="33">
        <f t="shared" si="16"/>
        <v>0.31847133757961782</v>
      </c>
    </row>
    <row r="562" spans="1:8">
      <c r="A562" s="27">
        <v>8719</v>
      </c>
      <c r="B562" s="8" t="s">
        <v>126</v>
      </c>
      <c r="C562" s="8">
        <v>345</v>
      </c>
      <c r="D562" s="8">
        <v>180</v>
      </c>
      <c r="E562" s="8">
        <v>99</v>
      </c>
      <c r="F562" s="8">
        <v>73</v>
      </c>
      <c r="G562" s="28">
        <f t="shared" si="17"/>
        <v>1.8181818181818181</v>
      </c>
      <c r="H562" s="33">
        <f t="shared" si="16"/>
        <v>0.26164874551971329</v>
      </c>
    </row>
    <row r="563" spans="1:8">
      <c r="A563" s="27">
        <v>1282</v>
      </c>
      <c r="B563" s="8" t="s">
        <v>120</v>
      </c>
      <c r="C563" s="8">
        <v>432</v>
      </c>
      <c r="D563" s="8">
        <v>666</v>
      </c>
      <c r="E563" s="8">
        <v>76</v>
      </c>
      <c r="F563" s="8">
        <v>92</v>
      </c>
      <c r="G563" s="28">
        <f t="shared" si="17"/>
        <v>8.7631578947368425</v>
      </c>
      <c r="H563" s="33">
        <f t="shared" si="16"/>
        <v>0.12398921832884097</v>
      </c>
    </row>
    <row r="564" spans="1:8">
      <c r="A564" s="27">
        <v>4538</v>
      </c>
      <c r="B564" s="8" t="s">
        <v>290</v>
      </c>
      <c r="C564" s="8">
        <v>362</v>
      </c>
      <c r="D564" s="8">
        <v>709</v>
      </c>
      <c r="E564" s="8">
        <v>52</v>
      </c>
      <c r="F564" s="8">
        <v>80</v>
      </c>
      <c r="G564" s="28">
        <f t="shared" si="17"/>
        <v>13.634615384615385</v>
      </c>
      <c r="H564" s="33">
        <f t="shared" si="16"/>
        <v>0.10512483574244415</v>
      </c>
    </row>
    <row r="565" spans="1:8">
      <c r="A565" s="27">
        <v>9538</v>
      </c>
      <c r="B565" s="8" t="s">
        <v>280</v>
      </c>
      <c r="C565" s="8">
        <v>174</v>
      </c>
      <c r="D565" s="8">
        <v>30</v>
      </c>
      <c r="E565" s="8">
        <v>136</v>
      </c>
      <c r="F565" s="8">
        <v>4</v>
      </c>
      <c r="G565" s="28">
        <f t="shared" si="17"/>
        <v>0.22058823529411764</v>
      </c>
      <c r="H565" s="33">
        <f t="shared" si="16"/>
        <v>2.4096385542168676E-2</v>
      </c>
    </row>
    <row r="566" spans="1:8">
      <c r="A566" s="27">
        <v>5109</v>
      </c>
      <c r="B566" s="8" t="s">
        <v>179</v>
      </c>
      <c r="C566" s="8">
        <v>490</v>
      </c>
      <c r="D566" s="8">
        <v>466</v>
      </c>
      <c r="E566" s="8">
        <v>106</v>
      </c>
      <c r="F566" s="8">
        <v>91</v>
      </c>
      <c r="G566" s="28">
        <f t="shared" si="17"/>
        <v>4.3962264150943398</v>
      </c>
      <c r="H566" s="33">
        <f t="shared" si="16"/>
        <v>0.15909090909090909</v>
      </c>
    </row>
    <row r="567" spans="1:8">
      <c r="A567" s="27">
        <v>7947</v>
      </c>
      <c r="B567" s="8" t="s">
        <v>572</v>
      </c>
      <c r="C567" s="8">
        <v>32</v>
      </c>
      <c r="D567" s="8">
        <v>385</v>
      </c>
      <c r="E567" s="8">
        <v>106</v>
      </c>
      <c r="F567" s="8">
        <v>75</v>
      </c>
      <c r="G567" s="28">
        <f t="shared" si="17"/>
        <v>3.6320754716981134</v>
      </c>
      <c r="H567" s="33">
        <f t="shared" si="16"/>
        <v>0.15274949083503056</v>
      </c>
    </row>
    <row r="568" spans="1:8">
      <c r="A568" s="27">
        <v>7546</v>
      </c>
      <c r="B568" s="8" t="s">
        <v>147</v>
      </c>
      <c r="C568" s="8">
        <v>48</v>
      </c>
      <c r="D568" s="8">
        <v>484</v>
      </c>
      <c r="E568" s="8">
        <v>131</v>
      </c>
      <c r="F568" s="8">
        <v>68</v>
      </c>
      <c r="G568" s="28">
        <f t="shared" si="17"/>
        <v>3.6946564885496183</v>
      </c>
      <c r="H568" s="33">
        <f t="shared" si="16"/>
        <v>0.11056910569105691</v>
      </c>
    </row>
    <row r="569" spans="1:8">
      <c r="A569" s="27">
        <v>4213</v>
      </c>
      <c r="B569" s="8" t="s">
        <v>574</v>
      </c>
      <c r="C569" s="8">
        <v>141</v>
      </c>
      <c r="D569" s="8">
        <v>379</v>
      </c>
      <c r="E569" s="8">
        <v>35</v>
      </c>
      <c r="F569" s="8">
        <v>29</v>
      </c>
      <c r="G569" s="28">
        <f t="shared" si="17"/>
        <v>10.828571428571429</v>
      </c>
      <c r="H569" s="33">
        <f t="shared" si="16"/>
        <v>7.0048309178743967E-2</v>
      </c>
    </row>
    <row r="570" spans="1:8">
      <c r="A570" s="27">
        <v>3135</v>
      </c>
      <c r="B570" s="8" t="s">
        <v>325</v>
      </c>
      <c r="C570" s="8">
        <v>368</v>
      </c>
      <c r="D570" s="8">
        <v>481</v>
      </c>
      <c r="E570" s="8">
        <v>58</v>
      </c>
      <c r="F570" s="8">
        <v>97</v>
      </c>
      <c r="G570" s="28">
        <f t="shared" si="17"/>
        <v>8.2931034482758612</v>
      </c>
      <c r="H570" s="33">
        <f t="shared" si="16"/>
        <v>0.17996289424860853</v>
      </c>
    </row>
    <row r="571" spans="1:8">
      <c r="A571" s="27">
        <v>9916</v>
      </c>
      <c r="B571" s="8" t="s">
        <v>531</v>
      </c>
      <c r="C571" s="8">
        <v>227</v>
      </c>
      <c r="D571" s="8">
        <v>969</v>
      </c>
      <c r="E571" s="8">
        <v>175</v>
      </c>
      <c r="F571" s="8">
        <v>11</v>
      </c>
      <c r="G571" s="28">
        <f t="shared" si="17"/>
        <v>5.5371428571428574</v>
      </c>
      <c r="H571" s="33">
        <f t="shared" si="16"/>
        <v>9.6153846153846159E-3</v>
      </c>
    </row>
    <row r="572" spans="1:8">
      <c r="A572" s="27">
        <v>2784</v>
      </c>
      <c r="B572" s="8" t="s">
        <v>138</v>
      </c>
      <c r="C572" s="8">
        <v>484</v>
      </c>
      <c r="D572" s="8">
        <v>52</v>
      </c>
      <c r="E572" s="8">
        <v>151</v>
      </c>
      <c r="F572" s="8">
        <v>15</v>
      </c>
      <c r="G572" s="28">
        <f t="shared" si="17"/>
        <v>0.3443708609271523</v>
      </c>
      <c r="H572" s="33">
        <f t="shared" si="16"/>
        <v>7.3891625615763554E-2</v>
      </c>
    </row>
    <row r="573" spans="1:8">
      <c r="A573" s="27">
        <v>5916</v>
      </c>
      <c r="B573" s="8" t="s">
        <v>148</v>
      </c>
      <c r="C573" s="8">
        <v>14</v>
      </c>
      <c r="D573" s="8">
        <v>57</v>
      </c>
      <c r="E573" s="8">
        <v>175</v>
      </c>
      <c r="F573" s="8">
        <v>41</v>
      </c>
      <c r="G573" s="28">
        <f t="shared" si="17"/>
        <v>0.32571428571428573</v>
      </c>
      <c r="H573" s="33">
        <f t="shared" si="16"/>
        <v>0.17672413793103448</v>
      </c>
    </row>
    <row r="574" spans="1:8">
      <c r="A574" s="27">
        <v>1674</v>
      </c>
      <c r="B574" s="8" t="s">
        <v>177</v>
      </c>
      <c r="C574" s="8">
        <v>328</v>
      </c>
      <c r="D574" s="8">
        <v>415</v>
      </c>
      <c r="E574" s="8">
        <v>162</v>
      </c>
      <c r="F574" s="8">
        <v>19</v>
      </c>
      <c r="G574" s="28">
        <f t="shared" si="17"/>
        <v>2.5617283950617282</v>
      </c>
      <c r="H574" s="33">
        <f t="shared" si="16"/>
        <v>3.292894280762565E-2</v>
      </c>
    </row>
    <row r="575" spans="1:8">
      <c r="A575" s="27">
        <v>2095</v>
      </c>
      <c r="B575" s="8" t="s">
        <v>357</v>
      </c>
      <c r="C575" s="8">
        <v>279</v>
      </c>
      <c r="D575" s="8">
        <v>285</v>
      </c>
      <c r="E575" s="8">
        <v>92</v>
      </c>
      <c r="F575" s="8">
        <v>81</v>
      </c>
      <c r="G575" s="28">
        <f t="shared" si="17"/>
        <v>3.097826086956522</v>
      </c>
      <c r="H575" s="33">
        <f t="shared" si="16"/>
        <v>0.21485411140583555</v>
      </c>
    </row>
    <row r="576" spans="1:8">
      <c r="A576" s="27">
        <v>9594</v>
      </c>
      <c r="B576" s="8" t="s">
        <v>138</v>
      </c>
      <c r="C576" s="8">
        <v>158</v>
      </c>
      <c r="D576" s="8">
        <v>861</v>
      </c>
      <c r="E576" s="8">
        <v>125</v>
      </c>
      <c r="F576" s="8">
        <v>95</v>
      </c>
      <c r="G576" s="28">
        <f t="shared" si="17"/>
        <v>6.8879999999999999</v>
      </c>
      <c r="H576" s="33">
        <f t="shared" si="16"/>
        <v>9.6348884381338748E-2</v>
      </c>
    </row>
    <row r="577" spans="1:8">
      <c r="A577" s="27">
        <v>6750</v>
      </c>
      <c r="B577" s="8" t="s">
        <v>23</v>
      </c>
      <c r="C577" s="8">
        <v>422</v>
      </c>
      <c r="D577" s="8">
        <v>399</v>
      </c>
      <c r="E577" s="8">
        <v>27</v>
      </c>
      <c r="F577" s="8">
        <v>12</v>
      </c>
      <c r="G577" s="28">
        <f t="shared" si="17"/>
        <v>14.777777777777779</v>
      </c>
      <c r="H577" s="33">
        <f t="shared" si="16"/>
        <v>2.8169014084507043E-2</v>
      </c>
    </row>
    <row r="578" spans="1:8">
      <c r="A578" s="27">
        <v>7235</v>
      </c>
      <c r="B578" s="8" t="s">
        <v>171</v>
      </c>
      <c r="C578" s="8">
        <v>235</v>
      </c>
      <c r="D578" s="8">
        <v>765</v>
      </c>
      <c r="E578" s="8">
        <v>159</v>
      </c>
      <c r="F578" s="8">
        <v>77</v>
      </c>
      <c r="G578" s="28">
        <f t="shared" si="17"/>
        <v>4.8113207547169807</v>
      </c>
      <c r="H578" s="33">
        <f t="shared" ref="H578:H641" si="18">F578/(D578+E578)</f>
        <v>8.3333333333333329E-2</v>
      </c>
    </row>
    <row r="579" spans="1:8">
      <c r="A579" s="27">
        <v>3910</v>
      </c>
      <c r="B579" s="8" t="s">
        <v>260</v>
      </c>
      <c r="C579" s="8">
        <v>331</v>
      </c>
      <c r="D579" s="8">
        <v>667</v>
      </c>
      <c r="E579" s="8">
        <v>43</v>
      </c>
      <c r="F579" s="8">
        <v>55</v>
      </c>
      <c r="G579" s="28">
        <f t="shared" ref="G579:G642" si="19">D579/E579</f>
        <v>15.511627906976743</v>
      </c>
      <c r="H579" s="33">
        <f t="shared" si="18"/>
        <v>7.746478873239436E-2</v>
      </c>
    </row>
    <row r="580" spans="1:8">
      <c r="A580" s="27">
        <v>8190</v>
      </c>
      <c r="B580" s="8" t="s">
        <v>579</v>
      </c>
      <c r="C580" s="8">
        <v>148</v>
      </c>
      <c r="D580" s="8">
        <v>409</v>
      </c>
      <c r="E580" s="8">
        <v>38</v>
      </c>
      <c r="F580" s="8">
        <v>37</v>
      </c>
      <c r="G580" s="28">
        <f t="shared" si="19"/>
        <v>10.763157894736842</v>
      </c>
      <c r="H580" s="33">
        <f t="shared" si="18"/>
        <v>8.2774049217002238E-2</v>
      </c>
    </row>
    <row r="581" spans="1:8">
      <c r="A581" s="27">
        <v>5315</v>
      </c>
      <c r="B581" s="8" t="s">
        <v>580</v>
      </c>
      <c r="C581" s="8">
        <v>198</v>
      </c>
      <c r="D581" s="8">
        <v>202</v>
      </c>
      <c r="E581" s="8">
        <v>26</v>
      </c>
      <c r="F581" s="8">
        <v>52</v>
      </c>
      <c r="G581" s="28">
        <f t="shared" si="19"/>
        <v>7.7692307692307692</v>
      </c>
      <c r="H581" s="33">
        <f t="shared" si="18"/>
        <v>0.22807017543859648</v>
      </c>
    </row>
    <row r="582" spans="1:8">
      <c r="A582" s="27">
        <v>7503</v>
      </c>
      <c r="B582" s="8" t="s">
        <v>153</v>
      </c>
      <c r="C582" s="8">
        <v>81</v>
      </c>
      <c r="D582" s="8">
        <v>208</v>
      </c>
      <c r="E582" s="8">
        <v>144</v>
      </c>
      <c r="F582" s="8">
        <v>12</v>
      </c>
      <c r="G582" s="28">
        <f t="shared" si="19"/>
        <v>1.4444444444444444</v>
      </c>
      <c r="H582" s="33">
        <f t="shared" si="18"/>
        <v>3.4090909090909088E-2</v>
      </c>
    </row>
    <row r="583" spans="1:8">
      <c r="A583" s="27">
        <v>5788</v>
      </c>
      <c r="B583" s="8" t="s">
        <v>186</v>
      </c>
      <c r="C583" s="8">
        <v>131</v>
      </c>
      <c r="D583" s="8">
        <v>382</v>
      </c>
      <c r="E583" s="8">
        <v>50</v>
      </c>
      <c r="F583" s="8">
        <v>47</v>
      </c>
      <c r="G583" s="28">
        <f t="shared" si="19"/>
        <v>7.64</v>
      </c>
      <c r="H583" s="33">
        <f t="shared" si="18"/>
        <v>0.10879629629629629</v>
      </c>
    </row>
    <row r="584" spans="1:8">
      <c r="A584" s="27">
        <v>7030</v>
      </c>
      <c r="B584" s="8" t="s">
        <v>583</v>
      </c>
      <c r="C584" s="8">
        <v>210</v>
      </c>
      <c r="D584" s="8">
        <v>666</v>
      </c>
      <c r="E584" s="8">
        <v>164</v>
      </c>
      <c r="F584" s="8">
        <v>38</v>
      </c>
      <c r="G584" s="28">
        <f t="shared" si="19"/>
        <v>4.0609756097560972</v>
      </c>
      <c r="H584" s="33">
        <f t="shared" si="18"/>
        <v>4.5783132530120479E-2</v>
      </c>
    </row>
    <row r="585" spans="1:8">
      <c r="A585" s="27">
        <v>6619</v>
      </c>
      <c r="B585" s="8" t="s">
        <v>408</v>
      </c>
      <c r="C585" s="8">
        <v>301</v>
      </c>
      <c r="D585" s="8">
        <v>855</v>
      </c>
      <c r="E585" s="8">
        <v>46</v>
      </c>
      <c r="F585" s="8">
        <v>26</v>
      </c>
      <c r="G585" s="28">
        <f t="shared" si="19"/>
        <v>18.586956521739129</v>
      </c>
      <c r="H585" s="33">
        <f t="shared" si="18"/>
        <v>2.8856825749167592E-2</v>
      </c>
    </row>
    <row r="586" spans="1:8">
      <c r="A586" s="27">
        <v>6319</v>
      </c>
      <c r="B586" s="8" t="s">
        <v>584</v>
      </c>
      <c r="C586" s="8">
        <v>466</v>
      </c>
      <c r="D586" s="8">
        <v>592</v>
      </c>
      <c r="E586" s="8">
        <v>67</v>
      </c>
      <c r="F586" s="8">
        <v>81</v>
      </c>
      <c r="G586" s="28">
        <f t="shared" si="19"/>
        <v>8.8358208955223887</v>
      </c>
      <c r="H586" s="33">
        <f t="shared" si="18"/>
        <v>0.12291350531107739</v>
      </c>
    </row>
    <row r="587" spans="1:8">
      <c r="A587" s="27">
        <v>6268</v>
      </c>
      <c r="B587" s="8" t="s">
        <v>313</v>
      </c>
      <c r="C587" s="8">
        <v>336</v>
      </c>
      <c r="D587" s="8">
        <v>546</v>
      </c>
      <c r="E587" s="8">
        <v>16</v>
      </c>
      <c r="F587" s="8">
        <v>31</v>
      </c>
      <c r="G587" s="28">
        <f t="shared" si="19"/>
        <v>34.125</v>
      </c>
      <c r="H587" s="33">
        <f t="shared" si="18"/>
        <v>5.5160142348754451E-2</v>
      </c>
    </row>
    <row r="588" spans="1:8">
      <c r="A588" s="27">
        <v>5016</v>
      </c>
      <c r="B588" s="8" t="s">
        <v>424</v>
      </c>
      <c r="C588" s="8">
        <v>280</v>
      </c>
      <c r="D588" s="8">
        <v>633</v>
      </c>
      <c r="E588" s="8">
        <v>83</v>
      </c>
      <c r="F588" s="8">
        <v>49</v>
      </c>
      <c r="G588" s="28">
        <f t="shared" si="19"/>
        <v>7.6265060240963853</v>
      </c>
      <c r="H588" s="33">
        <f t="shared" si="18"/>
        <v>6.8435754189944131E-2</v>
      </c>
    </row>
    <row r="589" spans="1:8">
      <c r="A589" s="27">
        <v>3888</v>
      </c>
      <c r="B589" s="8" t="s">
        <v>176</v>
      </c>
      <c r="C589" s="8">
        <v>495</v>
      </c>
      <c r="D589" s="8">
        <v>883</v>
      </c>
      <c r="E589" s="8">
        <v>60</v>
      </c>
      <c r="F589" s="8">
        <v>10</v>
      </c>
      <c r="G589" s="28">
        <f t="shared" si="19"/>
        <v>14.716666666666667</v>
      </c>
      <c r="H589" s="33">
        <f t="shared" si="18"/>
        <v>1.0604453870625663E-2</v>
      </c>
    </row>
    <row r="590" spans="1:8">
      <c r="A590" s="27">
        <v>9918</v>
      </c>
      <c r="B590" s="8" t="s">
        <v>238</v>
      </c>
      <c r="C590" s="8">
        <v>144</v>
      </c>
      <c r="D590" s="8">
        <v>235</v>
      </c>
      <c r="E590" s="8">
        <v>88</v>
      </c>
      <c r="F590" s="8">
        <v>18</v>
      </c>
      <c r="G590" s="28">
        <f t="shared" si="19"/>
        <v>2.6704545454545454</v>
      </c>
      <c r="H590" s="33">
        <f t="shared" si="18"/>
        <v>5.5727554179566562E-2</v>
      </c>
    </row>
    <row r="591" spans="1:8">
      <c r="A591" s="27">
        <v>7305</v>
      </c>
      <c r="B591" s="8" t="s">
        <v>224</v>
      </c>
      <c r="C591" s="8">
        <v>165</v>
      </c>
      <c r="D591" s="8">
        <v>267</v>
      </c>
      <c r="E591" s="8">
        <v>146</v>
      </c>
      <c r="F591" s="8">
        <v>34</v>
      </c>
      <c r="G591" s="28">
        <f t="shared" si="19"/>
        <v>1.8287671232876712</v>
      </c>
      <c r="H591" s="33">
        <f t="shared" si="18"/>
        <v>8.2324455205811137E-2</v>
      </c>
    </row>
    <row r="592" spans="1:8">
      <c r="A592" s="27">
        <v>5719</v>
      </c>
      <c r="B592" s="8" t="s">
        <v>531</v>
      </c>
      <c r="C592" s="8">
        <v>479</v>
      </c>
      <c r="D592" s="8">
        <v>710</v>
      </c>
      <c r="E592" s="8">
        <v>68</v>
      </c>
      <c r="F592" s="8">
        <v>54</v>
      </c>
      <c r="G592" s="28">
        <f t="shared" si="19"/>
        <v>10.441176470588236</v>
      </c>
      <c r="H592" s="33">
        <f t="shared" si="18"/>
        <v>6.9408740359897178E-2</v>
      </c>
    </row>
    <row r="593" spans="1:8">
      <c r="A593" s="27">
        <v>2334</v>
      </c>
      <c r="B593" s="8" t="s">
        <v>473</v>
      </c>
      <c r="C593" s="8">
        <v>285</v>
      </c>
      <c r="D593" s="8">
        <v>805</v>
      </c>
      <c r="E593" s="8">
        <v>42</v>
      </c>
      <c r="F593" s="8">
        <v>90</v>
      </c>
      <c r="G593" s="28">
        <f t="shared" si="19"/>
        <v>19.166666666666668</v>
      </c>
      <c r="H593" s="33">
        <f t="shared" si="18"/>
        <v>0.10625737898465171</v>
      </c>
    </row>
    <row r="594" spans="1:8">
      <c r="A594" s="27">
        <v>1006</v>
      </c>
      <c r="B594" s="8" t="s">
        <v>589</v>
      </c>
      <c r="C594" s="8">
        <v>93</v>
      </c>
      <c r="D594" s="8">
        <v>209</v>
      </c>
      <c r="E594" s="8">
        <v>151</v>
      </c>
      <c r="F594" s="8">
        <v>74</v>
      </c>
      <c r="G594" s="28">
        <f t="shared" si="19"/>
        <v>1.3841059602649006</v>
      </c>
      <c r="H594" s="33">
        <f t="shared" si="18"/>
        <v>0.20555555555555555</v>
      </c>
    </row>
    <row r="595" spans="1:8">
      <c r="A595" s="27">
        <v>6719</v>
      </c>
      <c r="B595" s="8" t="s">
        <v>114</v>
      </c>
      <c r="C595" s="8">
        <v>299</v>
      </c>
      <c r="D595" s="8">
        <v>803</v>
      </c>
      <c r="E595" s="8">
        <v>197</v>
      </c>
      <c r="F595" s="8">
        <v>58</v>
      </c>
      <c r="G595" s="28">
        <f t="shared" si="19"/>
        <v>4.0761421319796955</v>
      </c>
      <c r="H595" s="33">
        <f t="shared" si="18"/>
        <v>5.8000000000000003E-2</v>
      </c>
    </row>
    <row r="596" spans="1:8">
      <c r="A596" s="27">
        <v>6138</v>
      </c>
      <c r="B596" s="8" t="s">
        <v>70</v>
      </c>
      <c r="C596" s="8">
        <v>10</v>
      </c>
      <c r="D596" s="8">
        <v>236</v>
      </c>
      <c r="E596" s="8">
        <v>183</v>
      </c>
      <c r="F596" s="8">
        <v>86</v>
      </c>
      <c r="G596" s="28">
        <f t="shared" si="19"/>
        <v>1.2896174863387979</v>
      </c>
      <c r="H596" s="33">
        <f t="shared" si="18"/>
        <v>0.2052505966587112</v>
      </c>
    </row>
    <row r="597" spans="1:8">
      <c r="A597" s="27">
        <v>1255</v>
      </c>
      <c r="B597" s="8" t="s">
        <v>122</v>
      </c>
      <c r="C597" s="8">
        <v>82</v>
      </c>
      <c r="D597" s="8">
        <v>264</v>
      </c>
      <c r="E597" s="8">
        <v>115</v>
      </c>
      <c r="F597" s="8">
        <v>30</v>
      </c>
      <c r="G597" s="28">
        <f t="shared" si="19"/>
        <v>2.2956521739130435</v>
      </c>
      <c r="H597" s="33">
        <f t="shared" si="18"/>
        <v>7.9155672823219003E-2</v>
      </c>
    </row>
    <row r="598" spans="1:8">
      <c r="A598" s="27">
        <v>5528</v>
      </c>
      <c r="B598" s="8" t="s">
        <v>179</v>
      </c>
      <c r="C598" s="8">
        <v>27</v>
      </c>
      <c r="D598" s="8">
        <v>767</v>
      </c>
      <c r="E598" s="8">
        <v>5</v>
      </c>
      <c r="F598" s="8">
        <v>69</v>
      </c>
      <c r="G598" s="28">
        <f t="shared" si="19"/>
        <v>153.4</v>
      </c>
      <c r="H598" s="33">
        <f t="shared" si="18"/>
        <v>8.937823834196891E-2</v>
      </c>
    </row>
    <row r="599" spans="1:8">
      <c r="A599" s="27">
        <v>2517</v>
      </c>
      <c r="B599" s="8" t="s">
        <v>157</v>
      </c>
      <c r="C599" s="8">
        <v>105</v>
      </c>
      <c r="D599" s="8">
        <v>247</v>
      </c>
      <c r="E599" s="8">
        <v>104</v>
      </c>
      <c r="F599" s="8">
        <v>19</v>
      </c>
      <c r="G599" s="28">
        <f t="shared" si="19"/>
        <v>2.375</v>
      </c>
      <c r="H599" s="33">
        <f t="shared" si="18"/>
        <v>5.4131054131054131E-2</v>
      </c>
    </row>
    <row r="600" spans="1:8">
      <c r="A600" s="27">
        <v>9593</v>
      </c>
      <c r="B600" s="8" t="s">
        <v>592</v>
      </c>
      <c r="C600" s="8">
        <v>330</v>
      </c>
      <c r="D600" s="8">
        <v>69</v>
      </c>
      <c r="E600" s="8">
        <v>101</v>
      </c>
      <c r="F600" s="8">
        <v>38</v>
      </c>
      <c r="G600" s="28">
        <f t="shared" si="19"/>
        <v>0.68316831683168322</v>
      </c>
      <c r="H600" s="33">
        <f t="shared" si="18"/>
        <v>0.22352941176470589</v>
      </c>
    </row>
    <row r="601" spans="1:8">
      <c r="A601" s="27">
        <v>7507</v>
      </c>
      <c r="B601" s="8" t="s">
        <v>404</v>
      </c>
      <c r="C601" s="8">
        <v>462</v>
      </c>
      <c r="D601" s="8">
        <v>958</v>
      </c>
      <c r="E601" s="8">
        <v>153</v>
      </c>
      <c r="F601" s="8">
        <v>71</v>
      </c>
      <c r="G601" s="28">
        <f t="shared" si="19"/>
        <v>6.261437908496732</v>
      </c>
      <c r="H601" s="33">
        <f t="shared" si="18"/>
        <v>6.3906390639063906E-2</v>
      </c>
    </row>
    <row r="602" spans="1:8">
      <c r="A602" s="27">
        <v>2884</v>
      </c>
      <c r="B602" s="8" t="s">
        <v>549</v>
      </c>
      <c r="C602" s="8">
        <v>250</v>
      </c>
      <c r="D602" s="8">
        <v>271</v>
      </c>
      <c r="E602" s="8">
        <v>50</v>
      </c>
      <c r="F602" s="8">
        <v>34</v>
      </c>
      <c r="G602" s="28">
        <f t="shared" si="19"/>
        <v>5.42</v>
      </c>
      <c r="H602" s="33">
        <f t="shared" si="18"/>
        <v>0.1059190031152648</v>
      </c>
    </row>
    <row r="603" spans="1:8">
      <c r="A603" s="27">
        <v>6374</v>
      </c>
      <c r="B603" s="8" t="s">
        <v>495</v>
      </c>
      <c r="C603" s="8">
        <v>30</v>
      </c>
      <c r="D603" s="8">
        <v>178</v>
      </c>
      <c r="E603" s="8">
        <v>162</v>
      </c>
      <c r="F603" s="8">
        <v>20</v>
      </c>
      <c r="G603" s="28">
        <f t="shared" si="19"/>
        <v>1.0987654320987654</v>
      </c>
      <c r="H603" s="33">
        <f t="shared" si="18"/>
        <v>5.8823529411764705E-2</v>
      </c>
    </row>
    <row r="604" spans="1:8">
      <c r="A604" s="27">
        <v>6888</v>
      </c>
      <c r="B604" s="8" t="s">
        <v>196</v>
      </c>
      <c r="C604" s="8">
        <v>364</v>
      </c>
      <c r="D604" s="8">
        <v>865</v>
      </c>
      <c r="E604" s="8">
        <v>104</v>
      </c>
      <c r="F604" s="8">
        <v>31</v>
      </c>
      <c r="G604" s="28">
        <f t="shared" si="19"/>
        <v>8.3173076923076916</v>
      </c>
      <c r="H604" s="33">
        <f t="shared" si="18"/>
        <v>3.1991744066047469E-2</v>
      </c>
    </row>
    <row r="605" spans="1:8">
      <c r="A605" s="27">
        <v>2788</v>
      </c>
      <c r="B605" s="8" t="s">
        <v>593</v>
      </c>
      <c r="C605" s="8">
        <v>404</v>
      </c>
      <c r="D605" s="8">
        <v>257</v>
      </c>
      <c r="E605" s="8">
        <v>113</v>
      </c>
      <c r="F605" s="8">
        <v>60</v>
      </c>
      <c r="G605" s="28">
        <f t="shared" si="19"/>
        <v>2.2743362831858409</v>
      </c>
      <c r="H605" s="33">
        <f t="shared" si="18"/>
        <v>0.16216216216216217</v>
      </c>
    </row>
    <row r="606" spans="1:8">
      <c r="A606" s="27">
        <v>7892</v>
      </c>
      <c r="B606" s="8" t="s">
        <v>137</v>
      </c>
      <c r="C606" s="8">
        <v>499</v>
      </c>
      <c r="D606" s="8">
        <v>428</v>
      </c>
      <c r="E606" s="8">
        <v>168</v>
      </c>
      <c r="F606" s="8">
        <v>82</v>
      </c>
      <c r="G606" s="28">
        <f t="shared" si="19"/>
        <v>2.5476190476190474</v>
      </c>
      <c r="H606" s="33">
        <f t="shared" si="18"/>
        <v>0.13758389261744966</v>
      </c>
    </row>
    <row r="607" spans="1:8">
      <c r="A607" s="27">
        <v>4576</v>
      </c>
      <c r="B607" s="8" t="s">
        <v>138</v>
      </c>
      <c r="C607" s="8">
        <v>480</v>
      </c>
      <c r="D607" s="8">
        <v>994</v>
      </c>
      <c r="E607" s="8">
        <v>78</v>
      </c>
      <c r="F607" s="8">
        <v>39</v>
      </c>
      <c r="G607" s="28">
        <f t="shared" si="19"/>
        <v>12.743589743589743</v>
      </c>
      <c r="H607" s="33">
        <f t="shared" si="18"/>
        <v>3.6380597014925374E-2</v>
      </c>
    </row>
    <row r="608" spans="1:8">
      <c r="A608" s="27">
        <v>8901</v>
      </c>
      <c r="B608" s="8" t="s">
        <v>595</v>
      </c>
      <c r="C608" s="8">
        <v>417</v>
      </c>
      <c r="D608" s="8">
        <v>476</v>
      </c>
      <c r="E608" s="8">
        <v>37</v>
      </c>
      <c r="F608" s="8">
        <v>12</v>
      </c>
      <c r="G608" s="28">
        <f t="shared" si="19"/>
        <v>12.864864864864865</v>
      </c>
      <c r="H608" s="33">
        <f t="shared" si="18"/>
        <v>2.3391812865497075E-2</v>
      </c>
    </row>
    <row r="609" spans="1:8">
      <c r="A609" s="27">
        <v>5147</v>
      </c>
      <c r="B609" s="8" t="s">
        <v>140</v>
      </c>
      <c r="C609" s="8">
        <v>215</v>
      </c>
      <c r="D609" s="8">
        <v>150</v>
      </c>
      <c r="E609" s="8">
        <v>57</v>
      </c>
      <c r="F609" s="8">
        <v>76</v>
      </c>
      <c r="G609" s="28">
        <f t="shared" si="19"/>
        <v>2.6315789473684212</v>
      </c>
      <c r="H609" s="33">
        <f t="shared" si="18"/>
        <v>0.3671497584541063</v>
      </c>
    </row>
    <row r="610" spans="1:8">
      <c r="A610" s="27">
        <v>8646</v>
      </c>
      <c r="B610" s="8" t="s">
        <v>294</v>
      </c>
      <c r="C610" s="8">
        <v>234</v>
      </c>
      <c r="D610" s="8">
        <v>580</v>
      </c>
      <c r="E610" s="8">
        <v>149</v>
      </c>
      <c r="F610" s="8">
        <v>31</v>
      </c>
      <c r="G610" s="28">
        <f t="shared" si="19"/>
        <v>3.8926174496644297</v>
      </c>
      <c r="H610" s="33">
        <f t="shared" si="18"/>
        <v>4.2524005486968448E-2</v>
      </c>
    </row>
    <row r="611" spans="1:8">
      <c r="A611" s="27">
        <v>8343</v>
      </c>
      <c r="B611" s="8" t="s">
        <v>140</v>
      </c>
      <c r="C611" s="8">
        <v>103</v>
      </c>
      <c r="D611" s="8">
        <v>284</v>
      </c>
      <c r="E611" s="8">
        <v>84</v>
      </c>
      <c r="F611" s="8">
        <v>30</v>
      </c>
      <c r="G611" s="28">
        <f t="shared" si="19"/>
        <v>3.3809523809523809</v>
      </c>
      <c r="H611" s="33">
        <f t="shared" si="18"/>
        <v>8.1521739130434784E-2</v>
      </c>
    </row>
    <row r="612" spans="1:8">
      <c r="A612" s="27">
        <v>9332</v>
      </c>
      <c r="B612" s="8" t="s">
        <v>41</v>
      </c>
      <c r="C612" s="8">
        <v>191</v>
      </c>
      <c r="D612" s="8">
        <v>688</v>
      </c>
      <c r="E612" s="8">
        <v>192</v>
      </c>
      <c r="F612" s="8">
        <v>71</v>
      </c>
      <c r="G612" s="28">
        <f t="shared" si="19"/>
        <v>3.5833333333333335</v>
      </c>
      <c r="H612" s="33">
        <f t="shared" si="18"/>
        <v>8.0681818181818188E-2</v>
      </c>
    </row>
    <row r="613" spans="1:8">
      <c r="A613" s="27">
        <v>7398</v>
      </c>
      <c r="B613" s="8" t="s">
        <v>349</v>
      </c>
      <c r="C613" s="8">
        <v>82</v>
      </c>
      <c r="D613" s="8">
        <v>93</v>
      </c>
      <c r="E613" s="8">
        <v>46</v>
      </c>
      <c r="F613" s="8">
        <v>41</v>
      </c>
      <c r="G613" s="28">
        <f t="shared" si="19"/>
        <v>2.0217391304347827</v>
      </c>
      <c r="H613" s="33">
        <f t="shared" si="18"/>
        <v>0.29496402877697842</v>
      </c>
    </row>
    <row r="614" spans="1:8">
      <c r="A614" s="27">
        <v>3572</v>
      </c>
      <c r="B614" s="8" t="s">
        <v>598</v>
      </c>
      <c r="C614" s="8">
        <v>468</v>
      </c>
      <c r="D614" s="8">
        <v>799</v>
      </c>
      <c r="E614" s="8">
        <v>44</v>
      </c>
      <c r="F614" s="8">
        <v>98</v>
      </c>
      <c r="G614" s="28">
        <f t="shared" si="19"/>
        <v>18.15909090909091</v>
      </c>
      <c r="H614" s="33">
        <f t="shared" si="18"/>
        <v>0.1162514827995255</v>
      </c>
    </row>
    <row r="615" spans="1:8">
      <c r="A615" s="27">
        <v>4590</v>
      </c>
      <c r="B615" s="8" t="s">
        <v>553</v>
      </c>
      <c r="C615" s="8">
        <v>366</v>
      </c>
      <c r="D615" s="8">
        <v>327</v>
      </c>
      <c r="E615" s="8">
        <v>1</v>
      </c>
      <c r="F615" s="8">
        <v>56</v>
      </c>
      <c r="G615" s="28">
        <f t="shared" si="19"/>
        <v>327</v>
      </c>
      <c r="H615" s="33">
        <f t="shared" si="18"/>
        <v>0.17073170731707318</v>
      </c>
    </row>
    <row r="616" spans="1:8">
      <c r="A616" s="27">
        <v>1831</v>
      </c>
      <c r="B616" s="8" t="s">
        <v>88</v>
      </c>
      <c r="C616" s="8">
        <v>53</v>
      </c>
      <c r="D616" s="8">
        <v>685</v>
      </c>
      <c r="E616" s="8">
        <v>127</v>
      </c>
      <c r="F616" s="8">
        <v>26</v>
      </c>
      <c r="G616" s="28">
        <f t="shared" si="19"/>
        <v>5.393700787401575</v>
      </c>
      <c r="H616" s="33">
        <f t="shared" si="18"/>
        <v>3.2019704433497539E-2</v>
      </c>
    </row>
    <row r="617" spans="1:8">
      <c r="A617" s="27">
        <v>6899</v>
      </c>
      <c r="B617" s="8" t="s">
        <v>284</v>
      </c>
      <c r="C617" s="8">
        <v>102</v>
      </c>
      <c r="D617" s="8">
        <v>604</v>
      </c>
      <c r="E617" s="8">
        <v>107</v>
      </c>
      <c r="F617" s="8">
        <v>9</v>
      </c>
      <c r="G617" s="28">
        <f t="shared" si="19"/>
        <v>5.6448598130841123</v>
      </c>
      <c r="H617" s="33">
        <f t="shared" si="18"/>
        <v>1.2658227848101266E-2</v>
      </c>
    </row>
    <row r="618" spans="1:8">
      <c r="A618" s="27">
        <v>1148</v>
      </c>
      <c r="B618" s="8" t="s">
        <v>88</v>
      </c>
      <c r="C618" s="8">
        <v>259</v>
      </c>
      <c r="D618" s="8">
        <v>597</v>
      </c>
      <c r="E618" s="8">
        <v>165</v>
      </c>
      <c r="F618" s="8">
        <v>33</v>
      </c>
      <c r="G618" s="28">
        <f t="shared" si="19"/>
        <v>3.6181818181818182</v>
      </c>
      <c r="H618" s="33">
        <f t="shared" si="18"/>
        <v>4.3307086614173228E-2</v>
      </c>
    </row>
    <row r="619" spans="1:8">
      <c r="A619" s="27">
        <v>3745</v>
      </c>
      <c r="B619" s="8" t="s">
        <v>325</v>
      </c>
      <c r="C619" s="8">
        <v>81</v>
      </c>
      <c r="D619" s="8">
        <v>451</v>
      </c>
      <c r="E619" s="8">
        <v>49</v>
      </c>
      <c r="F619" s="8">
        <v>11</v>
      </c>
      <c r="G619" s="28">
        <f t="shared" si="19"/>
        <v>9.204081632653061</v>
      </c>
      <c r="H619" s="33">
        <f t="shared" si="18"/>
        <v>2.1999999999999999E-2</v>
      </c>
    </row>
    <row r="620" spans="1:8">
      <c r="A620" s="27">
        <v>5084</v>
      </c>
      <c r="B620" s="8" t="s">
        <v>599</v>
      </c>
      <c r="C620" s="8">
        <v>135</v>
      </c>
      <c r="D620" s="8">
        <v>50</v>
      </c>
      <c r="E620" s="8">
        <v>15</v>
      </c>
      <c r="F620" s="8">
        <v>91</v>
      </c>
      <c r="G620" s="28">
        <f t="shared" si="19"/>
        <v>3.3333333333333335</v>
      </c>
      <c r="H620" s="33">
        <f t="shared" si="18"/>
        <v>1.4</v>
      </c>
    </row>
    <row r="621" spans="1:8">
      <c r="A621" s="27">
        <v>7179</v>
      </c>
      <c r="B621" s="8" t="s">
        <v>157</v>
      </c>
      <c r="C621" s="8">
        <v>465</v>
      </c>
      <c r="D621" s="8">
        <v>987</v>
      </c>
      <c r="E621" s="8">
        <v>91</v>
      </c>
      <c r="F621" s="8">
        <v>8</v>
      </c>
      <c r="G621" s="28">
        <f t="shared" si="19"/>
        <v>10.846153846153847</v>
      </c>
      <c r="H621" s="33">
        <f t="shared" si="18"/>
        <v>7.4211502782931356E-3</v>
      </c>
    </row>
    <row r="622" spans="1:8">
      <c r="A622" s="27">
        <v>1005</v>
      </c>
      <c r="B622" s="8" t="s">
        <v>304</v>
      </c>
      <c r="C622" s="8">
        <v>163</v>
      </c>
      <c r="D622" s="8">
        <v>817</v>
      </c>
      <c r="E622" s="8">
        <v>182</v>
      </c>
      <c r="F622" s="8">
        <v>43</v>
      </c>
      <c r="G622" s="28">
        <f t="shared" si="19"/>
        <v>4.4890109890109891</v>
      </c>
      <c r="H622" s="33">
        <f t="shared" si="18"/>
        <v>4.3043043043043044E-2</v>
      </c>
    </row>
    <row r="623" spans="1:8">
      <c r="A623" s="27">
        <v>6405</v>
      </c>
      <c r="B623" s="8" t="s">
        <v>598</v>
      </c>
      <c r="C623" s="8">
        <v>321</v>
      </c>
      <c r="D623" s="8">
        <v>361</v>
      </c>
      <c r="E623" s="8">
        <v>12</v>
      </c>
      <c r="F623" s="8">
        <v>72</v>
      </c>
      <c r="G623" s="28">
        <f t="shared" si="19"/>
        <v>30.083333333333332</v>
      </c>
      <c r="H623" s="33">
        <f t="shared" si="18"/>
        <v>0.19302949061662197</v>
      </c>
    </row>
    <row r="624" spans="1:8">
      <c r="A624" s="27">
        <v>5215</v>
      </c>
      <c r="B624" s="8" t="s">
        <v>41</v>
      </c>
      <c r="C624" s="8">
        <v>212</v>
      </c>
      <c r="D624" s="8">
        <v>146</v>
      </c>
      <c r="E624" s="8">
        <v>147</v>
      </c>
      <c r="F624" s="8">
        <v>23</v>
      </c>
      <c r="G624" s="28">
        <f t="shared" si="19"/>
        <v>0.99319727891156462</v>
      </c>
      <c r="H624" s="33">
        <f t="shared" si="18"/>
        <v>7.8498293515358364E-2</v>
      </c>
    </row>
    <row r="625" spans="1:8">
      <c r="A625" s="27">
        <v>7525</v>
      </c>
      <c r="B625" s="8" t="s">
        <v>318</v>
      </c>
      <c r="C625" s="8">
        <v>453</v>
      </c>
      <c r="D625" s="8">
        <v>313</v>
      </c>
      <c r="E625" s="8">
        <v>1</v>
      </c>
      <c r="F625" s="8">
        <v>7</v>
      </c>
      <c r="G625" s="28">
        <f t="shared" si="19"/>
        <v>313</v>
      </c>
      <c r="H625" s="33">
        <f t="shared" si="18"/>
        <v>2.2292993630573247E-2</v>
      </c>
    </row>
    <row r="626" spans="1:8">
      <c r="A626" s="27">
        <v>9115</v>
      </c>
      <c r="B626" s="8" t="s">
        <v>88</v>
      </c>
      <c r="C626" s="8">
        <v>34</v>
      </c>
      <c r="D626" s="8">
        <v>80</v>
      </c>
      <c r="E626" s="8">
        <v>71</v>
      </c>
      <c r="F626" s="8">
        <v>55</v>
      </c>
      <c r="G626" s="28">
        <f t="shared" si="19"/>
        <v>1.1267605633802817</v>
      </c>
      <c r="H626" s="33">
        <f t="shared" si="18"/>
        <v>0.36423841059602646</v>
      </c>
    </row>
    <row r="627" spans="1:8">
      <c r="A627" s="27">
        <v>6454</v>
      </c>
      <c r="B627" s="8" t="s">
        <v>191</v>
      </c>
      <c r="C627" s="8">
        <v>197</v>
      </c>
      <c r="D627" s="8">
        <v>860</v>
      </c>
      <c r="E627" s="8">
        <v>42</v>
      </c>
      <c r="F627" s="8">
        <v>97</v>
      </c>
      <c r="G627" s="28">
        <f t="shared" si="19"/>
        <v>20.476190476190474</v>
      </c>
      <c r="H627" s="33">
        <f t="shared" si="18"/>
        <v>0.10753880266075388</v>
      </c>
    </row>
    <row r="628" spans="1:8">
      <c r="A628" s="27">
        <v>4781</v>
      </c>
      <c r="B628" s="8" t="s">
        <v>602</v>
      </c>
      <c r="C628" s="8">
        <v>361</v>
      </c>
      <c r="D628" s="8">
        <v>67</v>
      </c>
      <c r="E628" s="8">
        <v>66</v>
      </c>
      <c r="F628" s="8">
        <v>3</v>
      </c>
      <c r="G628" s="28">
        <f t="shared" si="19"/>
        <v>1.0151515151515151</v>
      </c>
      <c r="H628" s="33">
        <f t="shared" si="18"/>
        <v>2.2556390977443608E-2</v>
      </c>
    </row>
    <row r="629" spans="1:8">
      <c r="A629" s="27">
        <v>5040</v>
      </c>
      <c r="B629" s="8" t="s">
        <v>603</v>
      </c>
      <c r="C629" s="8">
        <v>166</v>
      </c>
      <c r="D629" s="8">
        <v>178</v>
      </c>
      <c r="E629" s="8">
        <v>61</v>
      </c>
      <c r="F629" s="8">
        <v>30</v>
      </c>
      <c r="G629" s="28">
        <f t="shared" si="19"/>
        <v>2.918032786885246</v>
      </c>
      <c r="H629" s="33">
        <f t="shared" si="18"/>
        <v>0.12552301255230125</v>
      </c>
    </row>
    <row r="630" spans="1:8">
      <c r="A630" s="27">
        <v>3209</v>
      </c>
      <c r="B630" s="8" t="s">
        <v>347</v>
      </c>
      <c r="C630" s="8">
        <v>168</v>
      </c>
      <c r="D630" s="8">
        <v>113</v>
      </c>
      <c r="E630" s="8">
        <v>85</v>
      </c>
      <c r="F630" s="8">
        <v>52</v>
      </c>
      <c r="G630" s="28">
        <f t="shared" si="19"/>
        <v>1.3294117647058823</v>
      </c>
      <c r="H630" s="33">
        <f t="shared" si="18"/>
        <v>0.26262626262626265</v>
      </c>
    </row>
    <row r="631" spans="1:8">
      <c r="A631" s="27">
        <v>8703</v>
      </c>
      <c r="B631" s="8" t="s">
        <v>254</v>
      </c>
      <c r="C631" s="8">
        <v>336</v>
      </c>
      <c r="D631" s="8">
        <v>855</v>
      </c>
      <c r="E631" s="8">
        <v>186</v>
      </c>
      <c r="F631" s="8">
        <v>54</v>
      </c>
      <c r="G631" s="28">
        <f t="shared" si="19"/>
        <v>4.596774193548387</v>
      </c>
      <c r="H631" s="33">
        <f t="shared" si="18"/>
        <v>5.1873198847262249E-2</v>
      </c>
    </row>
    <row r="632" spans="1:8">
      <c r="A632" s="27">
        <v>2536</v>
      </c>
      <c r="B632" s="8" t="s">
        <v>272</v>
      </c>
      <c r="C632" s="8">
        <v>212</v>
      </c>
      <c r="D632" s="8">
        <v>608</v>
      </c>
      <c r="E632" s="8">
        <v>96</v>
      </c>
      <c r="F632" s="8">
        <v>76</v>
      </c>
      <c r="G632" s="28">
        <f t="shared" si="19"/>
        <v>6.333333333333333</v>
      </c>
      <c r="H632" s="33">
        <f t="shared" si="18"/>
        <v>0.10795454545454546</v>
      </c>
    </row>
    <row r="633" spans="1:8">
      <c r="A633" s="27">
        <v>2057</v>
      </c>
      <c r="B633" s="8" t="s">
        <v>604</v>
      </c>
      <c r="C633" s="8">
        <v>185</v>
      </c>
      <c r="D633" s="8">
        <v>804</v>
      </c>
      <c r="E633" s="8">
        <v>49</v>
      </c>
      <c r="F633" s="8">
        <v>32</v>
      </c>
      <c r="G633" s="28">
        <f t="shared" si="19"/>
        <v>16.408163265306122</v>
      </c>
      <c r="H633" s="33">
        <f t="shared" si="18"/>
        <v>3.7514654161781943E-2</v>
      </c>
    </row>
    <row r="634" spans="1:8">
      <c r="A634" s="27">
        <v>5627</v>
      </c>
      <c r="B634" s="8" t="s">
        <v>606</v>
      </c>
      <c r="C634" s="8">
        <v>124</v>
      </c>
      <c r="D634" s="8">
        <v>207</v>
      </c>
      <c r="E634" s="8">
        <v>140</v>
      </c>
      <c r="F634" s="8">
        <v>44</v>
      </c>
      <c r="G634" s="28">
        <f t="shared" si="19"/>
        <v>1.4785714285714286</v>
      </c>
      <c r="H634" s="33">
        <f t="shared" si="18"/>
        <v>0.12680115273775217</v>
      </c>
    </row>
    <row r="635" spans="1:8">
      <c r="A635" s="27">
        <v>4763</v>
      </c>
      <c r="B635" s="8" t="s">
        <v>266</v>
      </c>
      <c r="C635" s="8">
        <v>256</v>
      </c>
      <c r="D635" s="8">
        <v>118</v>
      </c>
      <c r="E635" s="8">
        <v>104</v>
      </c>
      <c r="F635" s="8">
        <v>8</v>
      </c>
      <c r="G635" s="28">
        <f t="shared" si="19"/>
        <v>1.1346153846153846</v>
      </c>
      <c r="H635" s="33">
        <f t="shared" si="18"/>
        <v>3.6036036036036036E-2</v>
      </c>
    </row>
    <row r="636" spans="1:8">
      <c r="A636" s="27">
        <v>4577</v>
      </c>
      <c r="B636" s="8" t="s">
        <v>190</v>
      </c>
      <c r="C636" s="8">
        <v>58</v>
      </c>
      <c r="D636" s="8">
        <v>983</v>
      </c>
      <c r="E636" s="8">
        <v>8</v>
      </c>
      <c r="F636" s="8">
        <v>75</v>
      </c>
      <c r="G636" s="28">
        <f t="shared" si="19"/>
        <v>122.875</v>
      </c>
      <c r="H636" s="33">
        <f t="shared" si="18"/>
        <v>7.5681130171543889E-2</v>
      </c>
    </row>
    <row r="637" spans="1:8">
      <c r="A637" s="27">
        <v>5216</v>
      </c>
      <c r="B637" s="8" t="s">
        <v>367</v>
      </c>
      <c r="C637" s="8">
        <v>135</v>
      </c>
      <c r="D637" s="8">
        <v>523</v>
      </c>
      <c r="E637" s="8">
        <v>159</v>
      </c>
      <c r="F637" s="8">
        <v>11</v>
      </c>
      <c r="G637" s="28">
        <f t="shared" si="19"/>
        <v>3.2893081761006289</v>
      </c>
      <c r="H637" s="33">
        <f t="shared" si="18"/>
        <v>1.6129032258064516E-2</v>
      </c>
    </row>
    <row r="638" spans="1:8">
      <c r="A638" s="27">
        <v>3941</v>
      </c>
      <c r="B638" s="8" t="s">
        <v>608</v>
      </c>
      <c r="C638" s="8">
        <v>163</v>
      </c>
      <c r="D638" s="8">
        <v>786</v>
      </c>
      <c r="E638" s="8">
        <v>94</v>
      </c>
      <c r="F638" s="8">
        <v>18</v>
      </c>
      <c r="G638" s="28">
        <f t="shared" si="19"/>
        <v>8.3617021276595747</v>
      </c>
      <c r="H638" s="33">
        <f t="shared" si="18"/>
        <v>2.0454545454545454E-2</v>
      </c>
    </row>
    <row r="639" spans="1:8">
      <c r="A639" s="27">
        <v>4396</v>
      </c>
      <c r="B639" s="8" t="s">
        <v>234</v>
      </c>
      <c r="C639" s="8">
        <v>120</v>
      </c>
      <c r="D639" s="8">
        <v>781</v>
      </c>
      <c r="E639" s="8">
        <v>97</v>
      </c>
      <c r="F639" s="8">
        <v>46</v>
      </c>
      <c r="G639" s="28">
        <f t="shared" si="19"/>
        <v>8.0515463917525771</v>
      </c>
      <c r="H639" s="33">
        <f t="shared" si="18"/>
        <v>5.2391799544419138E-2</v>
      </c>
    </row>
    <row r="640" spans="1:8">
      <c r="A640" s="27">
        <v>4865</v>
      </c>
      <c r="B640" s="8" t="s">
        <v>98</v>
      </c>
      <c r="C640" s="8">
        <v>439</v>
      </c>
      <c r="D640" s="8">
        <v>434</v>
      </c>
      <c r="E640" s="8">
        <v>104</v>
      </c>
      <c r="F640" s="8">
        <v>36</v>
      </c>
      <c r="G640" s="28">
        <f t="shared" si="19"/>
        <v>4.1730769230769234</v>
      </c>
      <c r="H640" s="33">
        <f t="shared" si="18"/>
        <v>6.6914498141263934E-2</v>
      </c>
    </row>
    <row r="641" spans="1:8">
      <c r="A641" s="27">
        <v>2497</v>
      </c>
      <c r="B641" s="8" t="s">
        <v>382</v>
      </c>
      <c r="C641" s="8">
        <v>223</v>
      </c>
      <c r="D641" s="8">
        <v>824</v>
      </c>
      <c r="E641" s="8">
        <v>125</v>
      </c>
      <c r="F641" s="8">
        <v>56</v>
      </c>
      <c r="G641" s="28">
        <f t="shared" si="19"/>
        <v>6.5919999999999996</v>
      </c>
      <c r="H641" s="33">
        <f t="shared" si="18"/>
        <v>5.9009483667017915E-2</v>
      </c>
    </row>
    <row r="642" spans="1:8">
      <c r="A642" s="27">
        <v>4945</v>
      </c>
      <c r="B642" s="8" t="s">
        <v>313</v>
      </c>
      <c r="C642" s="8">
        <v>485</v>
      </c>
      <c r="D642" s="8">
        <v>230</v>
      </c>
      <c r="E642" s="8">
        <v>21</v>
      </c>
      <c r="F642" s="8">
        <v>83</v>
      </c>
      <c r="G642" s="28">
        <f t="shared" si="19"/>
        <v>10.952380952380953</v>
      </c>
      <c r="H642" s="33">
        <f t="shared" ref="H642:H705" si="20">F642/(D642+E642)</f>
        <v>0.33067729083665337</v>
      </c>
    </row>
    <row r="643" spans="1:8">
      <c r="A643" s="27">
        <v>5227</v>
      </c>
      <c r="B643" s="8" t="s">
        <v>610</v>
      </c>
      <c r="C643" s="8">
        <v>474</v>
      </c>
      <c r="D643" s="8">
        <v>358</v>
      </c>
      <c r="E643" s="8">
        <v>147</v>
      </c>
      <c r="F643" s="8">
        <v>44</v>
      </c>
      <c r="G643" s="28">
        <f t="shared" ref="G643:G706" si="21">D643/E643</f>
        <v>2.435374149659864</v>
      </c>
      <c r="H643" s="33">
        <f t="shared" si="20"/>
        <v>8.7128712871287123E-2</v>
      </c>
    </row>
    <row r="644" spans="1:8">
      <c r="A644" s="27">
        <v>2150</v>
      </c>
      <c r="B644" s="8" t="s">
        <v>311</v>
      </c>
      <c r="C644" s="8">
        <v>259</v>
      </c>
      <c r="D644" s="8">
        <v>380</v>
      </c>
      <c r="E644" s="8">
        <v>9</v>
      </c>
      <c r="F644" s="8">
        <v>49</v>
      </c>
      <c r="G644" s="28">
        <f t="shared" si="21"/>
        <v>42.222222222222221</v>
      </c>
      <c r="H644" s="33">
        <f t="shared" si="20"/>
        <v>0.12596401028277635</v>
      </c>
    </row>
    <row r="645" spans="1:8">
      <c r="A645" s="27">
        <v>7145</v>
      </c>
      <c r="B645" s="8" t="s">
        <v>612</v>
      </c>
      <c r="C645" s="8">
        <v>53</v>
      </c>
      <c r="D645" s="8">
        <v>647</v>
      </c>
      <c r="E645" s="8">
        <v>165</v>
      </c>
      <c r="F645" s="8">
        <v>88</v>
      </c>
      <c r="G645" s="28">
        <f t="shared" si="21"/>
        <v>3.9212121212121214</v>
      </c>
      <c r="H645" s="33">
        <f t="shared" si="20"/>
        <v>0.10837438423645321</v>
      </c>
    </row>
    <row r="646" spans="1:8">
      <c r="A646" s="27">
        <v>2040</v>
      </c>
      <c r="B646" s="8" t="s">
        <v>613</v>
      </c>
      <c r="C646" s="8">
        <v>221</v>
      </c>
      <c r="D646" s="8">
        <v>518</v>
      </c>
      <c r="E646" s="8">
        <v>157</v>
      </c>
      <c r="F646" s="8">
        <v>4</v>
      </c>
      <c r="G646" s="28">
        <f t="shared" si="21"/>
        <v>3.2993630573248409</v>
      </c>
      <c r="H646" s="33">
        <f t="shared" si="20"/>
        <v>5.9259259259259256E-3</v>
      </c>
    </row>
    <row r="647" spans="1:8">
      <c r="A647" s="27">
        <v>4191</v>
      </c>
      <c r="B647" s="8" t="s">
        <v>270</v>
      </c>
      <c r="C647" s="8">
        <v>46</v>
      </c>
      <c r="D647" s="8">
        <v>33</v>
      </c>
      <c r="E647" s="8">
        <v>120</v>
      </c>
      <c r="F647" s="8">
        <v>77</v>
      </c>
      <c r="G647" s="28">
        <f t="shared" si="21"/>
        <v>0.27500000000000002</v>
      </c>
      <c r="H647" s="33">
        <f t="shared" si="20"/>
        <v>0.50326797385620914</v>
      </c>
    </row>
    <row r="648" spans="1:8">
      <c r="A648" s="27">
        <v>4336</v>
      </c>
      <c r="B648" s="8" t="s">
        <v>88</v>
      </c>
      <c r="C648" s="8">
        <v>253</v>
      </c>
      <c r="D648" s="8">
        <v>660</v>
      </c>
      <c r="E648" s="8">
        <v>151</v>
      </c>
      <c r="F648" s="8">
        <v>43</v>
      </c>
      <c r="G648" s="28">
        <f t="shared" si="21"/>
        <v>4.370860927152318</v>
      </c>
      <c r="H648" s="33">
        <f t="shared" si="20"/>
        <v>5.3020961775585698E-2</v>
      </c>
    </row>
    <row r="649" spans="1:8">
      <c r="A649" s="27">
        <v>5438</v>
      </c>
      <c r="B649" s="8" t="s">
        <v>411</v>
      </c>
      <c r="C649" s="8">
        <v>478</v>
      </c>
      <c r="D649" s="8">
        <v>517</v>
      </c>
      <c r="E649" s="8">
        <v>200</v>
      </c>
      <c r="F649" s="8">
        <v>41</v>
      </c>
      <c r="G649" s="28">
        <f t="shared" si="21"/>
        <v>2.585</v>
      </c>
      <c r="H649" s="33">
        <f t="shared" si="20"/>
        <v>5.7182705718270568E-2</v>
      </c>
    </row>
    <row r="650" spans="1:8">
      <c r="A650" s="27">
        <v>9857</v>
      </c>
      <c r="B650" s="8" t="s">
        <v>247</v>
      </c>
      <c r="C650" s="8">
        <v>145</v>
      </c>
      <c r="D650" s="8">
        <v>882</v>
      </c>
      <c r="E650" s="8">
        <v>23</v>
      </c>
      <c r="F650" s="8">
        <v>79</v>
      </c>
      <c r="G650" s="28">
        <f t="shared" si="21"/>
        <v>38.347826086956523</v>
      </c>
      <c r="H650" s="33">
        <f t="shared" si="20"/>
        <v>8.7292817679558016E-2</v>
      </c>
    </row>
    <row r="651" spans="1:8">
      <c r="A651" s="27">
        <v>4767</v>
      </c>
      <c r="B651" s="8" t="s">
        <v>98</v>
      </c>
      <c r="C651" s="8">
        <v>366</v>
      </c>
      <c r="D651" s="8">
        <v>349</v>
      </c>
      <c r="E651" s="8">
        <v>50</v>
      </c>
      <c r="F651" s="8">
        <v>21</v>
      </c>
      <c r="G651" s="28">
        <f t="shared" si="21"/>
        <v>6.98</v>
      </c>
      <c r="H651" s="33">
        <f t="shared" si="20"/>
        <v>5.2631578947368418E-2</v>
      </c>
    </row>
    <row r="652" spans="1:8">
      <c r="A652" s="27">
        <v>9374</v>
      </c>
      <c r="B652" s="8" t="s">
        <v>224</v>
      </c>
      <c r="C652" s="8">
        <v>301</v>
      </c>
      <c r="D652" s="8">
        <v>619</v>
      </c>
      <c r="E652" s="8">
        <v>172</v>
      </c>
      <c r="F652" s="8">
        <v>37</v>
      </c>
      <c r="G652" s="28">
        <f t="shared" si="21"/>
        <v>3.5988372093023258</v>
      </c>
      <c r="H652" s="33">
        <f t="shared" si="20"/>
        <v>4.6776232616940583E-2</v>
      </c>
    </row>
    <row r="653" spans="1:8">
      <c r="A653" s="27">
        <v>3918</v>
      </c>
      <c r="B653" s="8" t="s">
        <v>88</v>
      </c>
      <c r="C653" s="8">
        <v>26</v>
      </c>
      <c r="D653" s="8">
        <v>416</v>
      </c>
      <c r="E653" s="8">
        <v>146</v>
      </c>
      <c r="F653" s="8">
        <v>41</v>
      </c>
      <c r="G653" s="28">
        <f t="shared" si="21"/>
        <v>2.8493150684931505</v>
      </c>
      <c r="H653" s="33">
        <f t="shared" si="20"/>
        <v>7.2953736654804271E-2</v>
      </c>
    </row>
    <row r="654" spans="1:8">
      <c r="A654" s="27">
        <v>9866</v>
      </c>
      <c r="B654" s="8" t="s">
        <v>138</v>
      </c>
      <c r="C654" s="8">
        <v>208</v>
      </c>
      <c r="D654" s="8">
        <v>466</v>
      </c>
      <c r="E654" s="8">
        <v>174</v>
      </c>
      <c r="F654" s="8">
        <v>51</v>
      </c>
      <c r="G654" s="28">
        <f t="shared" si="21"/>
        <v>2.6781609195402298</v>
      </c>
      <c r="H654" s="33">
        <f t="shared" si="20"/>
        <v>7.9687499999999994E-2</v>
      </c>
    </row>
    <row r="655" spans="1:8">
      <c r="A655" s="27">
        <v>6389</v>
      </c>
      <c r="B655" s="8" t="s">
        <v>541</v>
      </c>
      <c r="C655" s="8">
        <v>109</v>
      </c>
      <c r="D655" s="8">
        <v>701</v>
      </c>
      <c r="E655" s="8">
        <v>4</v>
      </c>
      <c r="F655" s="8">
        <v>64</v>
      </c>
      <c r="G655" s="28">
        <f t="shared" si="21"/>
        <v>175.25</v>
      </c>
      <c r="H655" s="33">
        <f t="shared" si="20"/>
        <v>9.0780141843971637E-2</v>
      </c>
    </row>
    <row r="656" spans="1:8">
      <c r="A656" s="27">
        <v>8733</v>
      </c>
      <c r="B656" s="8" t="s">
        <v>294</v>
      </c>
      <c r="C656" s="8">
        <v>451</v>
      </c>
      <c r="D656" s="8">
        <v>742</v>
      </c>
      <c r="E656" s="8">
        <v>140</v>
      </c>
      <c r="F656" s="8">
        <v>37</v>
      </c>
      <c r="G656" s="28">
        <f t="shared" si="21"/>
        <v>5.3</v>
      </c>
      <c r="H656" s="33">
        <f t="shared" si="20"/>
        <v>4.195011337868481E-2</v>
      </c>
    </row>
    <row r="657" spans="1:8">
      <c r="A657" s="27">
        <v>8105</v>
      </c>
      <c r="B657" s="8" t="s">
        <v>52</v>
      </c>
      <c r="C657" s="8">
        <v>33</v>
      </c>
      <c r="D657" s="8">
        <v>228</v>
      </c>
      <c r="E657" s="8">
        <v>42</v>
      </c>
      <c r="F657" s="8">
        <v>21</v>
      </c>
      <c r="G657" s="28">
        <f t="shared" si="21"/>
        <v>5.4285714285714288</v>
      </c>
      <c r="H657" s="33">
        <f t="shared" si="20"/>
        <v>7.7777777777777779E-2</v>
      </c>
    </row>
    <row r="658" spans="1:8">
      <c r="A658" s="27">
        <v>3443</v>
      </c>
      <c r="B658" s="8" t="s">
        <v>190</v>
      </c>
      <c r="C658" s="8">
        <v>467</v>
      </c>
      <c r="D658" s="8">
        <v>18</v>
      </c>
      <c r="E658" s="8">
        <v>34</v>
      </c>
      <c r="F658" s="8">
        <v>100</v>
      </c>
      <c r="G658" s="28">
        <f t="shared" si="21"/>
        <v>0.52941176470588236</v>
      </c>
      <c r="H658" s="33">
        <f t="shared" si="20"/>
        <v>1.9230769230769231</v>
      </c>
    </row>
    <row r="659" spans="1:8">
      <c r="A659" s="27">
        <v>2664</v>
      </c>
      <c r="B659" s="8" t="s">
        <v>98</v>
      </c>
      <c r="C659" s="8">
        <v>123</v>
      </c>
      <c r="D659" s="8">
        <v>826</v>
      </c>
      <c r="E659" s="8">
        <v>79</v>
      </c>
      <c r="F659" s="8">
        <v>34</v>
      </c>
      <c r="G659" s="28">
        <f t="shared" si="21"/>
        <v>10.455696202531646</v>
      </c>
      <c r="H659" s="33">
        <f t="shared" si="20"/>
        <v>3.7569060773480663E-2</v>
      </c>
    </row>
    <row r="660" spans="1:8">
      <c r="A660" s="27">
        <v>1782</v>
      </c>
      <c r="B660" s="8" t="s">
        <v>617</v>
      </c>
      <c r="C660" s="8">
        <v>139</v>
      </c>
      <c r="D660" s="8">
        <v>357</v>
      </c>
      <c r="E660" s="8">
        <v>44</v>
      </c>
      <c r="F660" s="8">
        <v>67</v>
      </c>
      <c r="G660" s="28">
        <f t="shared" si="21"/>
        <v>8.1136363636363633</v>
      </c>
      <c r="H660" s="33">
        <f t="shared" si="20"/>
        <v>0.16708229426433915</v>
      </c>
    </row>
    <row r="661" spans="1:8">
      <c r="A661" s="27">
        <v>1337</v>
      </c>
      <c r="B661" s="8" t="s">
        <v>618</v>
      </c>
      <c r="C661" s="8">
        <v>103</v>
      </c>
      <c r="D661" s="8">
        <v>474</v>
      </c>
      <c r="E661" s="8">
        <v>2</v>
      </c>
      <c r="F661" s="8">
        <v>31</v>
      </c>
      <c r="G661" s="28">
        <f t="shared" si="21"/>
        <v>237</v>
      </c>
      <c r="H661" s="33">
        <f t="shared" si="20"/>
        <v>6.5126050420168072E-2</v>
      </c>
    </row>
    <row r="662" spans="1:8">
      <c r="A662" s="27">
        <v>5901</v>
      </c>
      <c r="B662" s="8" t="s">
        <v>41</v>
      </c>
      <c r="C662" s="8">
        <v>207</v>
      </c>
      <c r="D662" s="8">
        <v>946</v>
      </c>
      <c r="E662" s="8">
        <v>166</v>
      </c>
      <c r="F662" s="8">
        <v>96</v>
      </c>
      <c r="G662" s="28">
        <f t="shared" si="21"/>
        <v>5.6987951807228914</v>
      </c>
      <c r="H662" s="33">
        <f t="shared" si="20"/>
        <v>8.6330935251798566E-2</v>
      </c>
    </row>
    <row r="663" spans="1:8">
      <c r="A663" s="27">
        <v>2731</v>
      </c>
      <c r="B663" s="8" t="s">
        <v>619</v>
      </c>
      <c r="C663" s="8">
        <v>267</v>
      </c>
      <c r="D663" s="8">
        <v>890</v>
      </c>
      <c r="E663" s="8">
        <v>187</v>
      </c>
      <c r="F663" s="8">
        <v>98</v>
      </c>
      <c r="G663" s="28">
        <f t="shared" si="21"/>
        <v>4.7593582887700538</v>
      </c>
      <c r="H663" s="33">
        <f t="shared" si="20"/>
        <v>9.0993500464252558E-2</v>
      </c>
    </row>
    <row r="664" spans="1:8">
      <c r="A664" s="27">
        <v>8307</v>
      </c>
      <c r="B664" s="8" t="s">
        <v>245</v>
      </c>
      <c r="C664" s="8">
        <v>266</v>
      </c>
      <c r="D664" s="8">
        <v>583</v>
      </c>
      <c r="E664" s="8">
        <v>131</v>
      </c>
      <c r="F664" s="8">
        <v>0</v>
      </c>
      <c r="G664" s="28">
        <f t="shared" si="21"/>
        <v>4.4503816793893129</v>
      </c>
      <c r="H664" s="33">
        <f t="shared" si="20"/>
        <v>0</v>
      </c>
    </row>
    <row r="665" spans="1:8">
      <c r="A665" s="27">
        <v>8019</v>
      </c>
      <c r="B665" s="8" t="s">
        <v>620</v>
      </c>
      <c r="C665" s="8">
        <v>240</v>
      </c>
      <c r="D665" s="8">
        <v>304</v>
      </c>
      <c r="E665" s="8">
        <v>25</v>
      </c>
      <c r="F665" s="8">
        <v>66</v>
      </c>
      <c r="G665" s="28">
        <f t="shared" si="21"/>
        <v>12.16</v>
      </c>
      <c r="H665" s="33">
        <f t="shared" si="20"/>
        <v>0.20060790273556231</v>
      </c>
    </row>
    <row r="666" spans="1:8">
      <c r="A666" s="27">
        <v>4847</v>
      </c>
      <c r="B666" s="8" t="s">
        <v>238</v>
      </c>
      <c r="C666" s="8">
        <v>315</v>
      </c>
      <c r="D666" s="8">
        <v>205</v>
      </c>
      <c r="E666" s="8">
        <v>92</v>
      </c>
      <c r="F666" s="8">
        <v>67</v>
      </c>
      <c r="G666" s="28">
        <f t="shared" si="21"/>
        <v>2.2282608695652173</v>
      </c>
      <c r="H666" s="33">
        <f t="shared" si="20"/>
        <v>0.22558922558922559</v>
      </c>
    </row>
    <row r="667" spans="1:8">
      <c r="A667" s="27">
        <v>9822</v>
      </c>
      <c r="B667" s="8" t="s">
        <v>212</v>
      </c>
      <c r="C667" s="8">
        <v>276</v>
      </c>
      <c r="D667" s="8">
        <v>348</v>
      </c>
      <c r="E667" s="8">
        <v>13</v>
      </c>
      <c r="F667" s="8">
        <v>34</v>
      </c>
      <c r="G667" s="28">
        <f t="shared" si="21"/>
        <v>26.76923076923077</v>
      </c>
      <c r="H667" s="33">
        <f t="shared" si="20"/>
        <v>9.4182825484764546E-2</v>
      </c>
    </row>
    <row r="668" spans="1:8">
      <c r="A668" s="27">
        <v>9141</v>
      </c>
      <c r="B668" s="8" t="s">
        <v>621</v>
      </c>
      <c r="C668" s="8">
        <v>308</v>
      </c>
      <c r="D668" s="8">
        <v>107</v>
      </c>
      <c r="E668" s="8">
        <v>87</v>
      </c>
      <c r="F668" s="8">
        <v>17</v>
      </c>
      <c r="G668" s="28">
        <f t="shared" si="21"/>
        <v>1.2298850574712643</v>
      </c>
      <c r="H668" s="33">
        <f t="shared" si="20"/>
        <v>8.7628865979381437E-2</v>
      </c>
    </row>
    <row r="669" spans="1:8">
      <c r="A669" s="27">
        <v>7539</v>
      </c>
      <c r="B669" s="8" t="s">
        <v>606</v>
      </c>
      <c r="C669" s="8">
        <v>297</v>
      </c>
      <c r="D669" s="8">
        <v>959</v>
      </c>
      <c r="E669" s="8">
        <v>71</v>
      </c>
      <c r="F669" s="8">
        <v>82</v>
      </c>
      <c r="G669" s="28">
        <f t="shared" si="21"/>
        <v>13.507042253521126</v>
      </c>
      <c r="H669" s="33">
        <f t="shared" si="20"/>
        <v>7.9611650485436891E-2</v>
      </c>
    </row>
    <row r="670" spans="1:8">
      <c r="A670" s="27">
        <v>1390</v>
      </c>
      <c r="B670" s="8" t="s">
        <v>623</v>
      </c>
      <c r="C670" s="8">
        <v>326</v>
      </c>
      <c r="D670" s="8">
        <v>439</v>
      </c>
      <c r="E670" s="8">
        <v>88</v>
      </c>
      <c r="F670" s="8">
        <v>3</v>
      </c>
      <c r="G670" s="28">
        <f t="shared" si="21"/>
        <v>4.9886363636363633</v>
      </c>
      <c r="H670" s="33">
        <f t="shared" si="20"/>
        <v>5.6925996204933585E-3</v>
      </c>
    </row>
    <row r="671" spans="1:8">
      <c r="A671" s="27">
        <v>9505</v>
      </c>
      <c r="B671" s="8" t="s">
        <v>284</v>
      </c>
      <c r="C671" s="8">
        <v>352</v>
      </c>
      <c r="D671" s="8">
        <v>757</v>
      </c>
      <c r="E671" s="8">
        <v>13</v>
      </c>
      <c r="F671" s="8">
        <v>67</v>
      </c>
      <c r="G671" s="28">
        <f t="shared" si="21"/>
        <v>58.230769230769234</v>
      </c>
      <c r="H671" s="33">
        <f t="shared" si="20"/>
        <v>8.7012987012987014E-2</v>
      </c>
    </row>
    <row r="672" spans="1:8">
      <c r="A672" s="27">
        <v>6741</v>
      </c>
      <c r="B672" s="8" t="s">
        <v>259</v>
      </c>
      <c r="C672" s="8">
        <v>180</v>
      </c>
      <c r="D672" s="8">
        <v>647</v>
      </c>
      <c r="E672" s="8">
        <v>2</v>
      </c>
      <c r="F672" s="8">
        <v>9</v>
      </c>
      <c r="G672" s="28">
        <f t="shared" si="21"/>
        <v>323.5</v>
      </c>
      <c r="H672" s="33">
        <f t="shared" si="20"/>
        <v>1.386748844375963E-2</v>
      </c>
    </row>
    <row r="673" spans="1:8">
      <c r="A673" s="27">
        <v>1790</v>
      </c>
      <c r="B673" s="8" t="s">
        <v>624</v>
      </c>
      <c r="C673" s="8">
        <v>362</v>
      </c>
      <c r="D673" s="8">
        <v>535</v>
      </c>
      <c r="E673" s="8">
        <v>200</v>
      </c>
      <c r="F673" s="8">
        <v>60</v>
      </c>
      <c r="G673" s="28">
        <f t="shared" si="21"/>
        <v>2.6749999999999998</v>
      </c>
      <c r="H673" s="33">
        <f t="shared" si="20"/>
        <v>8.1632653061224483E-2</v>
      </c>
    </row>
    <row r="674" spans="1:8">
      <c r="A674" s="27">
        <v>6491</v>
      </c>
      <c r="B674" s="8" t="s">
        <v>625</v>
      </c>
      <c r="C674" s="8">
        <v>154</v>
      </c>
      <c r="D674" s="8">
        <v>340</v>
      </c>
      <c r="E674" s="8">
        <v>53</v>
      </c>
      <c r="F674" s="8">
        <v>31</v>
      </c>
      <c r="G674" s="28">
        <f t="shared" si="21"/>
        <v>6.4150943396226419</v>
      </c>
      <c r="H674" s="33">
        <f t="shared" si="20"/>
        <v>7.8880407124681931E-2</v>
      </c>
    </row>
    <row r="675" spans="1:8">
      <c r="A675" s="27">
        <v>3102</v>
      </c>
      <c r="B675" s="8" t="s">
        <v>260</v>
      </c>
      <c r="C675" s="8">
        <v>287</v>
      </c>
      <c r="D675" s="8">
        <v>670</v>
      </c>
      <c r="E675" s="8">
        <v>147</v>
      </c>
      <c r="F675" s="8">
        <v>42</v>
      </c>
      <c r="G675" s="28">
        <f t="shared" si="21"/>
        <v>4.5578231292517009</v>
      </c>
      <c r="H675" s="33">
        <f t="shared" si="20"/>
        <v>5.1407588739290085E-2</v>
      </c>
    </row>
    <row r="676" spans="1:8">
      <c r="A676" s="27">
        <v>1300</v>
      </c>
      <c r="B676" s="8" t="s">
        <v>626</v>
      </c>
      <c r="C676" s="8">
        <v>303</v>
      </c>
      <c r="D676" s="8">
        <v>780</v>
      </c>
      <c r="E676" s="8">
        <v>128</v>
      </c>
      <c r="F676" s="8">
        <v>12</v>
      </c>
      <c r="G676" s="28">
        <f t="shared" si="21"/>
        <v>6.09375</v>
      </c>
      <c r="H676" s="33">
        <f t="shared" si="20"/>
        <v>1.3215859030837005E-2</v>
      </c>
    </row>
    <row r="677" spans="1:8">
      <c r="A677" s="27">
        <v>5410</v>
      </c>
      <c r="B677" s="8" t="s">
        <v>628</v>
      </c>
      <c r="C677" s="8">
        <v>447</v>
      </c>
      <c r="D677" s="8">
        <v>615</v>
      </c>
      <c r="E677" s="8">
        <v>132</v>
      </c>
      <c r="F677" s="8">
        <v>88</v>
      </c>
      <c r="G677" s="28">
        <f t="shared" si="21"/>
        <v>4.6590909090909092</v>
      </c>
      <c r="H677" s="33">
        <f t="shared" si="20"/>
        <v>0.11780455153949129</v>
      </c>
    </row>
    <row r="678" spans="1:8">
      <c r="A678" s="27">
        <v>2714</v>
      </c>
      <c r="B678" s="8" t="s">
        <v>629</v>
      </c>
      <c r="C678" s="8">
        <v>480</v>
      </c>
      <c r="D678" s="8">
        <v>277</v>
      </c>
      <c r="E678" s="8">
        <v>25</v>
      </c>
      <c r="F678" s="8">
        <v>41</v>
      </c>
      <c r="G678" s="28">
        <f t="shared" si="21"/>
        <v>11.08</v>
      </c>
      <c r="H678" s="33">
        <f t="shared" si="20"/>
        <v>0.13576158940397351</v>
      </c>
    </row>
    <row r="679" spans="1:8">
      <c r="A679" s="27">
        <v>4700</v>
      </c>
      <c r="B679" s="8" t="s">
        <v>179</v>
      </c>
      <c r="C679" s="8">
        <v>438</v>
      </c>
      <c r="D679" s="8">
        <v>546</v>
      </c>
      <c r="E679" s="8">
        <v>88</v>
      </c>
      <c r="F679" s="8">
        <v>36</v>
      </c>
      <c r="G679" s="28">
        <f t="shared" si="21"/>
        <v>6.2045454545454541</v>
      </c>
      <c r="H679" s="33">
        <f t="shared" si="20"/>
        <v>5.6782334384858045E-2</v>
      </c>
    </row>
    <row r="680" spans="1:8">
      <c r="A680" s="27">
        <v>7589</v>
      </c>
      <c r="B680" s="8" t="s">
        <v>280</v>
      </c>
      <c r="C680" s="8">
        <v>295</v>
      </c>
      <c r="D680" s="8">
        <v>514</v>
      </c>
      <c r="E680" s="8">
        <v>102</v>
      </c>
      <c r="F680" s="8">
        <v>3</v>
      </c>
      <c r="G680" s="28">
        <f t="shared" si="21"/>
        <v>5.0392156862745097</v>
      </c>
      <c r="H680" s="33">
        <f t="shared" si="20"/>
        <v>4.87012987012987E-3</v>
      </c>
    </row>
    <row r="681" spans="1:8">
      <c r="A681" s="27">
        <v>6866</v>
      </c>
      <c r="B681" s="8" t="s">
        <v>199</v>
      </c>
      <c r="C681" s="8">
        <v>479</v>
      </c>
      <c r="D681" s="8">
        <v>952</v>
      </c>
      <c r="E681" s="8">
        <v>48</v>
      </c>
      <c r="F681" s="8">
        <v>54</v>
      </c>
      <c r="G681" s="28">
        <f t="shared" si="21"/>
        <v>19.833333333333332</v>
      </c>
      <c r="H681" s="33">
        <f t="shared" si="20"/>
        <v>5.3999999999999999E-2</v>
      </c>
    </row>
    <row r="682" spans="1:8">
      <c r="A682" s="27">
        <v>6960</v>
      </c>
      <c r="B682" s="8" t="s">
        <v>630</v>
      </c>
      <c r="C682" s="8">
        <v>214</v>
      </c>
      <c r="D682" s="8">
        <v>780</v>
      </c>
      <c r="E682" s="8">
        <v>16</v>
      </c>
      <c r="F682" s="8">
        <v>1</v>
      </c>
      <c r="G682" s="28">
        <f t="shared" si="21"/>
        <v>48.75</v>
      </c>
      <c r="H682" s="33">
        <f t="shared" si="20"/>
        <v>1.2562814070351759E-3</v>
      </c>
    </row>
    <row r="683" spans="1:8">
      <c r="A683" s="27">
        <v>5808</v>
      </c>
      <c r="B683" s="8" t="s">
        <v>491</v>
      </c>
      <c r="C683" s="8">
        <v>69</v>
      </c>
      <c r="D683" s="8">
        <v>976</v>
      </c>
      <c r="E683" s="8">
        <v>105</v>
      </c>
      <c r="F683" s="8">
        <v>50</v>
      </c>
      <c r="G683" s="28">
        <f t="shared" si="21"/>
        <v>9.295238095238096</v>
      </c>
      <c r="H683" s="33">
        <f t="shared" si="20"/>
        <v>4.6253469010175761E-2</v>
      </c>
    </row>
    <row r="684" spans="1:8">
      <c r="A684" s="27">
        <v>5525</v>
      </c>
      <c r="B684" s="8" t="s">
        <v>224</v>
      </c>
      <c r="C684" s="8">
        <v>344</v>
      </c>
      <c r="D684" s="8">
        <v>91</v>
      </c>
      <c r="E684" s="8">
        <v>137</v>
      </c>
      <c r="F684" s="8">
        <v>37</v>
      </c>
      <c r="G684" s="28">
        <f t="shared" si="21"/>
        <v>0.66423357664233573</v>
      </c>
      <c r="H684" s="33">
        <f t="shared" si="20"/>
        <v>0.16228070175438597</v>
      </c>
    </row>
    <row r="685" spans="1:8">
      <c r="A685" s="27">
        <v>1272</v>
      </c>
      <c r="B685" s="8" t="s">
        <v>272</v>
      </c>
      <c r="C685" s="8">
        <v>163</v>
      </c>
      <c r="D685" s="8">
        <v>683</v>
      </c>
      <c r="E685" s="8">
        <v>108</v>
      </c>
      <c r="F685" s="8">
        <v>10</v>
      </c>
      <c r="G685" s="28">
        <f t="shared" si="21"/>
        <v>6.3240740740740744</v>
      </c>
      <c r="H685" s="33">
        <f t="shared" si="20"/>
        <v>1.2642225031605562E-2</v>
      </c>
    </row>
    <row r="686" spans="1:8">
      <c r="A686" s="27">
        <v>8063</v>
      </c>
      <c r="B686" s="8" t="s">
        <v>304</v>
      </c>
      <c r="C686" s="8">
        <v>217</v>
      </c>
      <c r="D686" s="8">
        <v>53</v>
      </c>
      <c r="E686" s="8">
        <v>153</v>
      </c>
      <c r="F686" s="8">
        <v>2</v>
      </c>
      <c r="G686" s="28">
        <f t="shared" si="21"/>
        <v>0.34640522875816993</v>
      </c>
      <c r="H686" s="33">
        <f t="shared" si="20"/>
        <v>9.7087378640776691E-3</v>
      </c>
    </row>
    <row r="687" spans="1:8">
      <c r="A687" s="27">
        <v>1856</v>
      </c>
      <c r="B687" s="8" t="s">
        <v>631</v>
      </c>
      <c r="C687" s="8">
        <v>177</v>
      </c>
      <c r="D687" s="8">
        <v>246</v>
      </c>
      <c r="E687" s="8">
        <v>182</v>
      </c>
      <c r="F687" s="8">
        <v>89</v>
      </c>
      <c r="G687" s="28">
        <f t="shared" si="21"/>
        <v>1.3516483516483517</v>
      </c>
      <c r="H687" s="33">
        <f t="shared" si="20"/>
        <v>0.20794392523364486</v>
      </c>
    </row>
    <row r="688" spans="1:8">
      <c r="A688" s="27">
        <v>2830</v>
      </c>
      <c r="B688" s="8" t="s">
        <v>579</v>
      </c>
      <c r="C688" s="8">
        <v>304</v>
      </c>
      <c r="D688" s="8">
        <v>389</v>
      </c>
      <c r="E688" s="8">
        <v>137</v>
      </c>
      <c r="F688" s="8">
        <v>2</v>
      </c>
      <c r="G688" s="28">
        <f t="shared" si="21"/>
        <v>2.8394160583941606</v>
      </c>
      <c r="H688" s="33">
        <f t="shared" si="20"/>
        <v>3.8022813688212928E-3</v>
      </c>
    </row>
    <row r="689" spans="1:8">
      <c r="A689" s="27">
        <v>3287</v>
      </c>
      <c r="B689" s="8" t="s">
        <v>508</v>
      </c>
      <c r="C689" s="8">
        <v>90</v>
      </c>
      <c r="D689" s="8">
        <v>399</v>
      </c>
      <c r="E689" s="8">
        <v>9</v>
      </c>
      <c r="F689" s="8">
        <v>73</v>
      </c>
      <c r="G689" s="28">
        <f t="shared" si="21"/>
        <v>44.333333333333336</v>
      </c>
      <c r="H689" s="33">
        <f t="shared" si="20"/>
        <v>0.17892156862745098</v>
      </c>
    </row>
    <row r="690" spans="1:8">
      <c r="A690" s="27">
        <v>5679</v>
      </c>
      <c r="B690" s="8" t="s">
        <v>444</v>
      </c>
      <c r="C690" s="8">
        <v>108</v>
      </c>
      <c r="D690" s="8">
        <v>694</v>
      </c>
      <c r="E690" s="8">
        <v>199</v>
      </c>
      <c r="F690" s="8">
        <v>81</v>
      </c>
      <c r="G690" s="28">
        <f t="shared" si="21"/>
        <v>3.487437185929648</v>
      </c>
      <c r="H690" s="33">
        <f t="shared" si="20"/>
        <v>9.0705487122060474E-2</v>
      </c>
    </row>
    <row r="691" spans="1:8">
      <c r="A691" s="27">
        <v>6399</v>
      </c>
      <c r="B691" s="8" t="s">
        <v>157</v>
      </c>
      <c r="C691" s="8">
        <v>96</v>
      </c>
      <c r="D691" s="8">
        <v>434</v>
      </c>
      <c r="E691" s="8">
        <v>11</v>
      </c>
      <c r="F691" s="8">
        <v>80</v>
      </c>
      <c r="G691" s="28">
        <f t="shared" si="21"/>
        <v>39.454545454545453</v>
      </c>
      <c r="H691" s="33">
        <f t="shared" si="20"/>
        <v>0.1797752808988764</v>
      </c>
    </row>
    <row r="692" spans="1:8">
      <c r="A692" s="27">
        <v>8753</v>
      </c>
      <c r="B692" s="8" t="s">
        <v>257</v>
      </c>
      <c r="C692" s="8">
        <v>247</v>
      </c>
      <c r="D692" s="8">
        <v>696</v>
      </c>
      <c r="E692" s="8">
        <v>28</v>
      </c>
      <c r="F692" s="8">
        <v>79</v>
      </c>
      <c r="G692" s="28">
        <f t="shared" si="21"/>
        <v>24.857142857142858</v>
      </c>
      <c r="H692" s="33">
        <f t="shared" si="20"/>
        <v>0.10911602209944751</v>
      </c>
    </row>
    <row r="693" spans="1:8">
      <c r="A693" s="27">
        <v>9267</v>
      </c>
      <c r="B693" s="8" t="s">
        <v>284</v>
      </c>
      <c r="C693" s="8">
        <v>245</v>
      </c>
      <c r="D693" s="8">
        <v>862</v>
      </c>
      <c r="E693" s="8">
        <v>129</v>
      </c>
      <c r="F693" s="8">
        <v>6</v>
      </c>
      <c r="G693" s="28">
        <f t="shared" si="21"/>
        <v>6.6821705426356592</v>
      </c>
      <c r="H693" s="33">
        <f t="shared" si="20"/>
        <v>6.0544904137235112E-3</v>
      </c>
    </row>
    <row r="694" spans="1:8">
      <c r="A694" s="27">
        <v>9846</v>
      </c>
      <c r="B694" s="8" t="s">
        <v>128</v>
      </c>
      <c r="C694" s="8">
        <v>366</v>
      </c>
      <c r="D694" s="8">
        <v>631</v>
      </c>
      <c r="E694" s="8">
        <v>56</v>
      </c>
      <c r="F694" s="8">
        <v>35</v>
      </c>
      <c r="G694" s="28">
        <f t="shared" si="21"/>
        <v>11.267857142857142</v>
      </c>
      <c r="H694" s="33">
        <f t="shared" si="20"/>
        <v>5.0946142649199416E-2</v>
      </c>
    </row>
    <row r="695" spans="1:8">
      <c r="A695" s="27">
        <v>2382</v>
      </c>
      <c r="B695" s="8" t="s">
        <v>584</v>
      </c>
      <c r="C695" s="8">
        <v>170</v>
      </c>
      <c r="D695" s="8">
        <v>144</v>
      </c>
      <c r="E695" s="8">
        <v>142</v>
      </c>
      <c r="F695" s="8">
        <v>81</v>
      </c>
      <c r="G695" s="28">
        <f t="shared" si="21"/>
        <v>1.0140845070422535</v>
      </c>
      <c r="H695" s="33">
        <f t="shared" si="20"/>
        <v>0.28321678321678323</v>
      </c>
    </row>
    <row r="696" spans="1:8">
      <c r="A696" s="27">
        <v>3593</v>
      </c>
      <c r="B696" s="8" t="s">
        <v>335</v>
      </c>
      <c r="C696" s="8">
        <v>447</v>
      </c>
      <c r="D696" s="8">
        <v>466</v>
      </c>
      <c r="E696" s="8">
        <v>198</v>
      </c>
      <c r="F696" s="8">
        <v>3</v>
      </c>
      <c r="G696" s="28">
        <f t="shared" si="21"/>
        <v>2.3535353535353534</v>
      </c>
      <c r="H696" s="33">
        <f t="shared" si="20"/>
        <v>4.5180722891566263E-3</v>
      </c>
    </row>
    <row r="697" spans="1:8">
      <c r="A697" s="27">
        <v>4097</v>
      </c>
      <c r="B697" s="8" t="s">
        <v>280</v>
      </c>
      <c r="C697" s="8">
        <v>369</v>
      </c>
      <c r="D697" s="8">
        <v>759</v>
      </c>
      <c r="E697" s="8">
        <v>56</v>
      </c>
      <c r="F697" s="8">
        <v>30</v>
      </c>
      <c r="G697" s="28">
        <f t="shared" si="21"/>
        <v>13.553571428571429</v>
      </c>
      <c r="H697" s="33">
        <f t="shared" si="20"/>
        <v>3.6809815950920248E-2</v>
      </c>
    </row>
    <row r="698" spans="1:8">
      <c r="A698" s="27">
        <v>2886</v>
      </c>
      <c r="B698" s="8" t="s">
        <v>106</v>
      </c>
      <c r="C698" s="8">
        <v>62</v>
      </c>
      <c r="D698" s="8">
        <v>811</v>
      </c>
      <c r="E698" s="8">
        <v>109</v>
      </c>
      <c r="F698" s="8">
        <v>14</v>
      </c>
      <c r="G698" s="28">
        <f t="shared" si="21"/>
        <v>7.4403669724770642</v>
      </c>
      <c r="H698" s="33">
        <f t="shared" si="20"/>
        <v>1.5217391304347827E-2</v>
      </c>
    </row>
    <row r="699" spans="1:8">
      <c r="A699" s="27">
        <v>3255</v>
      </c>
      <c r="B699" s="8" t="s">
        <v>547</v>
      </c>
      <c r="C699" s="8">
        <v>294</v>
      </c>
      <c r="D699" s="8">
        <v>936</v>
      </c>
      <c r="E699" s="8">
        <v>120</v>
      </c>
      <c r="F699" s="8">
        <v>49</v>
      </c>
      <c r="G699" s="28">
        <f t="shared" si="21"/>
        <v>7.8</v>
      </c>
      <c r="H699" s="33">
        <f t="shared" si="20"/>
        <v>4.6401515151515152E-2</v>
      </c>
    </row>
    <row r="700" spans="1:8">
      <c r="A700" s="27">
        <v>6752</v>
      </c>
      <c r="B700" s="8" t="s">
        <v>194</v>
      </c>
      <c r="C700" s="8">
        <v>10</v>
      </c>
      <c r="D700" s="8">
        <v>146</v>
      </c>
      <c r="E700" s="8">
        <v>95</v>
      </c>
      <c r="F700" s="8">
        <v>99</v>
      </c>
      <c r="G700" s="28">
        <f t="shared" si="21"/>
        <v>1.5368421052631578</v>
      </c>
      <c r="H700" s="33">
        <f t="shared" si="20"/>
        <v>0.41078838174273857</v>
      </c>
    </row>
    <row r="701" spans="1:8">
      <c r="A701" s="27">
        <v>7945</v>
      </c>
      <c r="B701" s="8" t="s">
        <v>631</v>
      </c>
      <c r="C701" s="8">
        <v>389</v>
      </c>
      <c r="D701" s="8">
        <v>631</v>
      </c>
      <c r="E701" s="8">
        <v>85</v>
      </c>
      <c r="F701" s="8">
        <v>53</v>
      </c>
      <c r="G701" s="28">
        <f t="shared" si="21"/>
        <v>7.4235294117647062</v>
      </c>
      <c r="H701" s="33">
        <f t="shared" si="20"/>
        <v>7.4022346368715089E-2</v>
      </c>
    </row>
    <row r="702" spans="1:8">
      <c r="A702" s="27">
        <v>6658</v>
      </c>
      <c r="B702" s="8" t="s">
        <v>157</v>
      </c>
      <c r="C702" s="8">
        <v>55</v>
      </c>
      <c r="D702" s="8">
        <v>682</v>
      </c>
      <c r="E702" s="8">
        <v>141</v>
      </c>
      <c r="F702" s="8">
        <v>42</v>
      </c>
      <c r="G702" s="28">
        <f t="shared" si="21"/>
        <v>4.8368794326241131</v>
      </c>
      <c r="H702" s="33">
        <f t="shared" si="20"/>
        <v>5.1032806804374241E-2</v>
      </c>
    </row>
    <row r="703" spans="1:8">
      <c r="A703" s="27">
        <v>5468</v>
      </c>
      <c r="B703" s="8" t="s">
        <v>635</v>
      </c>
      <c r="C703" s="8">
        <v>208</v>
      </c>
      <c r="D703" s="8">
        <v>135</v>
      </c>
      <c r="E703" s="8">
        <v>9</v>
      </c>
      <c r="F703" s="8">
        <v>41</v>
      </c>
      <c r="G703" s="28">
        <f t="shared" si="21"/>
        <v>15</v>
      </c>
      <c r="H703" s="33">
        <f t="shared" si="20"/>
        <v>0.28472222222222221</v>
      </c>
    </row>
    <row r="704" spans="1:8">
      <c r="A704" s="27">
        <v>7451</v>
      </c>
      <c r="B704" s="8" t="s">
        <v>244</v>
      </c>
      <c r="C704" s="8">
        <v>198</v>
      </c>
      <c r="D704" s="8">
        <v>255</v>
      </c>
      <c r="E704" s="8">
        <v>183</v>
      </c>
      <c r="F704" s="8">
        <v>92</v>
      </c>
      <c r="G704" s="28">
        <f t="shared" si="21"/>
        <v>1.3934426229508197</v>
      </c>
      <c r="H704" s="33">
        <f t="shared" si="20"/>
        <v>0.21004566210045661</v>
      </c>
    </row>
    <row r="705" spans="1:8">
      <c r="A705" s="27">
        <v>1253</v>
      </c>
      <c r="B705" s="8" t="s">
        <v>157</v>
      </c>
      <c r="C705" s="8">
        <v>280</v>
      </c>
      <c r="D705" s="8">
        <v>702</v>
      </c>
      <c r="E705" s="8">
        <v>58</v>
      </c>
      <c r="F705" s="8">
        <v>13</v>
      </c>
      <c r="G705" s="28">
        <f t="shared" si="21"/>
        <v>12.103448275862069</v>
      </c>
      <c r="H705" s="33">
        <f t="shared" si="20"/>
        <v>1.7105263157894738E-2</v>
      </c>
    </row>
    <row r="706" spans="1:8">
      <c r="A706" s="27">
        <v>6746</v>
      </c>
      <c r="B706" s="8" t="s">
        <v>558</v>
      </c>
      <c r="C706" s="8">
        <v>161</v>
      </c>
      <c r="D706" s="8">
        <v>151</v>
      </c>
      <c r="E706" s="8">
        <v>109</v>
      </c>
      <c r="F706" s="8">
        <v>27</v>
      </c>
      <c r="G706" s="28">
        <f t="shared" si="21"/>
        <v>1.3853211009174311</v>
      </c>
      <c r="H706" s="33">
        <f t="shared" ref="H706:H769" si="22">F706/(D706+E706)</f>
        <v>0.10384615384615385</v>
      </c>
    </row>
    <row r="707" spans="1:8">
      <c r="A707" s="27">
        <v>8089</v>
      </c>
      <c r="B707" s="8" t="s">
        <v>232</v>
      </c>
      <c r="C707" s="8">
        <v>439</v>
      </c>
      <c r="D707" s="8">
        <v>421</v>
      </c>
      <c r="E707" s="8">
        <v>138</v>
      </c>
      <c r="F707" s="8">
        <v>14</v>
      </c>
      <c r="G707" s="28">
        <f t="shared" ref="G707:G770" si="23">D707/E707</f>
        <v>3.0507246376811592</v>
      </c>
      <c r="H707" s="33">
        <f t="shared" si="22"/>
        <v>2.5044722719141325E-2</v>
      </c>
    </row>
    <row r="708" spans="1:8">
      <c r="A708" s="27">
        <v>8045</v>
      </c>
      <c r="B708" s="8" t="s">
        <v>304</v>
      </c>
      <c r="C708" s="8">
        <v>339</v>
      </c>
      <c r="D708" s="8">
        <v>354</v>
      </c>
      <c r="E708" s="8">
        <v>129</v>
      </c>
      <c r="F708" s="8">
        <v>14</v>
      </c>
      <c r="G708" s="28">
        <f t="shared" si="23"/>
        <v>2.7441860465116279</v>
      </c>
      <c r="H708" s="33">
        <f t="shared" si="22"/>
        <v>2.8985507246376812E-2</v>
      </c>
    </row>
    <row r="709" spans="1:8">
      <c r="A709" s="27">
        <v>9417</v>
      </c>
      <c r="B709" s="8" t="s">
        <v>126</v>
      </c>
      <c r="C709" s="8">
        <v>52</v>
      </c>
      <c r="D709" s="8">
        <v>377</v>
      </c>
      <c r="E709" s="8">
        <v>135</v>
      </c>
      <c r="F709" s="8">
        <v>90</v>
      </c>
      <c r="G709" s="28">
        <f t="shared" si="23"/>
        <v>2.7925925925925927</v>
      </c>
      <c r="H709" s="33">
        <f t="shared" si="22"/>
        <v>0.17578125</v>
      </c>
    </row>
    <row r="710" spans="1:8">
      <c r="A710" s="27">
        <v>3217</v>
      </c>
      <c r="B710" s="8" t="s">
        <v>140</v>
      </c>
      <c r="C710" s="8">
        <v>297</v>
      </c>
      <c r="D710" s="8">
        <v>796</v>
      </c>
      <c r="E710" s="8">
        <v>200</v>
      </c>
      <c r="F710" s="8">
        <v>36</v>
      </c>
      <c r="G710" s="28">
        <f t="shared" si="23"/>
        <v>3.98</v>
      </c>
      <c r="H710" s="33">
        <f t="shared" si="22"/>
        <v>3.614457831325301E-2</v>
      </c>
    </row>
    <row r="711" spans="1:8">
      <c r="A711" s="27">
        <v>4234</v>
      </c>
      <c r="B711" s="8" t="s">
        <v>157</v>
      </c>
      <c r="C711" s="8">
        <v>40</v>
      </c>
      <c r="D711" s="8">
        <v>841</v>
      </c>
      <c r="E711" s="8">
        <v>179</v>
      </c>
      <c r="F711" s="8">
        <v>59</v>
      </c>
      <c r="G711" s="28">
        <f t="shared" si="23"/>
        <v>4.6983240223463687</v>
      </c>
      <c r="H711" s="33">
        <f t="shared" si="22"/>
        <v>5.7843137254901963E-2</v>
      </c>
    </row>
    <row r="712" spans="1:8">
      <c r="A712" s="27">
        <v>1118</v>
      </c>
      <c r="B712" s="8" t="s">
        <v>240</v>
      </c>
      <c r="C712" s="8">
        <v>379</v>
      </c>
      <c r="D712" s="8">
        <v>885</v>
      </c>
      <c r="E712" s="8">
        <v>110</v>
      </c>
      <c r="F712" s="8">
        <v>43</v>
      </c>
      <c r="G712" s="28">
        <f t="shared" si="23"/>
        <v>8.045454545454545</v>
      </c>
      <c r="H712" s="33">
        <f t="shared" si="22"/>
        <v>4.3216080402010047E-2</v>
      </c>
    </row>
    <row r="713" spans="1:8">
      <c r="A713" s="27">
        <v>4027</v>
      </c>
      <c r="B713" s="8" t="s">
        <v>631</v>
      </c>
      <c r="C713" s="8">
        <v>82</v>
      </c>
      <c r="D713" s="8">
        <v>999</v>
      </c>
      <c r="E713" s="8">
        <v>190</v>
      </c>
      <c r="F713" s="8">
        <v>57</v>
      </c>
      <c r="G713" s="28">
        <f t="shared" si="23"/>
        <v>5.257894736842105</v>
      </c>
      <c r="H713" s="33">
        <f t="shared" si="22"/>
        <v>4.7939444911690499E-2</v>
      </c>
    </row>
    <row r="714" spans="1:8">
      <c r="A714" s="27">
        <v>8451</v>
      </c>
      <c r="B714" s="8" t="s">
        <v>637</v>
      </c>
      <c r="C714" s="8">
        <v>192</v>
      </c>
      <c r="D714" s="8">
        <v>585</v>
      </c>
      <c r="E714" s="8">
        <v>82</v>
      </c>
      <c r="F714" s="8">
        <v>59</v>
      </c>
      <c r="G714" s="28">
        <f t="shared" si="23"/>
        <v>7.1341463414634143</v>
      </c>
      <c r="H714" s="33">
        <f t="shared" si="22"/>
        <v>8.8455772113943024E-2</v>
      </c>
    </row>
    <row r="715" spans="1:8">
      <c r="A715" s="27">
        <v>6647</v>
      </c>
      <c r="B715" s="8" t="s">
        <v>88</v>
      </c>
      <c r="C715" s="8">
        <v>286</v>
      </c>
      <c r="D715" s="8">
        <v>617</v>
      </c>
      <c r="E715" s="8">
        <v>89</v>
      </c>
      <c r="F715" s="8">
        <v>64</v>
      </c>
      <c r="G715" s="28">
        <f t="shared" si="23"/>
        <v>6.9325842696629216</v>
      </c>
      <c r="H715" s="33">
        <f t="shared" si="22"/>
        <v>9.0651558073654395E-2</v>
      </c>
    </row>
    <row r="716" spans="1:8">
      <c r="A716" s="27">
        <v>4002</v>
      </c>
      <c r="B716" s="8" t="s">
        <v>441</v>
      </c>
      <c r="C716" s="8">
        <v>452</v>
      </c>
      <c r="D716" s="8">
        <v>196</v>
      </c>
      <c r="E716" s="8">
        <v>132</v>
      </c>
      <c r="F716" s="8">
        <v>84</v>
      </c>
      <c r="G716" s="28">
        <f t="shared" si="23"/>
        <v>1.4848484848484849</v>
      </c>
      <c r="H716" s="33">
        <f t="shared" si="22"/>
        <v>0.25609756097560976</v>
      </c>
    </row>
    <row r="717" spans="1:8">
      <c r="A717" s="27">
        <v>6910</v>
      </c>
      <c r="B717" s="8" t="s">
        <v>347</v>
      </c>
      <c r="C717" s="8">
        <v>417</v>
      </c>
      <c r="D717" s="8">
        <v>792</v>
      </c>
      <c r="E717" s="8">
        <v>187</v>
      </c>
      <c r="F717" s="8">
        <v>5</v>
      </c>
      <c r="G717" s="28">
        <f t="shared" si="23"/>
        <v>4.2352941176470589</v>
      </c>
      <c r="H717" s="33">
        <f t="shared" si="22"/>
        <v>5.1072522982635342E-3</v>
      </c>
    </row>
    <row r="718" spans="1:8">
      <c r="A718" s="27">
        <v>3164</v>
      </c>
      <c r="B718" s="8" t="s">
        <v>325</v>
      </c>
      <c r="C718" s="8">
        <v>371</v>
      </c>
      <c r="D718" s="8">
        <v>466</v>
      </c>
      <c r="E718" s="8">
        <v>176</v>
      </c>
      <c r="F718" s="8">
        <v>73</v>
      </c>
      <c r="G718" s="28">
        <f t="shared" si="23"/>
        <v>2.6477272727272729</v>
      </c>
      <c r="H718" s="33">
        <f t="shared" si="22"/>
        <v>0.11370716510903427</v>
      </c>
    </row>
    <row r="719" spans="1:8">
      <c r="A719" s="27">
        <v>2400</v>
      </c>
      <c r="B719" s="8" t="s">
        <v>138</v>
      </c>
      <c r="C719" s="8">
        <v>110</v>
      </c>
      <c r="D719" s="8">
        <v>684</v>
      </c>
      <c r="E719" s="8">
        <v>32</v>
      </c>
      <c r="F719" s="8">
        <v>68</v>
      </c>
      <c r="G719" s="28">
        <f t="shared" si="23"/>
        <v>21.375</v>
      </c>
      <c r="H719" s="33">
        <f t="shared" si="22"/>
        <v>9.4972067039106142E-2</v>
      </c>
    </row>
    <row r="720" spans="1:8">
      <c r="A720" s="27">
        <v>5499</v>
      </c>
      <c r="B720" s="8" t="s">
        <v>404</v>
      </c>
      <c r="C720" s="8">
        <v>274</v>
      </c>
      <c r="D720" s="8">
        <v>155</v>
      </c>
      <c r="E720" s="8">
        <v>94</v>
      </c>
      <c r="F720" s="8">
        <v>96</v>
      </c>
      <c r="G720" s="28">
        <f t="shared" si="23"/>
        <v>1.6489361702127661</v>
      </c>
      <c r="H720" s="33">
        <f t="shared" si="22"/>
        <v>0.38554216867469882</v>
      </c>
    </row>
    <row r="721" spans="1:8">
      <c r="A721" s="27">
        <v>7221</v>
      </c>
      <c r="B721" s="8" t="s">
        <v>367</v>
      </c>
      <c r="C721" s="8">
        <v>412</v>
      </c>
      <c r="D721" s="8">
        <v>450</v>
      </c>
      <c r="E721" s="8">
        <v>147</v>
      </c>
      <c r="F721" s="8">
        <v>11</v>
      </c>
      <c r="G721" s="28">
        <f t="shared" si="23"/>
        <v>3.0612244897959182</v>
      </c>
      <c r="H721" s="33">
        <f t="shared" si="22"/>
        <v>1.8425460636515914E-2</v>
      </c>
    </row>
    <row r="722" spans="1:8">
      <c r="A722" s="27">
        <v>4556</v>
      </c>
      <c r="B722" s="8" t="s">
        <v>120</v>
      </c>
      <c r="C722" s="8">
        <v>341</v>
      </c>
      <c r="D722" s="8">
        <v>744</v>
      </c>
      <c r="E722" s="8">
        <v>146</v>
      </c>
      <c r="F722" s="8">
        <v>75</v>
      </c>
      <c r="G722" s="28">
        <f t="shared" si="23"/>
        <v>5.095890410958904</v>
      </c>
      <c r="H722" s="33">
        <f t="shared" si="22"/>
        <v>8.4269662921348312E-2</v>
      </c>
    </row>
    <row r="723" spans="1:8">
      <c r="A723" s="27">
        <v>7175</v>
      </c>
      <c r="B723" s="8" t="s">
        <v>517</v>
      </c>
      <c r="C723" s="8">
        <v>388</v>
      </c>
      <c r="D723" s="8">
        <v>51</v>
      </c>
      <c r="E723" s="8">
        <v>27</v>
      </c>
      <c r="F723" s="8">
        <v>66</v>
      </c>
      <c r="G723" s="28">
        <f t="shared" si="23"/>
        <v>1.8888888888888888</v>
      </c>
      <c r="H723" s="33">
        <f t="shared" si="22"/>
        <v>0.84615384615384615</v>
      </c>
    </row>
    <row r="724" spans="1:8">
      <c r="A724" s="27">
        <v>7072</v>
      </c>
      <c r="B724" s="8" t="s">
        <v>592</v>
      </c>
      <c r="C724" s="8">
        <v>446</v>
      </c>
      <c r="D724" s="8">
        <v>897</v>
      </c>
      <c r="E724" s="8">
        <v>19</v>
      </c>
      <c r="F724" s="8">
        <v>14</v>
      </c>
      <c r="G724" s="28">
        <f t="shared" si="23"/>
        <v>47.210526315789473</v>
      </c>
      <c r="H724" s="33">
        <f t="shared" si="22"/>
        <v>1.5283842794759825E-2</v>
      </c>
    </row>
    <row r="725" spans="1:8">
      <c r="A725" s="27">
        <v>4320</v>
      </c>
      <c r="B725" s="8" t="s">
        <v>307</v>
      </c>
      <c r="C725" s="8">
        <v>223</v>
      </c>
      <c r="D725" s="8">
        <v>499</v>
      </c>
      <c r="E725" s="8">
        <v>124</v>
      </c>
      <c r="F725" s="8">
        <v>78</v>
      </c>
      <c r="G725" s="28">
        <f t="shared" si="23"/>
        <v>4.024193548387097</v>
      </c>
      <c r="H725" s="33">
        <f t="shared" si="22"/>
        <v>0.12520064205457465</v>
      </c>
    </row>
    <row r="726" spans="1:8">
      <c r="A726" s="27">
        <v>3558</v>
      </c>
      <c r="B726" s="8" t="s">
        <v>640</v>
      </c>
      <c r="C726" s="8">
        <v>417</v>
      </c>
      <c r="D726" s="8">
        <v>179</v>
      </c>
      <c r="E726" s="8">
        <v>29</v>
      </c>
      <c r="F726" s="8">
        <v>84</v>
      </c>
      <c r="G726" s="28">
        <f t="shared" si="23"/>
        <v>6.1724137931034484</v>
      </c>
      <c r="H726" s="33">
        <f t="shared" si="22"/>
        <v>0.40384615384615385</v>
      </c>
    </row>
    <row r="727" spans="1:8">
      <c r="A727" s="27">
        <v>8581</v>
      </c>
      <c r="B727" s="8" t="s">
        <v>196</v>
      </c>
      <c r="C727" s="8">
        <v>390</v>
      </c>
      <c r="D727" s="8">
        <v>889</v>
      </c>
      <c r="E727" s="8">
        <v>145</v>
      </c>
      <c r="F727" s="8">
        <v>60</v>
      </c>
      <c r="G727" s="28">
        <f t="shared" si="23"/>
        <v>6.1310344827586203</v>
      </c>
      <c r="H727" s="33">
        <f t="shared" si="22"/>
        <v>5.8027079303675046E-2</v>
      </c>
    </row>
    <row r="728" spans="1:8">
      <c r="A728" s="27">
        <v>5827</v>
      </c>
      <c r="B728" s="8" t="s">
        <v>224</v>
      </c>
      <c r="C728" s="8">
        <v>33</v>
      </c>
      <c r="D728" s="8">
        <v>191</v>
      </c>
      <c r="E728" s="8">
        <v>25</v>
      </c>
      <c r="F728" s="8">
        <v>44</v>
      </c>
      <c r="G728" s="28">
        <f t="shared" si="23"/>
        <v>7.64</v>
      </c>
      <c r="H728" s="33">
        <f t="shared" si="22"/>
        <v>0.20370370370370369</v>
      </c>
    </row>
    <row r="729" spans="1:8">
      <c r="A729" s="27">
        <v>6929</v>
      </c>
      <c r="B729" s="8" t="s">
        <v>114</v>
      </c>
      <c r="C729" s="8">
        <v>302</v>
      </c>
      <c r="D729" s="8">
        <v>42</v>
      </c>
      <c r="E729" s="8">
        <v>196</v>
      </c>
      <c r="F729" s="8">
        <v>74</v>
      </c>
      <c r="G729" s="28">
        <f t="shared" si="23"/>
        <v>0.21428571428571427</v>
      </c>
      <c r="H729" s="33">
        <f t="shared" si="22"/>
        <v>0.31092436974789917</v>
      </c>
    </row>
    <row r="730" spans="1:8">
      <c r="A730" s="27">
        <v>9179</v>
      </c>
      <c r="B730" s="8" t="s">
        <v>643</v>
      </c>
      <c r="C730" s="8">
        <v>121</v>
      </c>
      <c r="D730" s="8">
        <v>53</v>
      </c>
      <c r="E730" s="8">
        <v>77</v>
      </c>
      <c r="F730" s="8">
        <v>54</v>
      </c>
      <c r="G730" s="28">
        <f t="shared" si="23"/>
        <v>0.68831168831168832</v>
      </c>
      <c r="H730" s="33">
        <f t="shared" si="22"/>
        <v>0.41538461538461541</v>
      </c>
    </row>
    <row r="731" spans="1:8">
      <c r="A731" s="27">
        <v>7580</v>
      </c>
      <c r="B731" s="8" t="s">
        <v>52</v>
      </c>
      <c r="C731" s="8">
        <v>112</v>
      </c>
      <c r="D731" s="8">
        <v>535</v>
      </c>
      <c r="E731" s="8">
        <v>43</v>
      </c>
      <c r="F731" s="8">
        <v>89</v>
      </c>
      <c r="G731" s="28">
        <f t="shared" si="23"/>
        <v>12.44186046511628</v>
      </c>
      <c r="H731" s="33">
        <f t="shared" si="22"/>
        <v>0.15397923875432526</v>
      </c>
    </row>
    <row r="732" spans="1:8">
      <c r="A732" s="27">
        <v>3858</v>
      </c>
      <c r="B732" s="8" t="s">
        <v>179</v>
      </c>
      <c r="C732" s="8">
        <v>375</v>
      </c>
      <c r="D732" s="8">
        <v>416</v>
      </c>
      <c r="E732" s="8">
        <v>79</v>
      </c>
      <c r="F732" s="8">
        <v>33</v>
      </c>
      <c r="G732" s="28">
        <f t="shared" si="23"/>
        <v>5.2658227848101262</v>
      </c>
      <c r="H732" s="33">
        <f t="shared" si="22"/>
        <v>6.6666666666666666E-2</v>
      </c>
    </row>
    <row r="733" spans="1:8">
      <c r="A733" s="27">
        <v>8627</v>
      </c>
      <c r="B733" s="8" t="s">
        <v>238</v>
      </c>
      <c r="C733" s="8">
        <v>97</v>
      </c>
      <c r="D733" s="8">
        <v>287</v>
      </c>
      <c r="E733" s="8">
        <v>39</v>
      </c>
      <c r="F733" s="8">
        <v>9</v>
      </c>
      <c r="G733" s="28">
        <f t="shared" si="23"/>
        <v>7.3589743589743586</v>
      </c>
      <c r="H733" s="33">
        <f t="shared" si="22"/>
        <v>2.7607361963190184E-2</v>
      </c>
    </row>
    <row r="734" spans="1:8">
      <c r="A734" s="27">
        <v>7552</v>
      </c>
      <c r="B734" s="8" t="s">
        <v>645</v>
      </c>
      <c r="C734" s="8">
        <v>306</v>
      </c>
      <c r="D734" s="8">
        <v>651</v>
      </c>
      <c r="E734" s="8">
        <v>60</v>
      </c>
      <c r="F734" s="8">
        <v>86</v>
      </c>
      <c r="G734" s="28">
        <f t="shared" si="23"/>
        <v>10.85</v>
      </c>
      <c r="H734" s="33">
        <f t="shared" si="22"/>
        <v>0.1209563994374121</v>
      </c>
    </row>
    <row r="735" spans="1:8">
      <c r="A735" s="27">
        <v>6020</v>
      </c>
      <c r="B735" s="8" t="s">
        <v>640</v>
      </c>
      <c r="C735" s="8">
        <v>136</v>
      </c>
      <c r="D735" s="8">
        <v>821</v>
      </c>
      <c r="E735" s="8">
        <v>174</v>
      </c>
      <c r="F735" s="8">
        <v>92</v>
      </c>
      <c r="G735" s="28">
        <f t="shared" si="23"/>
        <v>4.7183908045977008</v>
      </c>
      <c r="H735" s="33">
        <f t="shared" si="22"/>
        <v>9.2462311557788945E-2</v>
      </c>
    </row>
    <row r="736" spans="1:8">
      <c r="A736" s="27">
        <v>9408</v>
      </c>
      <c r="B736" s="8" t="s">
        <v>291</v>
      </c>
      <c r="C736" s="8">
        <v>12</v>
      </c>
      <c r="D736" s="8">
        <v>396</v>
      </c>
      <c r="E736" s="8">
        <v>22</v>
      </c>
      <c r="F736" s="8">
        <v>70</v>
      </c>
      <c r="G736" s="28">
        <f t="shared" si="23"/>
        <v>18</v>
      </c>
      <c r="H736" s="33">
        <f t="shared" si="22"/>
        <v>0.1674641148325359</v>
      </c>
    </row>
    <row r="737" spans="1:8">
      <c r="A737" s="27">
        <v>9990</v>
      </c>
      <c r="B737" s="8" t="s">
        <v>647</v>
      </c>
      <c r="C737" s="8">
        <v>379</v>
      </c>
      <c r="D737" s="8">
        <v>726</v>
      </c>
      <c r="E737" s="8">
        <v>103</v>
      </c>
      <c r="F737" s="8">
        <v>39</v>
      </c>
      <c r="G737" s="28">
        <f t="shared" si="23"/>
        <v>7.0485436893203888</v>
      </c>
      <c r="H737" s="33">
        <f t="shared" si="22"/>
        <v>4.7044632086851626E-2</v>
      </c>
    </row>
    <row r="738" spans="1:8">
      <c r="A738" s="27">
        <v>3687</v>
      </c>
      <c r="B738" s="8" t="s">
        <v>307</v>
      </c>
      <c r="C738" s="8">
        <v>205</v>
      </c>
      <c r="D738" s="8">
        <v>420</v>
      </c>
      <c r="E738" s="8">
        <v>24</v>
      </c>
      <c r="F738" s="8">
        <v>61</v>
      </c>
      <c r="G738" s="28">
        <f t="shared" si="23"/>
        <v>17.5</v>
      </c>
      <c r="H738" s="33">
        <f t="shared" si="22"/>
        <v>0.1373873873873874</v>
      </c>
    </row>
    <row r="739" spans="1:8">
      <c r="A739" s="27">
        <v>4540</v>
      </c>
      <c r="B739" s="8" t="s">
        <v>648</v>
      </c>
      <c r="C739" s="8">
        <v>335</v>
      </c>
      <c r="D739" s="8">
        <v>75</v>
      </c>
      <c r="E739" s="8">
        <v>177</v>
      </c>
      <c r="F739" s="8">
        <v>73</v>
      </c>
      <c r="G739" s="28">
        <f t="shared" si="23"/>
        <v>0.42372881355932202</v>
      </c>
      <c r="H739" s="33">
        <f t="shared" si="22"/>
        <v>0.28968253968253971</v>
      </c>
    </row>
    <row r="740" spans="1:8">
      <c r="A740" s="27">
        <v>8264</v>
      </c>
      <c r="B740" s="8" t="s">
        <v>349</v>
      </c>
      <c r="C740" s="8">
        <v>449</v>
      </c>
      <c r="D740" s="8">
        <v>683</v>
      </c>
      <c r="E740" s="8">
        <v>85</v>
      </c>
      <c r="F740" s="8">
        <v>25</v>
      </c>
      <c r="G740" s="28">
        <f t="shared" si="23"/>
        <v>8.0352941176470587</v>
      </c>
      <c r="H740" s="33">
        <f t="shared" si="22"/>
        <v>3.2552083333333336E-2</v>
      </c>
    </row>
    <row r="741" spans="1:8">
      <c r="A741" s="27">
        <v>7448</v>
      </c>
      <c r="B741" s="8" t="s">
        <v>88</v>
      </c>
      <c r="C741" s="8">
        <v>453</v>
      </c>
      <c r="D741" s="8">
        <v>487</v>
      </c>
      <c r="E741" s="8">
        <v>128</v>
      </c>
      <c r="F741" s="8">
        <v>41</v>
      </c>
      <c r="G741" s="28">
        <f t="shared" si="23"/>
        <v>3.8046875</v>
      </c>
      <c r="H741" s="33">
        <f t="shared" si="22"/>
        <v>6.6666666666666666E-2</v>
      </c>
    </row>
    <row r="742" spans="1:8">
      <c r="A742" s="27">
        <v>1123</v>
      </c>
      <c r="B742" s="8" t="s">
        <v>650</v>
      </c>
      <c r="C742" s="8">
        <v>252</v>
      </c>
      <c r="D742" s="8">
        <v>968</v>
      </c>
      <c r="E742" s="8">
        <v>197</v>
      </c>
      <c r="F742" s="8">
        <v>46</v>
      </c>
      <c r="G742" s="28">
        <f t="shared" si="23"/>
        <v>4.9137055837563448</v>
      </c>
      <c r="H742" s="33">
        <f t="shared" si="22"/>
        <v>3.9484978540772535E-2</v>
      </c>
    </row>
    <row r="743" spans="1:8">
      <c r="A743" s="27">
        <v>4103</v>
      </c>
      <c r="B743" s="8" t="s">
        <v>257</v>
      </c>
      <c r="C743" s="8">
        <v>379</v>
      </c>
      <c r="D743" s="8">
        <v>632</v>
      </c>
      <c r="E743" s="8">
        <v>82</v>
      </c>
      <c r="F743" s="8">
        <v>29</v>
      </c>
      <c r="G743" s="28">
        <f t="shared" si="23"/>
        <v>7.7073170731707314</v>
      </c>
      <c r="H743" s="33">
        <f t="shared" si="22"/>
        <v>4.0616246498599441E-2</v>
      </c>
    </row>
    <row r="744" spans="1:8">
      <c r="A744" s="27">
        <v>2904</v>
      </c>
      <c r="B744" s="8" t="s">
        <v>458</v>
      </c>
      <c r="C744" s="8">
        <v>280</v>
      </c>
      <c r="D744" s="8">
        <v>188</v>
      </c>
      <c r="E744" s="8">
        <v>103</v>
      </c>
      <c r="F744" s="8">
        <v>80</v>
      </c>
      <c r="G744" s="28">
        <f t="shared" si="23"/>
        <v>1.825242718446602</v>
      </c>
      <c r="H744" s="33">
        <f t="shared" si="22"/>
        <v>0.27491408934707906</v>
      </c>
    </row>
    <row r="745" spans="1:8">
      <c r="A745" s="27">
        <v>5634</v>
      </c>
      <c r="B745" s="8" t="s">
        <v>176</v>
      </c>
      <c r="C745" s="8">
        <v>187</v>
      </c>
      <c r="D745" s="8">
        <v>987</v>
      </c>
      <c r="E745" s="8">
        <v>166</v>
      </c>
      <c r="F745" s="8">
        <v>24</v>
      </c>
      <c r="G745" s="28">
        <f t="shared" si="23"/>
        <v>5.9457831325301207</v>
      </c>
      <c r="H745" s="33">
        <f t="shared" si="22"/>
        <v>2.0815264527320035E-2</v>
      </c>
    </row>
    <row r="746" spans="1:8">
      <c r="A746" s="27">
        <v>5360</v>
      </c>
      <c r="B746" s="8" t="s">
        <v>147</v>
      </c>
      <c r="C746" s="8">
        <v>373</v>
      </c>
      <c r="D746" s="8">
        <v>925</v>
      </c>
      <c r="E746" s="8">
        <v>12</v>
      </c>
      <c r="F746" s="8">
        <v>22</v>
      </c>
      <c r="G746" s="28">
        <f t="shared" si="23"/>
        <v>77.083333333333329</v>
      </c>
      <c r="H746" s="33">
        <f t="shared" si="22"/>
        <v>2.3479188900747065E-2</v>
      </c>
    </row>
    <row r="747" spans="1:8">
      <c r="A747" s="27">
        <v>8571</v>
      </c>
      <c r="B747" s="8" t="s">
        <v>345</v>
      </c>
      <c r="C747" s="8">
        <v>482</v>
      </c>
      <c r="D747" s="8">
        <v>838</v>
      </c>
      <c r="E747" s="8">
        <v>159</v>
      </c>
      <c r="F747" s="8">
        <v>39</v>
      </c>
      <c r="G747" s="28">
        <f t="shared" si="23"/>
        <v>5.2704402515723272</v>
      </c>
      <c r="H747" s="33">
        <f t="shared" si="22"/>
        <v>3.9117352056168508E-2</v>
      </c>
    </row>
    <row r="748" spans="1:8">
      <c r="A748" s="27">
        <v>9439</v>
      </c>
      <c r="B748" s="8" t="s">
        <v>653</v>
      </c>
      <c r="C748" s="8">
        <v>360</v>
      </c>
      <c r="D748" s="8">
        <v>295</v>
      </c>
      <c r="E748" s="8">
        <v>55</v>
      </c>
      <c r="F748" s="8">
        <v>31</v>
      </c>
      <c r="G748" s="28">
        <f t="shared" si="23"/>
        <v>5.3636363636363633</v>
      </c>
      <c r="H748" s="33">
        <f t="shared" si="22"/>
        <v>8.8571428571428565E-2</v>
      </c>
    </row>
    <row r="749" spans="1:8">
      <c r="A749" s="27">
        <v>8356</v>
      </c>
      <c r="B749" s="8" t="s">
        <v>546</v>
      </c>
      <c r="C749" s="8">
        <v>463</v>
      </c>
      <c r="D749" s="8">
        <v>844</v>
      </c>
      <c r="E749" s="8">
        <v>98</v>
      </c>
      <c r="F749" s="8">
        <v>15</v>
      </c>
      <c r="G749" s="28">
        <f t="shared" si="23"/>
        <v>8.612244897959183</v>
      </c>
      <c r="H749" s="33">
        <f t="shared" si="22"/>
        <v>1.5923566878980892E-2</v>
      </c>
    </row>
    <row r="750" spans="1:8">
      <c r="A750" s="27">
        <v>2039</v>
      </c>
      <c r="B750" s="8" t="s">
        <v>656</v>
      </c>
      <c r="C750" s="8">
        <v>13</v>
      </c>
      <c r="D750" s="8">
        <v>378</v>
      </c>
      <c r="E750" s="8">
        <v>123</v>
      </c>
      <c r="F750" s="8">
        <v>3</v>
      </c>
      <c r="G750" s="28">
        <f t="shared" si="23"/>
        <v>3.0731707317073171</v>
      </c>
      <c r="H750" s="33">
        <f t="shared" si="22"/>
        <v>5.9880239520958087E-3</v>
      </c>
    </row>
    <row r="751" spans="1:8">
      <c r="A751" s="27">
        <v>2613</v>
      </c>
      <c r="B751" s="8" t="s">
        <v>657</v>
      </c>
      <c r="C751" s="8">
        <v>129</v>
      </c>
      <c r="D751" s="8">
        <v>439</v>
      </c>
      <c r="E751" s="8">
        <v>10</v>
      </c>
      <c r="F751" s="8">
        <v>11</v>
      </c>
      <c r="G751" s="28">
        <f t="shared" si="23"/>
        <v>43.9</v>
      </c>
      <c r="H751" s="33">
        <f t="shared" si="22"/>
        <v>2.4498886414253896E-2</v>
      </c>
    </row>
    <row r="752" spans="1:8">
      <c r="A752" s="27">
        <v>8226</v>
      </c>
      <c r="B752" s="8" t="s">
        <v>138</v>
      </c>
      <c r="C752" s="8">
        <v>290</v>
      </c>
      <c r="D752" s="8">
        <v>84</v>
      </c>
      <c r="E752" s="8">
        <v>52</v>
      </c>
      <c r="F752" s="8">
        <v>91</v>
      </c>
      <c r="G752" s="28">
        <f t="shared" si="23"/>
        <v>1.6153846153846154</v>
      </c>
      <c r="H752" s="33">
        <f t="shared" si="22"/>
        <v>0.66911764705882348</v>
      </c>
    </row>
    <row r="753" spans="1:8">
      <c r="A753" s="27">
        <v>1425</v>
      </c>
      <c r="B753" s="8" t="s">
        <v>658</v>
      </c>
      <c r="C753" s="8">
        <v>50</v>
      </c>
      <c r="D753" s="8">
        <v>502</v>
      </c>
      <c r="E753" s="8">
        <v>5</v>
      </c>
      <c r="F753" s="8">
        <v>96</v>
      </c>
      <c r="G753" s="28">
        <f t="shared" si="23"/>
        <v>100.4</v>
      </c>
      <c r="H753" s="33">
        <f t="shared" si="22"/>
        <v>0.1893491124260355</v>
      </c>
    </row>
    <row r="754" spans="1:8">
      <c r="A754" s="27">
        <v>4479</v>
      </c>
      <c r="B754" s="8" t="s">
        <v>23</v>
      </c>
      <c r="C754" s="8">
        <v>241</v>
      </c>
      <c r="D754" s="8">
        <v>549</v>
      </c>
      <c r="E754" s="8">
        <v>158</v>
      </c>
      <c r="F754" s="8">
        <v>96</v>
      </c>
      <c r="G754" s="28">
        <f t="shared" si="23"/>
        <v>3.4746835443037973</v>
      </c>
      <c r="H754" s="33">
        <f t="shared" si="22"/>
        <v>0.13578500707213578</v>
      </c>
    </row>
    <row r="755" spans="1:8">
      <c r="A755" s="27">
        <v>3393</v>
      </c>
      <c r="B755" s="8" t="s">
        <v>101</v>
      </c>
      <c r="C755" s="8">
        <v>383</v>
      </c>
      <c r="D755" s="8">
        <v>699</v>
      </c>
      <c r="E755" s="8">
        <v>174</v>
      </c>
      <c r="F755" s="8">
        <v>13</v>
      </c>
      <c r="G755" s="28">
        <f t="shared" si="23"/>
        <v>4.0172413793103452</v>
      </c>
      <c r="H755" s="33">
        <f t="shared" si="22"/>
        <v>1.4891179839633447E-2</v>
      </c>
    </row>
    <row r="756" spans="1:8">
      <c r="A756" s="27">
        <v>8528</v>
      </c>
      <c r="B756" s="8" t="s">
        <v>283</v>
      </c>
      <c r="C756" s="8">
        <v>384</v>
      </c>
      <c r="D756" s="8">
        <v>423</v>
      </c>
      <c r="E756" s="8">
        <v>110</v>
      </c>
      <c r="F756" s="8">
        <v>61</v>
      </c>
      <c r="G756" s="28">
        <f t="shared" si="23"/>
        <v>3.8454545454545452</v>
      </c>
      <c r="H756" s="33">
        <f t="shared" si="22"/>
        <v>0.11444652908067542</v>
      </c>
    </row>
    <row r="757" spans="1:8">
      <c r="A757" s="27">
        <v>9372</v>
      </c>
      <c r="B757" s="8" t="s">
        <v>138</v>
      </c>
      <c r="C757" s="8">
        <v>302</v>
      </c>
      <c r="D757" s="8">
        <v>964</v>
      </c>
      <c r="E757" s="8">
        <v>165</v>
      </c>
      <c r="F757" s="8">
        <v>47</v>
      </c>
      <c r="G757" s="28">
        <f t="shared" si="23"/>
        <v>5.8424242424242427</v>
      </c>
      <c r="H757" s="33">
        <f t="shared" si="22"/>
        <v>4.1629760850310012E-2</v>
      </c>
    </row>
    <row r="758" spans="1:8">
      <c r="A758" s="27">
        <v>5469</v>
      </c>
      <c r="B758" s="8" t="s">
        <v>196</v>
      </c>
      <c r="C758" s="8">
        <v>24</v>
      </c>
      <c r="D758" s="8">
        <v>742</v>
      </c>
      <c r="E758" s="8">
        <v>150</v>
      </c>
      <c r="F758" s="8">
        <v>57</v>
      </c>
      <c r="G758" s="28">
        <f t="shared" si="23"/>
        <v>4.9466666666666663</v>
      </c>
      <c r="H758" s="33">
        <f t="shared" si="22"/>
        <v>6.3901345291479825E-2</v>
      </c>
    </row>
    <row r="759" spans="1:8">
      <c r="A759" s="27">
        <v>2603</v>
      </c>
      <c r="B759" s="8" t="s">
        <v>659</v>
      </c>
      <c r="C759" s="8">
        <v>416</v>
      </c>
      <c r="D759" s="8">
        <v>97</v>
      </c>
      <c r="E759" s="8">
        <v>172</v>
      </c>
      <c r="F759" s="8">
        <v>89</v>
      </c>
      <c r="G759" s="28">
        <f t="shared" si="23"/>
        <v>0.56395348837209303</v>
      </c>
      <c r="H759" s="33">
        <f t="shared" si="22"/>
        <v>0.33085501858736061</v>
      </c>
    </row>
    <row r="760" spans="1:8">
      <c r="A760" s="27">
        <v>5306</v>
      </c>
      <c r="B760" s="8" t="s">
        <v>369</v>
      </c>
      <c r="C760" s="8">
        <v>272</v>
      </c>
      <c r="D760" s="8">
        <v>735</v>
      </c>
      <c r="E760" s="8">
        <v>74</v>
      </c>
      <c r="F760" s="8">
        <v>90</v>
      </c>
      <c r="G760" s="28">
        <f t="shared" si="23"/>
        <v>9.9324324324324316</v>
      </c>
      <c r="H760" s="33">
        <f t="shared" si="22"/>
        <v>0.11124845488257108</v>
      </c>
    </row>
    <row r="761" spans="1:8">
      <c r="A761" s="27">
        <v>7869</v>
      </c>
      <c r="B761" s="8" t="s">
        <v>283</v>
      </c>
      <c r="C761" s="8">
        <v>294</v>
      </c>
      <c r="D761" s="8">
        <v>709</v>
      </c>
      <c r="E761" s="8">
        <v>181</v>
      </c>
      <c r="F761" s="8">
        <v>39</v>
      </c>
      <c r="G761" s="28">
        <f t="shared" si="23"/>
        <v>3.9171270718232045</v>
      </c>
      <c r="H761" s="33">
        <f t="shared" si="22"/>
        <v>4.3820224719101124E-2</v>
      </c>
    </row>
    <row r="762" spans="1:8">
      <c r="A762" s="27">
        <v>1699</v>
      </c>
      <c r="B762" s="8" t="s">
        <v>224</v>
      </c>
      <c r="C762" s="8">
        <v>18</v>
      </c>
      <c r="D762" s="8">
        <v>882</v>
      </c>
      <c r="E762" s="8">
        <v>1</v>
      </c>
      <c r="F762" s="8">
        <v>100</v>
      </c>
      <c r="G762" s="28">
        <f t="shared" si="23"/>
        <v>882</v>
      </c>
      <c r="H762" s="33">
        <f t="shared" si="22"/>
        <v>0.11325028312570781</v>
      </c>
    </row>
    <row r="763" spans="1:8">
      <c r="A763" s="27">
        <v>3214</v>
      </c>
      <c r="B763" s="8" t="s">
        <v>114</v>
      </c>
      <c r="C763" s="8">
        <v>409</v>
      </c>
      <c r="D763" s="8">
        <v>131</v>
      </c>
      <c r="E763" s="8">
        <v>85</v>
      </c>
      <c r="F763" s="8">
        <v>95</v>
      </c>
      <c r="G763" s="28">
        <f t="shared" si="23"/>
        <v>1.5411764705882354</v>
      </c>
      <c r="H763" s="33">
        <f t="shared" si="22"/>
        <v>0.43981481481481483</v>
      </c>
    </row>
    <row r="764" spans="1:8">
      <c r="A764" s="27">
        <v>1050</v>
      </c>
      <c r="B764" s="8" t="s">
        <v>52</v>
      </c>
      <c r="C764" s="8">
        <v>290</v>
      </c>
      <c r="D764" s="8">
        <v>305</v>
      </c>
      <c r="E764" s="8">
        <v>112</v>
      </c>
      <c r="F764" s="8">
        <v>57</v>
      </c>
      <c r="G764" s="28">
        <f t="shared" si="23"/>
        <v>2.7232142857142856</v>
      </c>
      <c r="H764" s="33">
        <f t="shared" si="22"/>
        <v>0.1366906474820144</v>
      </c>
    </row>
    <row r="765" spans="1:8">
      <c r="A765" s="27">
        <v>3325</v>
      </c>
      <c r="B765" s="8" t="s">
        <v>104</v>
      </c>
      <c r="C765" s="8">
        <v>102</v>
      </c>
      <c r="D765" s="8">
        <v>456</v>
      </c>
      <c r="E765" s="8">
        <v>52</v>
      </c>
      <c r="F765" s="8">
        <v>32</v>
      </c>
      <c r="G765" s="28">
        <f t="shared" si="23"/>
        <v>8.7692307692307701</v>
      </c>
      <c r="H765" s="33">
        <f t="shared" si="22"/>
        <v>6.2992125984251968E-2</v>
      </c>
    </row>
    <row r="766" spans="1:8">
      <c r="A766" s="27">
        <v>1970</v>
      </c>
      <c r="B766" s="8" t="s">
        <v>157</v>
      </c>
      <c r="C766" s="8">
        <v>119</v>
      </c>
      <c r="D766" s="8">
        <v>385</v>
      </c>
      <c r="E766" s="8">
        <v>82</v>
      </c>
      <c r="F766" s="8">
        <v>87</v>
      </c>
      <c r="G766" s="28">
        <f t="shared" si="23"/>
        <v>4.6951219512195124</v>
      </c>
      <c r="H766" s="33">
        <f t="shared" si="22"/>
        <v>0.18629550321199143</v>
      </c>
    </row>
    <row r="767" spans="1:8">
      <c r="A767" s="27">
        <v>6272</v>
      </c>
      <c r="B767" s="8" t="s">
        <v>558</v>
      </c>
      <c r="C767" s="8">
        <v>87</v>
      </c>
      <c r="D767" s="8">
        <v>213</v>
      </c>
      <c r="E767" s="8">
        <v>98</v>
      </c>
      <c r="F767" s="8">
        <v>84</v>
      </c>
      <c r="G767" s="28">
        <f t="shared" si="23"/>
        <v>2.1734693877551021</v>
      </c>
      <c r="H767" s="33">
        <f t="shared" si="22"/>
        <v>0.27009646302250806</v>
      </c>
    </row>
    <row r="768" spans="1:8">
      <c r="A768" s="27">
        <v>4745</v>
      </c>
      <c r="B768" s="8" t="s">
        <v>98</v>
      </c>
      <c r="C768" s="8">
        <v>273</v>
      </c>
      <c r="D768" s="8">
        <v>830</v>
      </c>
      <c r="E768" s="8">
        <v>178</v>
      </c>
      <c r="F768" s="8">
        <v>37</v>
      </c>
      <c r="G768" s="28">
        <f t="shared" si="23"/>
        <v>4.6629213483146064</v>
      </c>
      <c r="H768" s="33">
        <f t="shared" si="22"/>
        <v>3.6706349206349208E-2</v>
      </c>
    </row>
    <row r="769" spans="1:8">
      <c r="A769" s="27">
        <v>8867</v>
      </c>
      <c r="B769" s="8" t="s">
        <v>223</v>
      </c>
      <c r="C769" s="8">
        <v>281</v>
      </c>
      <c r="D769" s="8">
        <v>601</v>
      </c>
      <c r="E769" s="8">
        <v>75</v>
      </c>
      <c r="F769" s="8">
        <v>92</v>
      </c>
      <c r="G769" s="28">
        <f t="shared" si="23"/>
        <v>8.0133333333333336</v>
      </c>
      <c r="H769" s="33">
        <f t="shared" si="22"/>
        <v>0.13609467455621302</v>
      </c>
    </row>
    <row r="770" spans="1:8">
      <c r="A770" s="27">
        <v>4901</v>
      </c>
      <c r="B770" s="8" t="s">
        <v>226</v>
      </c>
      <c r="C770" s="8">
        <v>115</v>
      </c>
      <c r="D770" s="8">
        <v>843</v>
      </c>
      <c r="E770" s="8">
        <v>153</v>
      </c>
      <c r="F770" s="8">
        <v>6</v>
      </c>
      <c r="G770" s="28">
        <f t="shared" si="23"/>
        <v>5.5098039215686274</v>
      </c>
      <c r="H770" s="33">
        <f t="shared" ref="H770:H833" si="24">F770/(D770+E770)</f>
        <v>6.024096385542169E-3</v>
      </c>
    </row>
    <row r="771" spans="1:8">
      <c r="A771" s="27">
        <v>9575</v>
      </c>
      <c r="B771" s="8" t="s">
        <v>224</v>
      </c>
      <c r="C771" s="8">
        <v>483</v>
      </c>
      <c r="D771" s="8">
        <v>386</v>
      </c>
      <c r="E771" s="8">
        <v>192</v>
      </c>
      <c r="F771" s="8">
        <v>95</v>
      </c>
      <c r="G771" s="28">
        <f t="shared" ref="G771:G834" si="25">D771/E771</f>
        <v>2.0104166666666665</v>
      </c>
      <c r="H771" s="33">
        <f t="shared" si="24"/>
        <v>0.16435986159169549</v>
      </c>
    </row>
    <row r="772" spans="1:8">
      <c r="A772" s="27">
        <v>4471</v>
      </c>
      <c r="B772" s="8" t="s">
        <v>399</v>
      </c>
      <c r="C772" s="8">
        <v>129</v>
      </c>
      <c r="D772" s="8">
        <v>291</v>
      </c>
      <c r="E772" s="8">
        <v>37</v>
      </c>
      <c r="F772" s="8">
        <v>51</v>
      </c>
      <c r="G772" s="28">
        <f t="shared" si="25"/>
        <v>7.8648648648648649</v>
      </c>
      <c r="H772" s="33">
        <f t="shared" si="24"/>
        <v>0.15548780487804878</v>
      </c>
    </row>
    <row r="773" spans="1:8">
      <c r="A773" s="27">
        <v>1385</v>
      </c>
      <c r="B773" s="8" t="s">
        <v>664</v>
      </c>
      <c r="C773" s="8">
        <v>292</v>
      </c>
      <c r="D773" s="8">
        <v>198</v>
      </c>
      <c r="E773" s="8">
        <v>195</v>
      </c>
      <c r="F773" s="8">
        <v>55</v>
      </c>
      <c r="G773" s="28">
        <f t="shared" si="25"/>
        <v>1.0153846153846153</v>
      </c>
      <c r="H773" s="33">
        <f t="shared" si="24"/>
        <v>0.13994910941475827</v>
      </c>
    </row>
    <row r="774" spans="1:8">
      <c r="A774" s="27">
        <v>4302</v>
      </c>
      <c r="B774" s="8" t="s">
        <v>164</v>
      </c>
      <c r="C774" s="8">
        <v>307</v>
      </c>
      <c r="D774" s="8">
        <v>919</v>
      </c>
      <c r="E774" s="8">
        <v>175</v>
      </c>
      <c r="F774" s="8">
        <v>22</v>
      </c>
      <c r="G774" s="28">
        <f t="shared" si="25"/>
        <v>5.2514285714285718</v>
      </c>
      <c r="H774" s="33">
        <f t="shared" si="24"/>
        <v>2.0109689213893969E-2</v>
      </c>
    </row>
    <row r="775" spans="1:8">
      <c r="A775" s="27">
        <v>4738</v>
      </c>
      <c r="B775" s="8" t="s">
        <v>666</v>
      </c>
      <c r="C775" s="8">
        <v>306</v>
      </c>
      <c r="D775" s="8">
        <v>483</v>
      </c>
      <c r="E775" s="8">
        <v>5</v>
      </c>
      <c r="F775" s="8">
        <v>56</v>
      </c>
      <c r="G775" s="28">
        <f t="shared" si="25"/>
        <v>96.6</v>
      </c>
      <c r="H775" s="33">
        <f t="shared" si="24"/>
        <v>0.11475409836065574</v>
      </c>
    </row>
    <row r="776" spans="1:8">
      <c r="A776" s="27">
        <v>2441</v>
      </c>
      <c r="B776" s="8" t="s">
        <v>283</v>
      </c>
      <c r="C776" s="8">
        <v>71</v>
      </c>
      <c r="D776" s="8">
        <v>645</v>
      </c>
      <c r="E776" s="8">
        <v>5</v>
      </c>
      <c r="F776" s="8">
        <v>66</v>
      </c>
      <c r="G776" s="28">
        <f t="shared" si="25"/>
        <v>129</v>
      </c>
      <c r="H776" s="33">
        <f t="shared" si="24"/>
        <v>0.10153846153846154</v>
      </c>
    </row>
    <row r="777" spans="1:8">
      <c r="A777" s="27">
        <v>6546</v>
      </c>
      <c r="B777" s="8" t="s">
        <v>667</v>
      </c>
      <c r="C777" s="8">
        <v>253</v>
      </c>
      <c r="D777" s="8">
        <v>653</v>
      </c>
      <c r="E777" s="8">
        <v>53</v>
      </c>
      <c r="F777" s="8">
        <v>43</v>
      </c>
      <c r="G777" s="28">
        <f t="shared" si="25"/>
        <v>12.320754716981131</v>
      </c>
      <c r="H777" s="33">
        <f t="shared" si="24"/>
        <v>6.0906515580736544E-2</v>
      </c>
    </row>
    <row r="778" spans="1:8">
      <c r="A778" s="27">
        <v>5459</v>
      </c>
      <c r="B778" s="8" t="s">
        <v>344</v>
      </c>
      <c r="C778" s="8">
        <v>68</v>
      </c>
      <c r="D778" s="8">
        <v>727</v>
      </c>
      <c r="E778" s="8">
        <v>5</v>
      </c>
      <c r="F778" s="8">
        <v>8</v>
      </c>
      <c r="G778" s="28">
        <f t="shared" si="25"/>
        <v>145.4</v>
      </c>
      <c r="H778" s="33">
        <f t="shared" si="24"/>
        <v>1.092896174863388E-2</v>
      </c>
    </row>
    <row r="779" spans="1:8">
      <c r="A779" s="27">
        <v>7051</v>
      </c>
      <c r="B779" s="8" t="s">
        <v>23</v>
      </c>
      <c r="C779" s="8">
        <v>366</v>
      </c>
      <c r="D779" s="8">
        <v>257</v>
      </c>
      <c r="E779" s="8">
        <v>46</v>
      </c>
      <c r="F779" s="8">
        <v>7</v>
      </c>
      <c r="G779" s="28">
        <f t="shared" si="25"/>
        <v>5.5869565217391308</v>
      </c>
      <c r="H779" s="33">
        <f t="shared" si="24"/>
        <v>2.3102310231023101E-2</v>
      </c>
    </row>
    <row r="780" spans="1:8">
      <c r="A780" s="27">
        <v>6671</v>
      </c>
      <c r="B780" s="8" t="s">
        <v>41</v>
      </c>
      <c r="C780" s="8">
        <v>166</v>
      </c>
      <c r="D780" s="8">
        <v>208</v>
      </c>
      <c r="E780" s="8">
        <v>39</v>
      </c>
      <c r="F780" s="8">
        <v>53</v>
      </c>
      <c r="G780" s="28">
        <f t="shared" si="25"/>
        <v>5.333333333333333</v>
      </c>
      <c r="H780" s="33">
        <f t="shared" si="24"/>
        <v>0.2145748987854251</v>
      </c>
    </row>
    <row r="781" spans="1:8">
      <c r="A781" s="27">
        <v>6013</v>
      </c>
      <c r="B781" s="8" t="s">
        <v>116</v>
      </c>
      <c r="C781" s="8">
        <v>136</v>
      </c>
      <c r="D781" s="8">
        <v>471</v>
      </c>
      <c r="E781" s="8">
        <v>91</v>
      </c>
      <c r="F781" s="8">
        <v>70</v>
      </c>
      <c r="G781" s="28">
        <f t="shared" si="25"/>
        <v>5.1758241758241761</v>
      </c>
      <c r="H781" s="33">
        <f t="shared" si="24"/>
        <v>0.12455516014234876</v>
      </c>
    </row>
    <row r="782" spans="1:8">
      <c r="A782" s="27">
        <v>9996</v>
      </c>
      <c r="B782" s="8" t="s">
        <v>521</v>
      </c>
      <c r="C782" s="8">
        <v>358</v>
      </c>
      <c r="D782" s="8">
        <v>512</v>
      </c>
      <c r="E782" s="8">
        <v>153</v>
      </c>
      <c r="F782" s="8">
        <v>70</v>
      </c>
      <c r="G782" s="28">
        <f t="shared" si="25"/>
        <v>3.34640522875817</v>
      </c>
      <c r="H782" s="33">
        <f t="shared" si="24"/>
        <v>0.10526315789473684</v>
      </c>
    </row>
    <row r="783" spans="1:8">
      <c r="A783" s="27">
        <v>4851</v>
      </c>
      <c r="B783" s="8" t="s">
        <v>186</v>
      </c>
      <c r="C783" s="8">
        <v>399</v>
      </c>
      <c r="D783" s="8">
        <v>355</v>
      </c>
      <c r="E783" s="8">
        <v>181</v>
      </c>
      <c r="F783" s="8">
        <v>79</v>
      </c>
      <c r="G783" s="28">
        <f t="shared" si="25"/>
        <v>1.9613259668508287</v>
      </c>
      <c r="H783" s="33">
        <f t="shared" si="24"/>
        <v>0.14738805970149255</v>
      </c>
    </row>
    <row r="784" spans="1:8">
      <c r="A784" s="27">
        <v>2498</v>
      </c>
      <c r="B784" s="8" t="s">
        <v>441</v>
      </c>
      <c r="C784" s="8">
        <v>285</v>
      </c>
      <c r="D784" s="8">
        <v>634</v>
      </c>
      <c r="E784" s="8">
        <v>168</v>
      </c>
      <c r="F784" s="8">
        <v>76</v>
      </c>
      <c r="G784" s="28">
        <f t="shared" si="25"/>
        <v>3.7738095238095237</v>
      </c>
      <c r="H784" s="33">
        <f t="shared" si="24"/>
        <v>9.4763092269326679E-2</v>
      </c>
    </row>
    <row r="785" spans="1:8">
      <c r="A785" s="27">
        <v>6208</v>
      </c>
      <c r="B785" s="8" t="s">
        <v>253</v>
      </c>
      <c r="C785" s="8">
        <v>424</v>
      </c>
      <c r="D785" s="8">
        <v>942</v>
      </c>
      <c r="E785" s="8">
        <v>127</v>
      </c>
      <c r="F785" s="8">
        <v>95</v>
      </c>
      <c r="G785" s="28">
        <f t="shared" si="25"/>
        <v>7.4173228346456694</v>
      </c>
      <c r="H785" s="33">
        <f t="shared" si="24"/>
        <v>8.8868101028999058E-2</v>
      </c>
    </row>
    <row r="786" spans="1:8">
      <c r="A786" s="27">
        <v>7171</v>
      </c>
      <c r="B786" s="8" t="s">
        <v>70</v>
      </c>
      <c r="C786" s="8">
        <v>467</v>
      </c>
      <c r="D786" s="8">
        <v>350</v>
      </c>
      <c r="E786" s="8">
        <v>134</v>
      </c>
      <c r="F786" s="8">
        <v>1</v>
      </c>
      <c r="G786" s="28">
        <f t="shared" si="25"/>
        <v>2.6119402985074629</v>
      </c>
      <c r="H786" s="33">
        <f t="shared" si="24"/>
        <v>2.0661157024793389E-3</v>
      </c>
    </row>
    <row r="787" spans="1:8">
      <c r="A787" s="27">
        <v>7667</v>
      </c>
      <c r="B787" s="8" t="s">
        <v>666</v>
      </c>
      <c r="C787" s="8">
        <v>443</v>
      </c>
      <c r="D787" s="8">
        <v>326</v>
      </c>
      <c r="E787" s="8">
        <v>59</v>
      </c>
      <c r="F787" s="8">
        <v>57</v>
      </c>
      <c r="G787" s="28">
        <f t="shared" si="25"/>
        <v>5.5254237288135597</v>
      </c>
      <c r="H787" s="33">
        <f t="shared" si="24"/>
        <v>0.14805194805194805</v>
      </c>
    </row>
    <row r="788" spans="1:8">
      <c r="A788" s="27">
        <v>4912</v>
      </c>
      <c r="B788" s="8" t="s">
        <v>364</v>
      </c>
      <c r="C788" s="8">
        <v>214</v>
      </c>
      <c r="D788" s="8">
        <v>61</v>
      </c>
      <c r="E788" s="8">
        <v>148</v>
      </c>
      <c r="F788" s="8">
        <v>95</v>
      </c>
      <c r="G788" s="28">
        <f t="shared" si="25"/>
        <v>0.41216216216216217</v>
      </c>
      <c r="H788" s="33">
        <f t="shared" si="24"/>
        <v>0.45454545454545453</v>
      </c>
    </row>
    <row r="789" spans="1:8">
      <c r="A789" s="27">
        <v>7975</v>
      </c>
      <c r="B789" s="8" t="s">
        <v>671</v>
      </c>
      <c r="C789" s="8">
        <v>437</v>
      </c>
      <c r="D789" s="8">
        <v>328</v>
      </c>
      <c r="E789" s="8">
        <v>170</v>
      </c>
      <c r="F789" s="8">
        <v>25</v>
      </c>
      <c r="G789" s="28">
        <f t="shared" si="25"/>
        <v>1.9294117647058824</v>
      </c>
      <c r="H789" s="33">
        <f t="shared" si="24"/>
        <v>5.0200803212851405E-2</v>
      </c>
    </row>
    <row r="790" spans="1:8">
      <c r="A790" s="27">
        <v>6804</v>
      </c>
      <c r="B790" s="8" t="s">
        <v>657</v>
      </c>
      <c r="C790" s="8">
        <v>419</v>
      </c>
      <c r="D790" s="8">
        <v>591</v>
      </c>
      <c r="E790" s="8">
        <v>166</v>
      </c>
      <c r="F790" s="8">
        <v>26</v>
      </c>
      <c r="G790" s="28">
        <f t="shared" si="25"/>
        <v>3.5602409638554215</v>
      </c>
      <c r="H790" s="33">
        <f t="shared" si="24"/>
        <v>3.4346103038309116E-2</v>
      </c>
    </row>
    <row r="791" spans="1:8">
      <c r="A791" s="27">
        <v>3877</v>
      </c>
      <c r="B791" s="8" t="s">
        <v>667</v>
      </c>
      <c r="C791" s="8">
        <v>129</v>
      </c>
      <c r="D791" s="8">
        <v>527</v>
      </c>
      <c r="E791" s="8">
        <v>153</v>
      </c>
      <c r="F791" s="8">
        <v>0</v>
      </c>
      <c r="G791" s="28">
        <f t="shared" si="25"/>
        <v>3.4444444444444446</v>
      </c>
      <c r="H791" s="33">
        <f t="shared" si="24"/>
        <v>0</v>
      </c>
    </row>
    <row r="792" spans="1:8">
      <c r="A792" s="27">
        <v>8768</v>
      </c>
      <c r="B792" s="8" t="s">
        <v>281</v>
      </c>
      <c r="C792" s="8">
        <v>75</v>
      </c>
      <c r="D792" s="8">
        <v>115</v>
      </c>
      <c r="E792" s="8">
        <v>122</v>
      </c>
      <c r="F792" s="8">
        <v>86</v>
      </c>
      <c r="G792" s="28">
        <f t="shared" si="25"/>
        <v>0.94262295081967218</v>
      </c>
      <c r="H792" s="33">
        <f t="shared" si="24"/>
        <v>0.3628691983122363</v>
      </c>
    </row>
    <row r="793" spans="1:8">
      <c r="A793" s="27">
        <v>1420</v>
      </c>
      <c r="B793" s="8" t="s">
        <v>197</v>
      </c>
      <c r="C793" s="8">
        <v>346</v>
      </c>
      <c r="D793" s="8">
        <v>732</v>
      </c>
      <c r="E793" s="8">
        <v>144</v>
      </c>
      <c r="F793" s="8">
        <v>73</v>
      </c>
      <c r="G793" s="28">
        <f t="shared" si="25"/>
        <v>5.083333333333333</v>
      </c>
      <c r="H793" s="33">
        <f t="shared" si="24"/>
        <v>8.3333333333333329E-2</v>
      </c>
    </row>
    <row r="794" spans="1:8">
      <c r="A794" s="27">
        <v>2306</v>
      </c>
      <c r="B794" s="8" t="s">
        <v>257</v>
      </c>
      <c r="C794" s="8">
        <v>480</v>
      </c>
      <c r="D794" s="8">
        <v>509</v>
      </c>
      <c r="E794" s="8">
        <v>12</v>
      </c>
      <c r="F794" s="8">
        <v>43</v>
      </c>
      <c r="G794" s="28">
        <f t="shared" si="25"/>
        <v>42.416666666666664</v>
      </c>
      <c r="H794" s="33">
        <f t="shared" si="24"/>
        <v>8.253358925143954E-2</v>
      </c>
    </row>
    <row r="795" spans="1:8">
      <c r="A795" s="27">
        <v>2079</v>
      </c>
      <c r="B795" s="8" t="s">
        <v>387</v>
      </c>
      <c r="C795" s="8">
        <v>188</v>
      </c>
      <c r="D795" s="8">
        <v>655</v>
      </c>
      <c r="E795" s="8">
        <v>16</v>
      </c>
      <c r="F795" s="8">
        <v>50</v>
      </c>
      <c r="G795" s="28">
        <f t="shared" si="25"/>
        <v>40.9375</v>
      </c>
      <c r="H795" s="33">
        <f t="shared" si="24"/>
        <v>7.4515648286140088E-2</v>
      </c>
    </row>
    <row r="796" spans="1:8">
      <c r="A796" s="27">
        <v>3554</v>
      </c>
      <c r="B796" s="8" t="s">
        <v>391</v>
      </c>
      <c r="C796" s="8">
        <v>420</v>
      </c>
      <c r="D796" s="8">
        <v>399</v>
      </c>
      <c r="E796" s="8">
        <v>45</v>
      </c>
      <c r="F796" s="8">
        <v>52</v>
      </c>
      <c r="G796" s="28">
        <f t="shared" si="25"/>
        <v>8.8666666666666671</v>
      </c>
      <c r="H796" s="33">
        <f t="shared" si="24"/>
        <v>0.11711711711711711</v>
      </c>
    </row>
    <row r="797" spans="1:8">
      <c r="A797" s="27">
        <v>7616</v>
      </c>
      <c r="B797" s="8" t="s">
        <v>280</v>
      </c>
      <c r="C797" s="8">
        <v>204</v>
      </c>
      <c r="D797" s="8">
        <v>597</v>
      </c>
      <c r="E797" s="8">
        <v>118</v>
      </c>
      <c r="F797" s="8">
        <v>60</v>
      </c>
      <c r="G797" s="28">
        <f t="shared" si="25"/>
        <v>5.0593220338983054</v>
      </c>
      <c r="H797" s="33">
        <f t="shared" si="24"/>
        <v>8.3916083916083919E-2</v>
      </c>
    </row>
    <row r="798" spans="1:8">
      <c r="A798" s="27">
        <v>5650</v>
      </c>
      <c r="B798" s="8" t="s">
        <v>441</v>
      </c>
      <c r="C798" s="8">
        <v>355</v>
      </c>
      <c r="D798" s="8">
        <v>358</v>
      </c>
      <c r="E798" s="8">
        <v>173</v>
      </c>
      <c r="F798" s="8">
        <v>60</v>
      </c>
      <c r="G798" s="28">
        <f t="shared" si="25"/>
        <v>2.0693641618497112</v>
      </c>
      <c r="H798" s="33">
        <f t="shared" si="24"/>
        <v>0.11299435028248588</v>
      </c>
    </row>
    <row r="799" spans="1:8">
      <c r="A799" s="27">
        <v>9385</v>
      </c>
      <c r="B799" s="8" t="s">
        <v>202</v>
      </c>
      <c r="C799" s="8">
        <v>200</v>
      </c>
      <c r="D799" s="8">
        <v>453</v>
      </c>
      <c r="E799" s="8">
        <v>172</v>
      </c>
      <c r="F799" s="8">
        <v>1</v>
      </c>
      <c r="G799" s="28">
        <f t="shared" si="25"/>
        <v>2.6337209302325579</v>
      </c>
      <c r="H799" s="33">
        <f t="shared" si="24"/>
        <v>1.6000000000000001E-3</v>
      </c>
    </row>
    <row r="800" spans="1:8">
      <c r="A800" s="27">
        <v>2482</v>
      </c>
      <c r="B800" s="8" t="s">
        <v>197</v>
      </c>
      <c r="C800" s="8">
        <v>178</v>
      </c>
      <c r="D800" s="8">
        <v>378</v>
      </c>
      <c r="E800" s="8">
        <v>117</v>
      </c>
      <c r="F800" s="8">
        <v>63</v>
      </c>
      <c r="G800" s="28">
        <f t="shared" si="25"/>
        <v>3.2307692307692308</v>
      </c>
      <c r="H800" s="33">
        <f t="shared" si="24"/>
        <v>0.12727272727272726</v>
      </c>
    </row>
    <row r="801" spans="1:8">
      <c r="A801" s="27">
        <v>9017</v>
      </c>
      <c r="B801" s="8" t="s">
        <v>510</v>
      </c>
      <c r="C801" s="8">
        <v>337</v>
      </c>
      <c r="D801" s="8">
        <v>750</v>
      </c>
      <c r="E801" s="8">
        <v>146</v>
      </c>
      <c r="F801" s="8">
        <v>100</v>
      </c>
      <c r="G801" s="28">
        <f t="shared" si="25"/>
        <v>5.1369863013698627</v>
      </c>
      <c r="H801" s="33">
        <f t="shared" si="24"/>
        <v>0.11160714285714286</v>
      </c>
    </row>
    <row r="802" spans="1:8">
      <c r="A802" s="27">
        <v>7001</v>
      </c>
      <c r="B802" s="8" t="s">
        <v>164</v>
      </c>
      <c r="C802" s="8">
        <v>24</v>
      </c>
      <c r="D802" s="8">
        <v>30</v>
      </c>
      <c r="E802" s="8">
        <v>20</v>
      </c>
      <c r="F802" s="8">
        <v>98</v>
      </c>
      <c r="G802" s="28">
        <f t="shared" si="25"/>
        <v>1.5</v>
      </c>
      <c r="H802" s="33">
        <f t="shared" si="24"/>
        <v>1.96</v>
      </c>
    </row>
    <row r="803" spans="1:8">
      <c r="A803" s="27">
        <v>2942</v>
      </c>
      <c r="B803" s="8" t="s">
        <v>675</v>
      </c>
      <c r="C803" s="8">
        <v>167</v>
      </c>
      <c r="D803" s="8">
        <v>127</v>
      </c>
      <c r="E803" s="8">
        <v>138</v>
      </c>
      <c r="F803" s="8">
        <v>66</v>
      </c>
      <c r="G803" s="28">
        <f t="shared" si="25"/>
        <v>0.92028985507246375</v>
      </c>
      <c r="H803" s="33">
        <f t="shared" si="24"/>
        <v>0.24905660377358491</v>
      </c>
    </row>
    <row r="804" spans="1:8">
      <c r="A804" s="27">
        <v>8833</v>
      </c>
      <c r="B804" s="8" t="s">
        <v>91</v>
      </c>
      <c r="C804" s="8">
        <v>289</v>
      </c>
      <c r="D804" s="8">
        <v>216</v>
      </c>
      <c r="E804" s="8">
        <v>162</v>
      </c>
      <c r="F804" s="8">
        <v>99</v>
      </c>
      <c r="G804" s="28">
        <f t="shared" si="25"/>
        <v>1.3333333333333333</v>
      </c>
      <c r="H804" s="33">
        <f t="shared" si="24"/>
        <v>0.26190476190476192</v>
      </c>
    </row>
    <row r="805" spans="1:8">
      <c r="A805" s="27">
        <v>8079</v>
      </c>
      <c r="B805" s="8" t="s">
        <v>88</v>
      </c>
      <c r="C805" s="8">
        <v>450</v>
      </c>
      <c r="D805" s="8">
        <v>12</v>
      </c>
      <c r="E805" s="8">
        <v>133</v>
      </c>
      <c r="F805" s="8">
        <v>100</v>
      </c>
      <c r="G805" s="28">
        <f t="shared" si="25"/>
        <v>9.0225563909774431E-2</v>
      </c>
      <c r="H805" s="33">
        <f t="shared" si="24"/>
        <v>0.68965517241379315</v>
      </c>
    </row>
    <row r="806" spans="1:8">
      <c r="A806" s="27">
        <v>3797</v>
      </c>
      <c r="B806" s="8" t="s">
        <v>88</v>
      </c>
      <c r="C806" s="8">
        <v>165</v>
      </c>
      <c r="D806" s="8">
        <v>421</v>
      </c>
      <c r="E806" s="8">
        <v>3</v>
      </c>
      <c r="F806" s="8">
        <v>96</v>
      </c>
      <c r="G806" s="28">
        <f t="shared" si="25"/>
        <v>140.33333333333334</v>
      </c>
      <c r="H806" s="33">
        <f t="shared" si="24"/>
        <v>0.22641509433962265</v>
      </c>
    </row>
    <row r="807" spans="1:8">
      <c r="A807" s="27">
        <v>7268</v>
      </c>
      <c r="B807" s="8" t="s">
        <v>676</v>
      </c>
      <c r="C807" s="8">
        <v>391</v>
      </c>
      <c r="D807" s="8">
        <v>988</v>
      </c>
      <c r="E807" s="8">
        <v>82</v>
      </c>
      <c r="F807" s="8">
        <v>73</v>
      </c>
      <c r="G807" s="28">
        <f t="shared" si="25"/>
        <v>12.048780487804878</v>
      </c>
      <c r="H807" s="33">
        <f t="shared" si="24"/>
        <v>6.822429906542056E-2</v>
      </c>
    </row>
    <row r="808" spans="1:8">
      <c r="A808" s="27">
        <v>9803</v>
      </c>
      <c r="B808" s="8" t="s">
        <v>405</v>
      </c>
      <c r="C808" s="8">
        <v>318</v>
      </c>
      <c r="D808" s="8">
        <v>376</v>
      </c>
      <c r="E808" s="8">
        <v>44</v>
      </c>
      <c r="F808" s="8">
        <v>42</v>
      </c>
      <c r="G808" s="28">
        <f t="shared" si="25"/>
        <v>8.545454545454545</v>
      </c>
      <c r="H808" s="33">
        <f t="shared" si="24"/>
        <v>0.1</v>
      </c>
    </row>
    <row r="809" spans="1:8">
      <c r="A809" s="27">
        <v>2165</v>
      </c>
      <c r="B809" s="8" t="s">
        <v>677</v>
      </c>
      <c r="C809" s="8">
        <v>157</v>
      </c>
      <c r="D809" s="8">
        <v>542</v>
      </c>
      <c r="E809" s="8">
        <v>80</v>
      </c>
      <c r="F809" s="8">
        <v>53</v>
      </c>
      <c r="G809" s="28">
        <f t="shared" si="25"/>
        <v>6.7750000000000004</v>
      </c>
      <c r="H809" s="33">
        <f t="shared" si="24"/>
        <v>8.5209003215434079E-2</v>
      </c>
    </row>
    <row r="810" spans="1:8">
      <c r="A810" s="27">
        <v>1528</v>
      </c>
      <c r="B810" s="8" t="s">
        <v>365</v>
      </c>
      <c r="C810" s="8">
        <v>25</v>
      </c>
      <c r="D810" s="8">
        <v>232</v>
      </c>
      <c r="E810" s="8">
        <v>196</v>
      </c>
      <c r="F810" s="8">
        <v>48</v>
      </c>
      <c r="G810" s="28">
        <f t="shared" si="25"/>
        <v>1.1836734693877551</v>
      </c>
      <c r="H810" s="33">
        <f t="shared" si="24"/>
        <v>0.11214953271028037</v>
      </c>
    </row>
    <row r="811" spans="1:8">
      <c r="A811" s="27">
        <v>5978</v>
      </c>
      <c r="B811" s="8" t="s">
        <v>393</v>
      </c>
      <c r="C811" s="8">
        <v>112</v>
      </c>
      <c r="D811" s="8">
        <v>505</v>
      </c>
      <c r="E811" s="8">
        <v>118</v>
      </c>
      <c r="F811" s="8">
        <v>81</v>
      </c>
      <c r="G811" s="28">
        <f t="shared" si="25"/>
        <v>4.2796610169491522</v>
      </c>
      <c r="H811" s="33">
        <f t="shared" si="24"/>
        <v>0.13001605136436598</v>
      </c>
    </row>
    <row r="812" spans="1:8">
      <c r="A812" s="27">
        <v>5967</v>
      </c>
      <c r="B812" s="8" t="s">
        <v>382</v>
      </c>
      <c r="C812" s="8">
        <v>479</v>
      </c>
      <c r="D812" s="8">
        <v>394</v>
      </c>
      <c r="E812" s="8">
        <v>35</v>
      </c>
      <c r="F812" s="8">
        <v>93</v>
      </c>
      <c r="G812" s="28">
        <f t="shared" si="25"/>
        <v>11.257142857142858</v>
      </c>
      <c r="H812" s="33">
        <f t="shared" si="24"/>
        <v>0.21678321678321677</v>
      </c>
    </row>
    <row r="813" spans="1:8">
      <c r="A813" s="27">
        <v>4254</v>
      </c>
      <c r="B813" s="8" t="s">
        <v>153</v>
      </c>
      <c r="C813" s="8">
        <v>233</v>
      </c>
      <c r="D813" s="8">
        <v>769</v>
      </c>
      <c r="E813" s="8">
        <v>132</v>
      </c>
      <c r="F813" s="8">
        <v>82</v>
      </c>
      <c r="G813" s="28">
        <f t="shared" si="25"/>
        <v>5.8257575757575761</v>
      </c>
      <c r="H813" s="33">
        <f t="shared" si="24"/>
        <v>9.1009988901220862E-2</v>
      </c>
    </row>
    <row r="814" spans="1:8">
      <c r="A814" s="27">
        <v>2186</v>
      </c>
      <c r="B814" s="8" t="s">
        <v>473</v>
      </c>
      <c r="C814" s="8">
        <v>44</v>
      </c>
      <c r="D814" s="8">
        <v>89</v>
      </c>
      <c r="E814" s="8">
        <v>90</v>
      </c>
      <c r="F814" s="8">
        <v>48</v>
      </c>
      <c r="G814" s="28">
        <f t="shared" si="25"/>
        <v>0.98888888888888893</v>
      </c>
      <c r="H814" s="33">
        <f t="shared" si="24"/>
        <v>0.26815642458100558</v>
      </c>
    </row>
    <row r="815" spans="1:8">
      <c r="A815" s="27">
        <v>7644</v>
      </c>
      <c r="B815" s="8" t="s">
        <v>678</v>
      </c>
      <c r="C815" s="8">
        <v>456</v>
      </c>
      <c r="D815" s="8">
        <v>240</v>
      </c>
      <c r="E815" s="8">
        <v>83</v>
      </c>
      <c r="F815" s="8">
        <v>76</v>
      </c>
      <c r="G815" s="28">
        <f t="shared" si="25"/>
        <v>2.8915662650602409</v>
      </c>
      <c r="H815" s="33">
        <f t="shared" si="24"/>
        <v>0.23529411764705882</v>
      </c>
    </row>
    <row r="816" spans="1:8">
      <c r="A816" s="27">
        <v>5897</v>
      </c>
      <c r="B816" s="8" t="s">
        <v>296</v>
      </c>
      <c r="C816" s="8">
        <v>486</v>
      </c>
      <c r="D816" s="8">
        <v>181</v>
      </c>
      <c r="E816" s="8">
        <v>15</v>
      </c>
      <c r="F816" s="8">
        <v>0</v>
      </c>
      <c r="G816" s="28">
        <f t="shared" si="25"/>
        <v>12.066666666666666</v>
      </c>
      <c r="H816" s="33">
        <f t="shared" si="24"/>
        <v>0</v>
      </c>
    </row>
    <row r="817" spans="1:8">
      <c r="A817" s="27">
        <v>7465</v>
      </c>
      <c r="B817" s="8" t="s">
        <v>618</v>
      </c>
      <c r="C817" s="8">
        <v>308</v>
      </c>
      <c r="D817" s="8">
        <v>284</v>
      </c>
      <c r="E817" s="8">
        <v>81</v>
      </c>
      <c r="F817" s="8">
        <v>92</v>
      </c>
      <c r="G817" s="28">
        <f t="shared" si="25"/>
        <v>3.5061728395061729</v>
      </c>
      <c r="H817" s="33">
        <f t="shared" si="24"/>
        <v>0.25205479452054796</v>
      </c>
    </row>
    <row r="818" spans="1:8">
      <c r="A818" s="27">
        <v>3724</v>
      </c>
      <c r="B818" s="8" t="s">
        <v>118</v>
      </c>
      <c r="C818" s="8">
        <v>161</v>
      </c>
      <c r="D818" s="8">
        <v>698</v>
      </c>
      <c r="E818" s="8">
        <v>77</v>
      </c>
      <c r="F818" s="8">
        <v>32</v>
      </c>
      <c r="G818" s="28">
        <f t="shared" si="25"/>
        <v>9.0649350649350655</v>
      </c>
      <c r="H818" s="33">
        <f t="shared" si="24"/>
        <v>4.1290322580645161E-2</v>
      </c>
    </row>
    <row r="819" spans="1:8">
      <c r="A819" s="27">
        <v>2914</v>
      </c>
      <c r="B819" s="8" t="s">
        <v>579</v>
      </c>
      <c r="C819" s="8">
        <v>316</v>
      </c>
      <c r="D819" s="8">
        <v>734</v>
      </c>
      <c r="E819" s="8">
        <v>21</v>
      </c>
      <c r="F819" s="8">
        <v>65</v>
      </c>
      <c r="G819" s="28">
        <f t="shared" si="25"/>
        <v>34.952380952380949</v>
      </c>
      <c r="H819" s="33">
        <f t="shared" si="24"/>
        <v>8.6092715231788075E-2</v>
      </c>
    </row>
    <row r="820" spans="1:8">
      <c r="A820" s="27">
        <v>4110</v>
      </c>
      <c r="B820" s="8" t="s">
        <v>212</v>
      </c>
      <c r="C820" s="8">
        <v>133</v>
      </c>
      <c r="D820" s="8">
        <v>951</v>
      </c>
      <c r="E820" s="8">
        <v>86</v>
      </c>
      <c r="F820" s="8">
        <v>88</v>
      </c>
      <c r="G820" s="28">
        <f t="shared" si="25"/>
        <v>11.05813953488372</v>
      </c>
      <c r="H820" s="33">
        <f t="shared" si="24"/>
        <v>8.4860173577627776E-2</v>
      </c>
    </row>
    <row r="821" spans="1:8">
      <c r="A821" s="27">
        <v>6944</v>
      </c>
      <c r="B821" s="8" t="s">
        <v>244</v>
      </c>
      <c r="C821" s="8">
        <v>270</v>
      </c>
      <c r="D821" s="8">
        <v>271</v>
      </c>
      <c r="E821" s="8">
        <v>5</v>
      </c>
      <c r="F821" s="8">
        <v>41</v>
      </c>
      <c r="G821" s="28">
        <f t="shared" si="25"/>
        <v>54.2</v>
      </c>
      <c r="H821" s="33">
        <f t="shared" si="24"/>
        <v>0.14855072463768115</v>
      </c>
    </row>
    <row r="822" spans="1:8">
      <c r="A822" s="27">
        <v>3639</v>
      </c>
      <c r="B822" s="8" t="s">
        <v>682</v>
      </c>
      <c r="C822" s="8">
        <v>85</v>
      </c>
      <c r="D822" s="8">
        <v>851</v>
      </c>
      <c r="E822" s="8">
        <v>48</v>
      </c>
      <c r="F822" s="8">
        <v>45</v>
      </c>
      <c r="G822" s="28">
        <f t="shared" si="25"/>
        <v>17.729166666666668</v>
      </c>
      <c r="H822" s="33">
        <f t="shared" si="24"/>
        <v>5.0055617352614018E-2</v>
      </c>
    </row>
    <row r="823" spans="1:8">
      <c r="A823" s="27">
        <v>8416</v>
      </c>
      <c r="B823" s="8" t="s">
        <v>404</v>
      </c>
      <c r="C823" s="8">
        <v>65</v>
      </c>
      <c r="D823" s="8">
        <v>302</v>
      </c>
      <c r="E823" s="8">
        <v>6</v>
      </c>
      <c r="F823" s="8">
        <v>81</v>
      </c>
      <c r="G823" s="28">
        <f t="shared" si="25"/>
        <v>50.333333333333336</v>
      </c>
      <c r="H823" s="33">
        <f t="shared" si="24"/>
        <v>0.26298701298701299</v>
      </c>
    </row>
    <row r="824" spans="1:8">
      <c r="A824" s="27">
        <v>7753</v>
      </c>
      <c r="B824" s="8" t="s">
        <v>179</v>
      </c>
      <c r="C824" s="8">
        <v>393</v>
      </c>
      <c r="D824" s="8">
        <v>829</v>
      </c>
      <c r="E824" s="8">
        <v>117</v>
      </c>
      <c r="F824" s="8">
        <v>65</v>
      </c>
      <c r="G824" s="28">
        <f t="shared" si="25"/>
        <v>7.0854700854700852</v>
      </c>
      <c r="H824" s="33">
        <f t="shared" si="24"/>
        <v>6.8710359408033828E-2</v>
      </c>
    </row>
    <row r="825" spans="1:8">
      <c r="A825" s="27">
        <v>9528</v>
      </c>
      <c r="B825" s="8" t="s">
        <v>684</v>
      </c>
      <c r="C825" s="8">
        <v>181</v>
      </c>
      <c r="D825" s="8">
        <v>860</v>
      </c>
      <c r="E825" s="8">
        <v>148</v>
      </c>
      <c r="F825" s="8">
        <v>3</v>
      </c>
      <c r="G825" s="28">
        <f t="shared" si="25"/>
        <v>5.8108108108108105</v>
      </c>
      <c r="H825" s="33">
        <f t="shared" si="24"/>
        <v>2.976190476190476E-3</v>
      </c>
    </row>
    <row r="826" spans="1:8">
      <c r="A826" s="27">
        <v>2960</v>
      </c>
      <c r="B826" s="8" t="s">
        <v>153</v>
      </c>
      <c r="C826" s="8">
        <v>416</v>
      </c>
      <c r="D826" s="8">
        <v>964</v>
      </c>
      <c r="E826" s="8">
        <v>187</v>
      </c>
      <c r="F826" s="8">
        <v>6</v>
      </c>
      <c r="G826" s="28">
        <f t="shared" si="25"/>
        <v>5.1550802139037435</v>
      </c>
      <c r="H826" s="33">
        <f t="shared" si="24"/>
        <v>5.2128583840139013E-3</v>
      </c>
    </row>
    <row r="827" spans="1:8">
      <c r="A827" s="27">
        <v>1090</v>
      </c>
      <c r="B827" s="8" t="s">
        <v>628</v>
      </c>
      <c r="C827" s="8">
        <v>243</v>
      </c>
      <c r="D827" s="8">
        <v>40</v>
      </c>
      <c r="E827" s="8">
        <v>52</v>
      </c>
      <c r="F827" s="8">
        <v>4</v>
      </c>
      <c r="G827" s="28">
        <f t="shared" si="25"/>
        <v>0.76923076923076927</v>
      </c>
      <c r="H827" s="33">
        <f t="shared" si="24"/>
        <v>4.3478260869565216E-2</v>
      </c>
    </row>
    <row r="828" spans="1:8">
      <c r="A828" s="27">
        <v>2410</v>
      </c>
      <c r="B828" s="8" t="s">
        <v>88</v>
      </c>
      <c r="C828" s="8">
        <v>381</v>
      </c>
      <c r="D828" s="8">
        <v>568</v>
      </c>
      <c r="E828" s="8">
        <v>62</v>
      </c>
      <c r="F828" s="8">
        <v>50</v>
      </c>
      <c r="G828" s="28">
        <f t="shared" si="25"/>
        <v>9.1612903225806459</v>
      </c>
      <c r="H828" s="33">
        <f t="shared" si="24"/>
        <v>7.9365079365079361E-2</v>
      </c>
    </row>
    <row r="829" spans="1:8">
      <c r="A829" s="27">
        <v>1575</v>
      </c>
      <c r="B829" s="8" t="s">
        <v>153</v>
      </c>
      <c r="C829" s="8">
        <v>71</v>
      </c>
      <c r="D829" s="8">
        <v>666</v>
      </c>
      <c r="E829" s="8">
        <v>100</v>
      </c>
      <c r="F829" s="8">
        <v>97</v>
      </c>
      <c r="G829" s="28">
        <f t="shared" si="25"/>
        <v>6.66</v>
      </c>
      <c r="H829" s="33">
        <f t="shared" si="24"/>
        <v>0.12663185378590078</v>
      </c>
    </row>
    <row r="830" spans="1:8">
      <c r="A830" s="27">
        <v>9259</v>
      </c>
      <c r="B830" s="8" t="s">
        <v>241</v>
      </c>
      <c r="C830" s="8">
        <v>219</v>
      </c>
      <c r="D830" s="8">
        <v>318</v>
      </c>
      <c r="E830" s="8">
        <v>37</v>
      </c>
      <c r="F830" s="8">
        <v>69</v>
      </c>
      <c r="G830" s="28">
        <f t="shared" si="25"/>
        <v>8.5945945945945947</v>
      </c>
      <c r="H830" s="33">
        <f t="shared" si="24"/>
        <v>0.19436619718309858</v>
      </c>
    </row>
    <row r="831" spans="1:8">
      <c r="A831" s="27">
        <v>2170</v>
      </c>
      <c r="B831" s="8" t="s">
        <v>148</v>
      </c>
      <c r="C831" s="8">
        <v>335</v>
      </c>
      <c r="D831" s="8">
        <v>609</v>
      </c>
      <c r="E831" s="8">
        <v>181</v>
      </c>
      <c r="F831" s="8">
        <v>81</v>
      </c>
      <c r="G831" s="28">
        <f t="shared" si="25"/>
        <v>3.3646408839779007</v>
      </c>
      <c r="H831" s="33">
        <f t="shared" si="24"/>
        <v>0.10253164556962026</v>
      </c>
    </row>
    <row r="832" spans="1:8">
      <c r="A832" s="27">
        <v>2237</v>
      </c>
      <c r="B832" s="8" t="s">
        <v>248</v>
      </c>
      <c r="C832" s="8">
        <v>435</v>
      </c>
      <c r="D832" s="8">
        <v>163</v>
      </c>
      <c r="E832" s="8">
        <v>69</v>
      </c>
      <c r="F832" s="8">
        <v>24</v>
      </c>
      <c r="G832" s="28">
        <f t="shared" si="25"/>
        <v>2.36231884057971</v>
      </c>
      <c r="H832" s="33">
        <f t="shared" si="24"/>
        <v>0.10344827586206896</v>
      </c>
    </row>
    <row r="833" spans="1:8">
      <c r="A833" s="27">
        <v>2697</v>
      </c>
      <c r="B833" s="8" t="s">
        <v>174</v>
      </c>
      <c r="C833" s="8">
        <v>423</v>
      </c>
      <c r="D833" s="8">
        <v>648</v>
      </c>
      <c r="E833" s="8">
        <v>46</v>
      </c>
      <c r="F833" s="8">
        <v>0</v>
      </c>
      <c r="G833" s="28">
        <f t="shared" si="25"/>
        <v>14.086956521739131</v>
      </c>
      <c r="H833" s="33">
        <f t="shared" si="24"/>
        <v>0</v>
      </c>
    </row>
    <row r="834" spans="1:8">
      <c r="A834" s="27">
        <v>4488</v>
      </c>
      <c r="B834" s="8" t="s">
        <v>281</v>
      </c>
      <c r="C834" s="8">
        <v>304</v>
      </c>
      <c r="D834" s="8">
        <v>975</v>
      </c>
      <c r="E834" s="8">
        <v>10</v>
      </c>
      <c r="F834" s="8">
        <v>48</v>
      </c>
      <c r="G834" s="28">
        <f t="shared" si="25"/>
        <v>97.5</v>
      </c>
      <c r="H834" s="33">
        <f t="shared" ref="H834:H897" si="26">F834/(D834+E834)</f>
        <v>4.8730964467005075E-2</v>
      </c>
    </row>
    <row r="835" spans="1:8">
      <c r="A835" s="27">
        <v>5291</v>
      </c>
      <c r="B835" s="8" t="s">
        <v>686</v>
      </c>
      <c r="C835" s="8">
        <v>455</v>
      </c>
      <c r="D835" s="8">
        <v>15</v>
      </c>
      <c r="E835" s="8">
        <v>36</v>
      </c>
      <c r="F835" s="8">
        <v>37</v>
      </c>
      <c r="G835" s="28">
        <f t="shared" ref="G835:G898" si="27">D835/E835</f>
        <v>0.41666666666666669</v>
      </c>
      <c r="H835" s="33">
        <f t="shared" si="26"/>
        <v>0.72549019607843135</v>
      </c>
    </row>
    <row r="836" spans="1:8">
      <c r="A836" s="27">
        <v>6287</v>
      </c>
      <c r="B836" s="8" t="s">
        <v>491</v>
      </c>
      <c r="C836" s="8">
        <v>449</v>
      </c>
      <c r="D836" s="8">
        <v>268</v>
      </c>
      <c r="E836" s="8">
        <v>11</v>
      </c>
      <c r="F836" s="8">
        <v>62</v>
      </c>
      <c r="G836" s="28">
        <f t="shared" si="27"/>
        <v>24.363636363636363</v>
      </c>
      <c r="H836" s="33">
        <f t="shared" si="26"/>
        <v>0.22222222222222221</v>
      </c>
    </row>
    <row r="837" spans="1:8">
      <c r="A837" s="27">
        <v>1953</v>
      </c>
      <c r="B837" s="8" t="s">
        <v>667</v>
      </c>
      <c r="C837" s="8">
        <v>39</v>
      </c>
      <c r="D837" s="8">
        <v>791</v>
      </c>
      <c r="E837" s="8">
        <v>3</v>
      </c>
      <c r="F837" s="8">
        <v>33</v>
      </c>
      <c r="G837" s="28">
        <f t="shared" si="27"/>
        <v>263.66666666666669</v>
      </c>
      <c r="H837" s="33">
        <f t="shared" si="26"/>
        <v>4.1561712846347604E-2</v>
      </c>
    </row>
    <row r="838" spans="1:8">
      <c r="A838" s="27">
        <v>3457</v>
      </c>
      <c r="B838" s="8" t="s">
        <v>286</v>
      </c>
      <c r="C838" s="8">
        <v>139</v>
      </c>
      <c r="D838" s="8">
        <v>257</v>
      </c>
      <c r="E838" s="8">
        <v>173</v>
      </c>
      <c r="F838" s="8">
        <v>16</v>
      </c>
      <c r="G838" s="28">
        <f t="shared" si="27"/>
        <v>1.4855491329479769</v>
      </c>
      <c r="H838" s="33">
        <f t="shared" si="26"/>
        <v>3.7209302325581395E-2</v>
      </c>
    </row>
    <row r="839" spans="1:8">
      <c r="A839" s="27">
        <v>6504</v>
      </c>
      <c r="B839" s="8" t="s">
        <v>318</v>
      </c>
      <c r="C839" s="8">
        <v>345</v>
      </c>
      <c r="D839" s="8">
        <v>767</v>
      </c>
      <c r="E839" s="8">
        <v>66</v>
      </c>
      <c r="F839" s="8">
        <v>70</v>
      </c>
      <c r="G839" s="28">
        <f t="shared" si="27"/>
        <v>11.621212121212121</v>
      </c>
      <c r="H839" s="33">
        <f t="shared" si="26"/>
        <v>8.4033613445378158E-2</v>
      </c>
    </row>
    <row r="840" spans="1:8">
      <c r="A840" s="27">
        <v>7463</v>
      </c>
      <c r="B840" s="8" t="s">
        <v>389</v>
      </c>
      <c r="C840" s="8">
        <v>500</v>
      </c>
      <c r="D840" s="8">
        <v>362</v>
      </c>
      <c r="E840" s="8">
        <v>38</v>
      </c>
      <c r="F840" s="8">
        <v>100</v>
      </c>
      <c r="G840" s="28">
        <f t="shared" si="27"/>
        <v>9.526315789473685</v>
      </c>
      <c r="H840" s="33">
        <f t="shared" si="26"/>
        <v>0.25</v>
      </c>
    </row>
    <row r="841" spans="1:8">
      <c r="A841" s="27">
        <v>3898</v>
      </c>
      <c r="B841" s="8" t="s">
        <v>98</v>
      </c>
      <c r="C841" s="8">
        <v>365</v>
      </c>
      <c r="D841" s="8">
        <v>779</v>
      </c>
      <c r="E841" s="8">
        <v>113</v>
      </c>
      <c r="F841" s="8">
        <v>65</v>
      </c>
      <c r="G841" s="28">
        <f t="shared" si="27"/>
        <v>6.8938053097345131</v>
      </c>
      <c r="H841" s="33">
        <f t="shared" si="26"/>
        <v>7.2869955156950675E-2</v>
      </c>
    </row>
    <row r="842" spans="1:8">
      <c r="A842" s="27">
        <v>8481</v>
      </c>
      <c r="B842" s="8" t="s">
        <v>130</v>
      </c>
      <c r="C842" s="8">
        <v>479</v>
      </c>
      <c r="D842" s="8">
        <v>159</v>
      </c>
      <c r="E842" s="8">
        <v>136</v>
      </c>
      <c r="F842" s="8">
        <v>7</v>
      </c>
      <c r="G842" s="28">
        <f t="shared" si="27"/>
        <v>1.1691176470588236</v>
      </c>
      <c r="H842" s="33">
        <f t="shared" si="26"/>
        <v>2.3728813559322035E-2</v>
      </c>
    </row>
    <row r="843" spans="1:8">
      <c r="A843" s="27">
        <v>7810</v>
      </c>
      <c r="B843" s="8" t="s">
        <v>41</v>
      </c>
      <c r="C843" s="8">
        <v>63</v>
      </c>
      <c r="D843" s="8">
        <v>104</v>
      </c>
      <c r="E843" s="8">
        <v>72</v>
      </c>
      <c r="F843" s="8">
        <v>17</v>
      </c>
      <c r="G843" s="28">
        <f t="shared" si="27"/>
        <v>1.4444444444444444</v>
      </c>
      <c r="H843" s="33">
        <f t="shared" si="26"/>
        <v>9.6590909090909088E-2</v>
      </c>
    </row>
    <row r="844" spans="1:8">
      <c r="A844" s="27">
        <v>6534</v>
      </c>
      <c r="B844" s="8" t="s">
        <v>434</v>
      </c>
      <c r="C844" s="8">
        <v>104</v>
      </c>
      <c r="D844" s="8">
        <v>570</v>
      </c>
      <c r="E844" s="8">
        <v>29</v>
      </c>
      <c r="F844" s="8">
        <v>56</v>
      </c>
      <c r="G844" s="28">
        <f t="shared" si="27"/>
        <v>19.655172413793103</v>
      </c>
      <c r="H844" s="33">
        <f t="shared" si="26"/>
        <v>9.3489148580968282E-2</v>
      </c>
    </row>
    <row r="845" spans="1:8">
      <c r="A845" s="27">
        <v>6025</v>
      </c>
      <c r="B845" s="8" t="s">
        <v>290</v>
      </c>
      <c r="C845" s="8">
        <v>380</v>
      </c>
      <c r="D845" s="8">
        <v>112</v>
      </c>
      <c r="E845" s="8">
        <v>149</v>
      </c>
      <c r="F845" s="8">
        <v>74</v>
      </c>
      <c r="G845" s="28">
        <f t="shared" si="27"/>
        <v>0.75167785234899331</v>
      </c>
      <c r="H845" s="33">
        <f t="shared" si="26"/>
        <v>0.28352490421455939</v>
      </c>
    </row>
    <row r="846" spans="1:8">
      <c r="A846" s="27">
        <v>5825</v>
      </c>
      <c r="B846" s="8" t="s">
        <v>689</v>
      </c>
      <c r="C846" s="8">
        <v>500</v>
      </c>
      <c r="D846" s="8">
        <v>568</v>
      </c>
      <c r="E846" s="8">
        <v>151</v>
      </c>
      <c r="F846" s="8">
        <v>11</v>
      </c>
      <c r="G846" s="28">
        <f t="shared" si="27"/>
        <v>3.76158940397351</v>
      </c>
      <c r="H846" s="33">
        <f t="shared" si="26"/>
        <v>1.5299026425591099E-2</v>
      </c>
    </row>
    <row r="847" spans="1:8">
      <c r="A847" s="27">
        <v>1185</v>
      </c>
      <c r="B847" s="8" t="s">
        <v>355</v>
      </c>
      <c r="C847" s="8">
        <v>247</v>
      </c>
      <c r="D847" s="8">
        <v>943</v>
      </c>
      <c r="E847" s="8">
        <v>42</v>
      </c>
      <c r="F847" s="8">
        <v>85</v>
      </c>
      <c r="G847" s="28">
        <f t="shared" si="27"/>
        <v>22.452380952380953</v>
      </c>
      <c r="H847" s="33">
        <f t="shared" si="26"/>
        <v>8.6294416243654817E-2</v>
      </c>
    </row>
    <row r="848" spans="1:8">
      <c r="A848" s="27">
        <v>4392</v>
      </c>
      <c r="B848" s="8" t="s">
        <v>395</v>
      </c>
      <c r="C848" s="8">
        <v>486</v>
      </c>
      <c r="D848" s="8">
        <v>887</v>
      </c>
      <c r="E848" s="8">
        <v>128</v>
      </c>
      <c r="F848" s="8">
        <v>59</v>
      </c>
      <c r="G848" s="28">
        <f t="shared" si="27"/>
        <v>6.9296875</v>
      </c>
      <c r="H848" s="33">
        <f t="shared" si="26"/>
        <v>5.8128078817733991E-2</v>
      </c>
    </row>
    <row r="849" spans="1:8">
      <c r="A849" s="27">
        <v>5785</v>
      </c>
      <c r="B849" s="8" t="s">
        <v>101</v>
      </c>
      <c r="C849" s="8">
        <v>220</v>
      </c>
      <c r="D849" s="8">
        <v>998</v>
      </c>
      <c r="E849" s="8">
        <v>187</v>
      </c>
      <c r="F849" s="8">
        <v>17</v>
      </c>
      <c r="G849" s="28">
        <f t="shared" si="27"/>
        <v>5.3368983957219251</v>
      </c>
      <c r="H849" s="33">
        <f t="shared" si="26"/>
        <v>1.4345991561181435E-2</v>
      </c>
    </row>
    <row r="850" spans="1:8">
      <c r="A850" s="27">
        <v>4718</v>
      </c>
      <c r="B850" s="8" t="s">
        <v>130</v>
      </c>
      <c r="C850" s="8">
        <v>21</v>
      </c>
      <c r="D850" s="8">
        <v>484</v>
      </c>
      <c r="E850" s="8">
        <v>112</v>
      </c>
      <c r="F850" s="8">
        <v>88</v>
      </c>
      <c r="G850" s="28">
        <f t="shared" si="27"/>
        <v>4.3214285714285712</v>
      </c>
      <c r="H850" s="33">
        <f t="shared" si="26"/>
        <v>0.1476510067114094</v>
      </c>
    </row>
    <row r="851" spans="1:8">
      <c r="A851" s="27">
        <v>3992</v>
      </c>
      <c r="B851" s="8" t="s">
        <v>224</v>
      </c>
      <c r="C851" s="8">
        <v>417</v>
      </c>
      <c r="D851" s="8">
        <v>458</v>
      </c>
      <c r="E851" s="8">
        <v>145</v>
      </c>
      <c r="F851" s="8">
        <v>91</v>
      </c>
      <c r="G851" s="28">
        <f t="shared" si="27"/>
        <v>3.1586206896551725</v>
      </c>
      <c r="H851" s="33">
        <f t="shared" si="26"/>
        <v>0.15091210613598674</v>
      </c>
    </row>
    <row r="852" spans="1:8">
      <c r="A852" s="27">
        <v>6100</v>
      </c>
      <c r="B852" s="8" t="s">
        <v>517</v>
      </c>
      <c r="C852" s="8">
        <v>191</v>
      </c>
      <c r="D852" s="8">
        <v>925</v>
      </c>
      <c r="E852" s="8">
        <v>124</v>
      </c>
      <c r="F852" s="8">
        <v>37</v>
      </c>
      <c r="G852" s="28">
        <f t="shared" si="27"/>
        <v>7.459677419354839</v>
      </c>
      <c r="H852" s="33">
        <f t="shared" si="26"/>
        <v>3.5271687321258342E-2</v>
      </c>
    </row>
    <row r="853" spans="1:8">
      <c r="A853" s="27">
        <v>8495</v>
      </c>
      <c r="B853" s="8" t="s">
        <v>691</v>
      </c>
      <c r="C853" s="8">
        <v>460</v>
      </c>
      <c r="D853" s="8">
        <v>559</v>
      </c>
      <c r="E853" s="8">
        <v>136</v>
      </c>
      <c r="F853" s="8">
        <v>58</v>
      </c>
      <c r="G853" s="28">
        <f t="shared" si="27"/>
        <v>4.1102941176470589</v>
      </c>
      <c r="H853" s="33">
        <f t="shared" si="26"/>
        <v>8.3453237410071948E-2</v>
      </c>
    </row>
    <row r="854" spans="1:8">
      <c r="A854" s="27">
        <v>3083</v>
      </c>
      <c r="B854" s="8" t="s">
        <v>631</v>
      </c>
      <c r="C854" s="8">
        <v>413</v>
      </c>
      <c r="D854" s="8">
        <v>895</v>
      </c>
      <c r="E854" s="8">
        <v>3</v>
      </c>
      <c r="F854" s="8">
        <v>87</v>
      </c>
      <c r="G854" s="28">
        <f t="shared" si="27"/>
        <v>298.33333333333331</v>
      </c>
      <c r="H854" s="33">
        <f t="shared" si="26"/>
        <v>9.688195991091314E-2</v>
      </c>
    </row>
    <row r="855" spans="1:8">
      <c r="A855" s="27">
        <v>9936</v>
      </c>
      <c r="B855" s="8" t="s">
        <v>147</v>
      </c>
      <c r="C855" s="8">
        <v>484</v>
      </c>
      <c r="D855" s="8">
        <v>570</v>
      </c>
      <c r="E855" s="8">
        <v>18</v>
      </c>
      <c r="F855" s="8">
        <v>5</v>
      </c>
      <c r="G855" s="28">
        <f t="shared" si="27"/>
        <v>31.666666666666668</v>
      </c>
      <c r="H855" s="33">
        <f t="shared" si="26"/>
        <v>8.5034013605442185E-3</v>
      </c>
    </row>
    <row r="856" spans="1:8">
      <c r="A856" s="27">
        <v>2418</v>
      </c>
      <c r="B856" s="8" t="s">
        <v>186</v>
      </c>
      <c r="C856" s="8">
        <v>227</v>
      </c>
      <c r="D856" s="8">
        <v>187</v>
      </c>
      <c r="E856" s="8">
        <v>48</v>
      </c>
      <c r="F856" s="8">
        <v>6</v>
      </c>
      <c r="G856" s="28">
        <f t="shared" si="27"/>
        <v>3.8958333333333335</v>
      </c>
      <c r="H856" s="33">
        <f t="shared" si="26"/>
        <v>2.553191489361702E-2</v>
      </c>
    </row>
    <row r="857" spans="1:8">
      <c r="A857" s="27">
        <v>4089</v>
      </c>
      <c r="B857" s="8" t="s">
        <v>120</v>
      </c>
      <c r="C857" s="8">
        <v>313</v>
      </c>
      <c r="D857" s="8">
        <v>900</v>
      </c>
      <c r="E857" s="8">
        <v>135</v>
      </c>
      <c r="F857" s="8">
        <v>87</v>
      </c>
      <c r="G857" s="28">
        <f t="shared" si="27"/>
        <v>6.666666666666667</v>
      </c>
      <c r="H857" s="33">
        <f t="shared" si="26"/>
        <v>8.4057971014492749E-2</v>
      </c>
    </row>
    <row r="858" spans="1:8">
      <c r="A858" s="27">
        <v>8876</v>
      </c>
      <c r="B858" s="8" t="s">
        <v>692</v>
      </c>
      <c r="C858" s="8">
        <v>491</v>
      </c>
      <c r="D858" s="8">
        <v>194</v>
      </c>
      <c r="E858" s="8">
        <v>187</v>
      </c>
      <c r="F858" s="8">
        <v>44</v>
      </c>
      <c r="G858" s="28">
        <f t="shared" si="27"/>
        <v>1.0374331550802138</v>
      </c>
      <c r="H858" s="33">
        <f t="shared" si="26"/>
        <v>0.11548556430446194</v>
      </c>
    </row>
    <row r="859" spans="1:8">
      <c r="A859" s="27">
        <v>3959</v>
      </c>
      <c r="B859" s="8" t="s">
        <v>373</v>
      </c>
      <c r="C859" s="8">
        <v>50</v>
      </c>
      <c r="D859" s="8">
        <v>155</v>
      </c>
      <c r="E859" s="8">
        <v>115</v>
      </c>
      <c r="F859" s="8">
        <v>92</v>
      </c>
      <c r="G859" s="28">
        <f t="shared" si="27"/>
        <v>1.3478260869565217</v>
      </c>
      <c r="H859" s="33">
        <f t="shared" si="26"/>
        <v>0.34074074074074073</v>
      </c>
    </row>
    <row r="860" spans="1:8">
      <c r="A860" s="27">
        <v>2011</v>
      </c>
      <c r="B860" s="8" t="s">
        <v>693</v>
      </c>
      <c r="C860" s="8">
        <v>73</v>
      </c>
      <c r="D860" s="8">
        <v>184</v>
      </c>
      <c r="E860" s="8">
        <v>172</v>
      </c>
      <c r="F860" s="8">
        <v>41</v>
      </c>
      <c r="G860" s="28">
        <f t="shared" si="27"/>
        <v>1.069767441860465</v>
      </c>
      <c r="H860" s="33">
        <f t="shared" si="26"/>
        <v>0.1151685393258427</v>
      </c>
    </row>
    <row r="861" spans="1:8">
      <c r="A861" s="27">
        <v>7896</v>
      </c>
      <c r="B861" s="8" t="s">
        <v>157</v>
      </c>
      <c r="C861" s="8">
        <v>139</v>
      </c>
      <c r="D861" s="8">
        <v>539</v>
      </c>
      <c r="E861" s="8">
        <v>152</v>
      </c>
      <c r="F861" s="8">
        <v>48</v>
      </c>
      <c r="G861" s="28">
        <f t="shared" si="27"/>
        <v>3.5460526315789473</v>
      </c>
      <c r="H861" s="33">
        <f t="shared" si="26"/>
        <v>6.9464544138929094E-2</v>
      </c>
    </row>
    <row r="862" spans="1:8">
      <c r="A862" s="27">
        <v>5495</v>
      </c>
      <c r="B862" s="8" t="s">
        <v>695</v>
      </c>
      <c r="C862" s="8">
        <v>327</v>
      </c>
      <c r="D862" s="8">
        <v>182</v>
      </c>
      <c r="E862" s="8">
        <v>14</v>
      </c>
      <c r="F862" s="8">
        <v>90</v>
      </c>
      <c r="G862" s="28">
        <f t="shared" si="27"/>
        <v>13</v>
      </c>
      <c r="H862" s="33">
        <f t="shared" si="26"/>
        <v>0.45918367346938777</v>
      </c>
    </row>
    <row r="863" spans="1:8">
      <c r="A863" s="27">
        <v>6219</v>
      </c>
      <c r="B863" s="8" t="s">
        <v>318</v>
      </c>
      <c r="C863" s="8">
        <v>206</v>
      </c>
      <c r="D863" s="8">
        <v>981</v>
      </c>
      <c r="E863" s="8">
        <v>60</v>
      </c>
      <c r="F863" s="8">
        <v>41</v>
      </c>
      <c r="G863" s="28">
        <f t="shared" si="27"/>
        <v>16.350000000000001</v>
      </c>
      <c r="H863" s="33">
        <f t="shared" si="26"/>
        <v>3.9385206532180597E-2</v>
      </c>
    </row>
    <row r="864" spans="1:8">
      <c r="A864" s="27">
        <v>4458</v>
      </c>
      <c r="B864" s="8" t="s">
        <v>696</v>
      </c>
      <c r="C864" s="8">
        <v>23</v>
      </c>
      <c r="D864" s="8">
        <v>489</v>
      </c>
      <c r="E864" s="8">
        <v>7</v>
      </c>
      <c r="F864" s="8">
        <v>54</v>
      </c>
      <c r="G864" s="28">
        <f t="shared" si="27"/>
        <v>69.857142857142861</v>
      </c>
      <c r="H864" s="33">
        <f t="shared" si="26"/>
        <v>0.10887096774193548</v>
      </c>
    </row>
    <row r="865" spans="1:8">
      <c r="A865" s="27">
        <v>4115</v>
      </c>
      <c r="B865" s="8" t="s">
        <v>698</v>
      </c>
      <c r="C865" s="8">
        <v>158</v>
      </c>
      <c r="D865" s="8">
        <v>603</v>
      </c>
      <c r="E865" s="8">
        <v>72</v>
      </c>
      <c r="F865" s="8">
        <v>88</v>
      </c>
      <c r="G865" s="28">
        <f t="shared" si="27"/>
        <v>8.375</v>
      </c>
      <c r="H865" s="33">
        <f t="shared" si="26"/>
        <v>0.13037037037037036</v>
      </c>
    </row>
    <row r="866" spans="1:8">
      <c r="A866" s="27">
        <v>6586</v>
      </c>
      <c r="B866" s="8" t="s">
        <v>677</v>
      </c>
      <c r="C866" s="8">
        <v>459</v>
      </c>
      <c r="D866" s="8">
        <v>445</v>
      </c>
      <c r="E866" s="8">
        <v>153</v>
      </c>
      <c r="F866" s="8">
        <v>13</v>
      </c>
      <c r="G866" s="28">
        <f t="shared" si="27"/>
        <v>2.9084967320261437</v>
      </c>
      <c r="H866" s="33">
        <f t="shared" si="26"/>
        <v>2.1739130434782608E-2</v>
      </c>
    </row>
    <row r="867" spans="1:8">
      <c r="A867" s="27">
        <v>3985</v>
      </c>
      <c r="B867" s="8" t="s">
        <v>290</v>
      </c>
      <c r="C867" s="8">
        <v>30</v>
      </c>
      <c r="D867" s="8">
        <v>233</v>
      </c>
      <c r="E867" s="8">
        <v>10</v>
      </c>
      <c r="F867" s="8">
        <v>71</v>
      </c>
      <c r="G867" s="28">
        <f t="shared" si="27"/>
        <v>23.3</v>
      </c>
      <c r="H867" s="33">
        <f t="shared" si="26"/>
        <v>0.29218106995884774</v>
      </c>
    </row>
    <row r="868" spans="1:8">
      <c r="A868" s="27">
        <v>8501</v>
      </c>
      <c r="B868" s="8" t="s">
        <v>106</v>
      </c>
      <c r="C868" s="8">
        <v>42</v>
      </c>
      <c r="D868" s="8">
        <v>464</v>
      </c>
      <c r="E868" s="8">
        <v>171</v>
      </c>
      <c r="F868" s="8">
        <v>88</v>
      </c>
      <c r="G868" s="28">
        <f t="shared" si="27"/>
        <v>2.7134502923976607</v>
      </c>
      <c r="H868" s="33">
        <f t="shared" si="26"/>
        <v>0.13858267716535433</v>
      </c>
    </row>
    <row r="869" spans="1:8">
      <c r="A869" s="27">
        <v>4048</v>
      </c>
      <c r="B869" s="8" t="s">
        <v>186</v>
      </c>
      <c r="C869" s="8">
        <v>242</v>
      </c>
      <c r="D869" s="8">
        <v>273</v>
      </c>
      <c r="E869" s="8">
        <v>96</v>
      </c>
      <c r="F869" s="8">
        <v>34</v>
      </c>
      <c r="G869" s="28">
        <f t="shared" si="27"/>
        <v>2.84375</v>
      </c>
      <c r="H869" s="33">
        <f t="shared" si="26"/>
        <v>9.2140921409214094E-2</v>
      </c>
    </row>
    <row r="870" spans="1:8">
      <c r="A870" s="27">
        <v>4466</v>
      </c>
      <c r="B870" s="8" t="s">
        <v>138</v>
      </c>
      <c r="C870" s="8">
        <v>25</v>
      </c>
      <c r="D870" s="8">
        <v>162</v>
      </c>
      <c r="E870" s="8">
        <v>147</v>
      </c>
      <c r="F870" s="8">
        <v>82</v>
      </c>
      <c r="G870" s="28">
        <f t="shared" si="27"/>
        <v>1.1020408163265305</v>
      </c>
      <c r="H870" s="33">
        <f t="shared" si="26"/>
        <v>0.26537216828478966</v>
      </c>
    </row>
    <row r="871" spans="1:8">
      <c r="A871" s="27">
        <v>5479</v>
      </c>
      <c r="B871" s="8" t="s">
        <v>179</v>
      </c>
      <c r="C871" s="8">
        <v>140</v>
      </c>
      <c r="D871" s="8">
        <v>218</v>
      </c>
      <c r="E871" s="8">
        <v>5</v>
      </c>
      <c r="F871" s="8">
        <v>86</v>
      </c>
      <c r="G871" s="28">
        <f t="shared" si="27"/>
        <v>43.6</v>
      </c>
      <c r="H871" s="33">
        <f t="shared" si="26"/>
        <v>0.38565022421524664</v>
      </c>
    </row>
    <row r="872" spans="1:8">
      <c r="A872" s="27">
        <v>2480</v>
      </c>
      <c r="B872" s="8" t="s">
        <v>618</v>
      </c>
      <c r="C872" s="8">
        <v>192</v>
      </c>
      <c r="D872" s="8">
        <v>39</v>
      </c>
      <c r="E872" s="8">
        <v>18</v>
      </c>
      <c r="F872" s="8">
        <v>75</v>
      </c>
      <c r="G872" s="28">
        <f t="shared" si="27"/>
        <v>2.1666666666666665</v>
      </c>
      <c r="H872" s="33">
        <f t="shared" si="26"/>
        <v>1.3157894736842106</v>
      </c>
    </row>
    <row r="873" spans="1:8">
      <c r="A873" s="27">
        <v>6288</v>
      </c>
      <c r="B873" s="8" t="s">
        <v>271</v>
      </c>
      <c r="C873" s="8">
        <v>267</v>
      </c>
      <c r="D873" s="8">
        <v>107</v>
      </c>
      <c r="E873" s="8">
        <v>140</v>
      </c>
      <c r="F873" s="8">
        <v>7</v>
      </c>
      <c r="G873" s="28">
        <f t="shared" si="27"/>
        <v>0.76428571428571423</v>
      </c>
      <c r="H873" s="33">
        <f t="shared" si="26"/>
        <v>2.8340080971659919E-2</v>
      </c>
    </row>
    <row r="874" spans="1:8">
      <c r="A874" s="27">
        <v>9973</v>
      </c>
      <c r="B874" s="8" t="s">
        <v>224</v>
      </c>
      <c r="C874" s="8">
        <v>410</v>
      </c>
      <c r="D874" s="8">
        <v>513</v>
      </c>
      <c r="E874" s="8">
        <v>52</v>
      </c>
      <c r="F874" s="8">
        <v>19</v>
      </c>
      <c r="G874" s="28">
        <f t="shared" si="27"/>
        <v>9.865384615384615</v>
      </c>
      <c r="H874" s="33">
        <f t="shared" si="26"/>
        <v>3.3628318584070796E-2</v>
      </c>
    </row>
    <row r="875" spans="1:8">
      <c r="A875" s="27">
        <v>6078</v>
      </c>
      <c r="B875" s="8" t="s">
        <v>606</v>
      </c>
      <c r="C875" s="8">
        <v>281</v>
      </c>
      <c r="D875" s="8">
        <v>905</v>
      </c>
      <c r="E875" s="8">
        <v>128</v>
      </c>
      <c r="F875" s="8">
        <v>70</v>
      </c>
      <c r="G875" s="28">
        <f t="shared" si="27"/>
        <v>7.0703125</v>
      </c>
      <c r="H875" s="33">
        <f t="shared" si="26"/>
        <v>6.7763794772507255E-2</v>
      </c>
    </row>
    <row r="876" spans="1:8">
      <c r="A876" s="27">
        <v>5362</v>
      </c>
      <c r="B876" s="8" t="s">
        <v>332</v>
      </c>
      <c r="C876" s="8">
        <v>478</v>
      </c>
      <c r="D876" s="8">
        <v>551</v>
      </c>
      <c r="E876" s="8">
        <v>96</v>
      </c>
      <c r="F876" s="8">
        <v>65</v>
      </c>
      <c r="G876" s="28">
        <f t="shared" si="27"/>
        <v>5.739583333333333</v>
      </c>
      <c r="H876" s="33">
        <f t="shared" si="26"/>
        <v>0.10046367851622875</v>
      </c>
    </row>
    <row r="877" spans="1:8">
      <c r="A877" s="27">
        <v>1687</v>
      </c>
      <c r="B877" s="8" t="s">
        <v>126</v>
      </c>
      <c r="C877" s="8">
        <v>44</v>
      </c>
      <c r="D877" s="8">
        <v>190</v>
      </c>
      <c r="E877" s="8">
        <v>193</v>
      </c>
      <c r="F877" s="8">
        <v>13</v>
      </c>
      <c r="G877" s="28">
        <f t="shared" si="27"/>
        <v>0.98445595854922274</v>
      </c>
      <c r="H877" s="33">
        <f t="shared" si="26"/>
        <v>3.3942558746736295E-2</v>
      </c>
    </row>
    <row r="878" spans="1:8">
      <c r="A878" s="27">
        <v>8986</v>
      </c>
      <c r="B878" s="8" t="s">
        <v>409</v>
      </c>
      <c r="C878" s="8">
        <v>250</v>
      </c>
      <c r="D878" s="8">
        <v>69</v>
      </c>
      <c r="E878" s="8">
        <v>35</v>
      </c>
      <c r="F878" s="8">
        <v>13</v>
      </c>
      <c r="G878" s="28">
        <f t="shared" si="27"/>
        <v>1.9714285714285715</v>
      </c>
      <c r="H878" s="33">
        <f t="shared" si="26"/>
        <v>0.125</v>
      </c>
    </row>
    <row r="879" spans="1:8">
      <c r="A879" s="27">
        <v>5994</v>
      </c>
      <c r="B879" s="8" t="s">
        <v>492</v>
      </c>
      <c r="C879" s="8">
        <v>225</v>
      </c>
      <c r="D879" s="8">
        <v>274</v>
      </c>
      <c r="E879" s="8">
        <v>83</v>
      </c>
      <c r="F879" s="8">
        <v>45</v>
      </c>
      <c r="G879" s="28">
        <f t="shared" si="27"/>
        <v>3.3012048192771086</v>
      </c>
      <c r="H879" s="33">
        <f t="shared" si="26"/>
        <v>0.12605042016806722</v>
      </c>
    </row>
    <row r="880" spans="1:8">
      <c r="A880" s="27">
        <v>6293</v>
      </c>
      <c r="B880" s="8" t="s">
        <v>224</v>
      </c>
      <c r="C880" s="8">
        <v>473</v>
      </c>
      <c r="D880" s="8">
        <v>605</v>
      </c>
      <c r="E880" s="8">
        <v>93</v>
      </c>
      <c r="F880" s="8">
        <v>13</v>
      </c>
      <c r="G880" s="28">
        <f t="shared" si="27"/>
        <v>6.5053763440860219</v>
      </c>
      <c r="H880" s="33">
        <f t="shared" si="26"/>
        <v>1.8624641833810889E-2</v>
      </c>
    </row>
    <row r="881" spans="1:8">
      <c r="A881" s="27">
        <v>7558</v>
      </c>
      <c r="B881" s="8" t="s">
        <v>369</v>
      </c>
      <c r="C881" s="8">
        <v>236</v>
      </c>
      <c r="D881" s="8">
        <v>225</v>
      </c>
      <c r="E881" s="8">
        <v>94</v>
      </c>
      <c r="F881" s="8">
        <v>61</v>
      </c>
      <c r="G881" s="28">
        <f t="shared" si="27"/>
        <v>2.3936170212765959</v>
      </c>
      <c r="H881" s="33">
        <f t="shared" si="26"/>
        <v>0.19122257053291536</v>
      </c>
    </row>
    <row r="882" spans="1:8">
      <c r="A882" s="27">
        <v>1805</v>
      </c>
      <c r="B882" s="8" t="s">
        <v>88</v>
      </c>
      <c r="C882" s="8">
        <v>349</v>
      </c>
      <c r="D882" s="8">
        <v>386</v>
      </c>
      <c r="E882" s="8">
        <v>195</v>
      </c>
      <c r="F882" s="8">
        <v>59</v>
      </c>
      <c r="G882" s="28">
        <f t="shared" si="27"/>
        <v>1.9794871794871796</v>
      </c>
      <c r="H882" s="33">
        <f t="shared" si="26"/>
        <v>0.10154905335628227</v>
      </c>
    </row>
    <row r="883" spans="1:8">
      <c r="A883" s="27">
        <v>1661</v>
      </c>
      <c r="B883" s="8" t="s">
        <v>374</v>
      </c>
      <c r="C883" s="8">
        <v>139</v>
      </c>
      <c r="D883" s="8">
        <v>442</v>
      </c>
      <c r="E883" s="8">
        <v>110</v>
      </c>
      <c r="F883" s="8">
        <v>91</v>
      </c>
      <c r="G883" s="28">
        <f t="shared" si="27"/>
        <v>4.0181818181818185</v>
      </c>
      <c r="H883" s="33">
        <f t="shared" si="26"/>
        <v>0.16485507246376813</v>
      </c>
    </row>
    <row r="884" spans="1:8">
      <c r="A884" s="27">
        <v>8960</v>
      </c>
      <c r="B884" s="8" t="s">
        <v>631</v>
      </c>
      <c r="C884" s="8">
        <v>278</v>
      </c>
      <c r="D884" s="8">
        <v>382</v>
      </c>
      <c r="E884" s="8">
        <v>25</v>
      </c>
      <c r="F884" s="8">
        <v>72</v>
      </c>
      <c r="G884" s="28">
        <f t="shared" si="27"/>
        <v>15.28</v>
      </c>
      <c r="H884" s="33">
        <f t="shared" si="26"/>
        <v>0.1769041769041769</v>
      </c>
    </row>
    <row r="885" spans="1:8">
      <c r="A885" s="27">
        <v>6131</v>
      </c>
      <c r="B885" s="8" t="s">
        <v>80</v>
      </c>
      <c r="C885" s="8">
        <v>242</v>
      </c>
      <c r="D885" s="8">
        <v>156</v>
      </c>
      <c r="E885" s="8">
        <v>166</v>
      </c>
      <c r="F885" s="8">
        <v>53</v>
      </c>
      <c r="G885" s="28">
        <f t="shared" si="27"/>
        <v>0.93975903614457834</v>
      </c>
      <c r="H885" s="33">
        <f t="shared" si="26"/>
        <v>0.16459627329192547</v>
      </c>
    </row>
    <row r="886" spans="1:8">
      <c r="A886" s="27">
        <v>4114</v>
      </c>
      <c r="B886" s="8" t="s">
        <v>344</v>
      </c>
      <c r="C886" s="8">
        <v>251</v>
      </c>
      <c r="D886" s="8">
        <v>687</v>
      </c>
      <c r="E886" s="8">
        <v>160</v>
      </c>
      <c r="F886" s="8">
        <v>88</v>
      </c>
      <c r="G886" s="28">
        <f t="shared" si="27"/>
        <v>4.2937500000000002</v>
      </c>
      <c r="H886" s="33">
        <f t="shared" si="26"/>
        <v>0.1038961038961039</v>
      </c>
    </row>
    <row r="887" spans="1:8">
      <c r="A887" s="27">
        <v>4833</v>
      </c>
      <c r="B887" s="8" t="s">
        <v>137</v>
      </c>
      <c r="C887" s="8">
        <v>268</v>
      </c>
      <c r="D887" s="8">
        <v>778</v>
      </c>
      <c r="E887" s="8">
        <v>122</v>
      </c>
      <c r="F887" s="8">
        <v>12</v>
      </c>
      <c r="G887" s="28">
        <f t="shared" si="27"/>
        <v>6.3770491803278686</v>
      </c>
      <c r="H887" s="33">
        <f t="shared" si="26"/>
        <v>1.3333333333333334E-2</v>
      </c>
    </row>
    <row r="888" spans="1:8">
      <c r="A888" s="27">
        <v>2401</v>
      </c>
      <c r="B888" s="8" t="s">
        <v>404</v>
      </c>
      <c r="C888" s="8">
        <v>322</v>
      </c>
      <c r="D888" s="8">
        <v>616</v>
      </c>
      <c r="E888" s="8">
        <v>45</v>
      </c>
      <c r="F888" s="8">
        <v>22</v>
      </c>
      <c r="G888" s="28">
        <f t="shared" si="27"/>
        <v>13.688888888888888</v>
      </c>
      <c r="H888" s="33">
        <f t="shared" si="26"/>
        <v>3.3282904689863842E-2</v>
      </c>
    </row>
    <row r="889" spans="1:8">
      <c r="A889" s="27">
        <v>1037</v>
      </c>
      <c r="B889" s="8" t="s">
        <v>150</v>
      </c>
      <c r="C889" s="8">
        <v>356</v>
      </c>
      <c r="D889" s="8">
        <v>314</v>
      </c>
      <c r="E889" s="8">
        <v>50</v>
      </c>
      <c r="F889" s="8">
        <v>7</v>
      </c>
      <c r="G889" s="28">
        <f t="shared" si="27"/>
        <v>6.28</v>
      </c>
      <c r="H889" s="33">
        <f t="shared" si="26"/>
        <v>1.9230769230769232E-2</v>
      </c>
    </row>
    <row r="890" spans="1:8">
      <c r="A890" s="27">
        <v>2675</v>
      </c>
      <c r="B890" s="8" t="s">
        <v>701</v>
      </c>
      <c r="C890" s="8">
        <v>28</v>
      </c>
      <c r="D890" s="8">
        <v>666</v>
      </c>
      <c r="E890" s="8">
        <v>65</v>
      </c>
      <c r="F890" s="8">
        <v>21</v>
      </c>
      <c r="G890" s="28">
        <f t="shared" si="27"/>
        <v>10.246153846153845</v>
      </c>
      <c r="H890" s="33">
        <f t="shared" si="26"/>
        <v>2.8727770177838577E-2</v>
      </c>
    </row>
    <row r="891" spans="1:8">
      <c r="A891" s="27">
        <v>1665</v>
      </c>
      <c r="B891" s="8" t="s">
        <v>128</v>
      </c>
      <c r="C891" s="8">
        <v>43</v>
      </c>
      <c r="D891" s="8">
        <v>767</v>
      </c>
      <c r="E891" s="8">
        <v>83</v>
      </c>
      <c r="F891" s="8">
        <v>58</v>
      </c>
      <c r="G891" s="28">
        <f t="shared" si="27"/>
        <v>9.2409638554216862</v>
      </c>
      <c r="H891" s="33">
        <f t="shared" si="26"/>
        <v>6.8235294117647061E-2</v>
      </c>
    </row>
    <row r="892" spans="1:8">
      <c r="A892" s="27">
        <v>5671</v>
      </c>
      <c r="B892" s="8" t="s">
        <v>274</v>
      </c>
      <c r="C892" s="8">
        <v>391</v>
      </c>
      <c r="D892" s="8">
        <v>811</v>
      </c>
      <c r="E892" s="8">
        <v>3</v>
      </c>
      <c r="F892" s="8">
        <v>17</v>
      </c>
      <c r="G892" s="28">
        <f t="shared" si="27"/>
        <v>270.33333333333331</v>
      </c>
      <c r="H892" s="33">
        <f t="shared" si="26"/>
        <v>2.0884520884520884E-2</v>
      </c>
    </row>
    <row r="893" spans="1:8">
      <c r="A893" s="27">
        <v>5153</v>
      </c>
      <c r="B893" s="8" t="s">
        <v>254</v>
      </c>
      <c r="C893" s="8">
        <v>300</v>
      </c>
      <c r="D893" s="8">
        <v>413</v>
      </c>
      <c r="E893" s="8">
        <v>154</v>
      </c>
      <c r="F893" s="8">
        <v>64</v>
      </c>
      <c r="G893" s="28">
        <f t="shared" si="27"/>
        <v>2.6818181818181817</v>
      </c>
      <c r="H893" s="33">
        <f t="shared" si="26"/>
        <v>0.1128747795414462</v>
      </c>
    </row>
    <row r="894" spans="1:8">
      <c r="A894" s="27">
        <v>1114</v>
      </c>
      <c r="B894" s="8" t="s">
        <v>325</v>
      </c>
      <c r="C894" s="8">
        <v>75</v>
      </c>
      <c r="D894" s="8">
        <v>324</v>
      </c>
      <c r="E894" s="8">
        <v>175</v>
      </c>
      <c r="F894" s="8">
        <v>18</v>
      </c>
      <c r="G894" s="28">
        <f t="shared" si="27"/>
        <v>1.8514285714285714</v>
      </c>
      <c r="H894" s="33">
        <f t="shared" si="26"/>
        <v>3.6072144288577156E-2</v>
      </c>
    </row>
    <row r="895" spans="1:8">
      <c r="A895" s="27">
        <v>6180</v>
      </c>
      <c r="B895" s="8" t="s">
        <v>701</v>
      </c>
      <c r="C895" s="8">
        <v>154</v>
      </c>
      <c r="D895" s="8">
        <v>52</v>
      </c>
      <c r="E895" s="8">
        <v>108</v>
      </c>
      <c r="F895" s="8">
        <v>94</v>
      </c>
      <c r="G895" s="28">
        <f t="shared" si="27"/>
        <v>0.48148148148148145</v>
      </c>
      <c r="H895" s="33">
        <f t="shared" si="26"/>
        <v>0.58750000000000002</v>
      </c>
    </row>
    <row r="896" spans="1:8">
      <c r="A896" s="27">
        <v>8237</v>
      </c>
      <c r="B896" s="8" t="s">
        <v>52</v>
      </c>
      <c r="C896" s="8">
        <v>179</v>
      </c>
      <c r="D896" s="8">
        <v>680</v>
      </c>
      <c r="E896" s="8">
        <v>50</v>
      </c>
      <c r="F896" s="8">
        <v>52</v>
      </c>
      <c r="G896" s="28">
        <f t="shared" si="27"/>
        <v>13.6</v>
      </c>
      <c r="H896" s="33">
        <f t="shared" si="26"/>
        <v>7.1232876712328766E-2</v>
      </c>
    </row>
    <row r="897" spans="1:8">
      <c r="A897" s="27">
        <v>9500</v>
      </c>
      <c r="B897" s="8" t="s">
        <v>703</v>
      </c>
      <c r="C897" s="8">
        <v>147</v>
      </c>
      <c r="D897" s="8">
        <v>780</v>
      </c>
      <c r="E897" s="8">
        <v>76</v>
      </c>
      <c r="F897" s="8">
        <v>21</v>
      </c>
      <c r="G897" s="28">
        <f t="shared" si="27"/>
        <v>10.263157894736842</v>
      </c>
      <c r="H897" s="33">
        <f t="shared" si="26"/>
        <v>2.4532710280373831E-2</v>
      </c>
    </row>
    <row r="898" spans="1:8">
      <c r="A898" s="27">
        <v>7476</v>
      </c>
      <c r="B898" s="8" t="s">
        <v>34</v>
      </c>
      <c r="C898" s="8">
        <v>235</v>
      </c>
      <c r="D898" s="8">
        <v>569</v>
      </c>
      <c r="E898" s="8">
        <v>176</v>
      </c>
      <c r="F898" s="8">
        <v>18</v>
      </c>
      <c r="G898" s="28">
        <f t="shared" si="27"/>
        <v>3.2329545454545454</v>
      </c>
      <c r="H898" s="33">
        <f t="shared" ref="H898:H961" si="28">F898/(D898+E898)</f>
        <v>2.4161073825503355E-2</v>
      </c>
    </row>
    <row r="899" spans="1:8">
      <c r="A899" s="27">
        <v>9908</v>
      </c>
      <c r="B899" s="8" t="s">
        <v>624</v>
      </c>
      <c r="C899" s="8">
        <v>390</v>
      </c>
      <c r="D899" s="8">
        <v>256</v>
      </c>
      <c r="E899" s="8">
        <v>183</v>
      </c>
      <c r="F899" s="8">
        <v>89</v>
      </c>
      <c r="G899" s="28">
        <f t="shared" ref="G899:G962" si="29">D899/E899</f>
        <v>1.3989071038251366</v>
      </c>
      <c r="H899" s="33">
        <f t="shared" si="28"/>
        <v>0.20273348519362186</v>
      </c>
    </row>
    <row r="900" spans="1:8">
      <c r="A900" s="27">
        <v>1534</v>
      </c>
      <c r="B900" s="8" t="s">
        <v>52</v>
      </c>
      <c r="C900" s="8">
        <v>116</v>
      </c>
      <c r="D900" s="8">
        <v>799</v>
      </c>
      <c r="E900" s="8">
        <v>137</v>
      </c>
      <c r="F900" s="8">
        <v>78</v>
      </c>
      <c r="G900" s="28">
        <f t="shared" si="29"/>
        <v>5.8321167883211675</v>
      </c>
      <c r="H900" s="33">
        <f t="shared" si="28"/>
        <v>8.3333333333333329E-2</v>
      </c>
    </row>
    <row r="901" spans="1:8">
      <c r="A901" s="27">
        <v>4613</v>
      </c>
      <c r="B901" s="8" t="s">
        <v>114</v>
      </c>
      <c r="C901" s="8">
        <v>492</v>
      </c>
      <c r="D901" s="8">
        <v>237</v>
      </c>
      <c r="E901" s="8">
        <v>55</v>
      </c>
      <c r="F901" s="8">
        <v>15</v>
      </c>
      <c r="G901" s="28">
        <f t="shared" si="29"/>
        <v>4.3090909090909095</v>
      </c>
      <c r="H901" s="33">
        <f t="shared" si="28"/>
        <v>5.1369863013698627E-2</v>
      </c>
    </row>
    <row r="902" spans="1:8">
      <c r="A902" s="27">
        <v>5063</v>
      </c>
      <c r="B902" s="8" t="s">
        <v>491</v>
      </c>
      <c r="C902" s="8">
        <v>159</v>
      </c>
      <c r="D902" s="8">
        <v>138</v>
      </c>
      <c r="E902" s="8">
        <v>3</v>
      </c>
      <c r="F902" s="8">
        <v>12</v>
      </c>
      <c r="G902" s="28">
        <f t="shared" si="29"/>
        <v>46</v>
      </c>
      <c r="H902" s="33">
        <f t="shared" si="28"/>
        <v>8.5106382978723402E-2</v>
      </c>
    </row>
    <row r="903" spans="1:8">
      <c r="A903" s="27">
        <v>4548</v>
      </c>
      <c r="B903" s="8" t="s">
        <v>244</v>
      </c>
      <c r="C903" s="8">
        <v>279</v>
      </c>
      <c r="D903" s="8">
        <v>636</v>
      </c>
      <c r="E903" s="8">
        <v>176</v>
      </c>
      <c r="F903" s="8">
        <v>32</v>
      </c>
      <c r="G903" s="28">
        <f t="shared" si="29"/>
        <v>3.6136363636363638</v>
      </c>
      <c r="H903" s="33">
        <f t="shared" si="28"/>
        <v>3.9408866995073892E-2</v>
      </c>
    </row>
    <row r="904" spans="1:8">
      <c r="A904" s="27">
        <v>7556</v>
      </c>
      <c r="B904" s="8" t="s">
        <v>598</v>
      </c>
      <c r="C904" s="8">
        <v>386</v>
      </c>
      <c r="D904" s="8">
        <v>461</v>
      </c>
      <c r="E904" s="8">
        <v>178</v>
      </c>
      <c r="F904" s="8">
        <v>79</v>
      </c>
      <c r="G904" s="28">
        <f t="shared" si="29"/>
        <v>2.5898876404494384</v>
      </c>
      <c r="H904" s="33">
        <f t="shared" si="28"/>
        <v>0.12363067292644757</v>
      </c>
    </row>
    <row r="905" spans="1:8">
      <c r="A905" s="27">
        <v>1846</v>
      </c>
      <c r="B905" s="8" t="s">
        <v>705</v>
      </c>
      <c r="C905" s="8">
        <v>332</v>
      </c>
      <c r="D905" s="8">
        <v>20</v>
      </c>
      <c r="E905" s="8">
        <v>128</v>
      </c>
      <c r="F905" s="8">
        <v>50</v>
      </c>
      <c r="G905" s="28">
        <f t="shared" si="29"/>
        <v>0.15625</v>
      </c>
      <c r="H905" s="33">
        <f t="shared" si="28"/>
        <v>0.33783783783783783</v>
      </c>
    </row>
    <row r="906" spans="1:8">
      <c r="A906" s="27">
        <v>7088</v>
      </c>
      <c r="B906" s="8" t="s">
        <v>120</v>
      </c>
      <c r="C906" s="8">
        <v>176</v>
      </c>
      <c r="D906" s="8">
        <v>276</v>
      </c>
      <c r="E906" s="8">
        <v>138</v>
      </c>
      <c r="F906" s="8">
        <v>56</v>
      </c>
      <c r="G906" s="28">
        <f t="shared" si="29"/>
        <v>2</v>
      </c>
      <c r="H906" s="33">
        <f t="shared" si="28"/>
        <v>0.13526570048309178</v>
      </c>
    </row>
    <row r="907" spans="1:8">
      <c r="A907" s="27">
        <v>1179</v>
      </c>
      <c r="B907" s="8" t="s">
        <v>395</v>
      </c>
      <c r="C907" s="8">
        <v>221</v>
      </c>
      <c r="D907" s="8">
        <v>603</v>
      </c>
      <c r="E907" s="8">
        <v>141</v>
      </c>
      <c r="F907" s="8">
        <v>44</v>
      </c>
      <c r="G907" s="28">
        <f t="shared" si="29"/>
        <v>4.2765957446808507</v>
      </c>
      <c r="H907" s="33">
        <f t="shared" si="28"/>
        <v>5.9139784946236562E-2</v>
      </c>
    </row>
    <row r="908" spans="1:8">
      <c r="A908" s="27">
        <v>2190</v>
      </c>
      <c r="B908" s="8" t="s">
        <v>682</v>
      </c>
      <c r="C908" s="8">
        <v>263</v>
      </c>
      <c r="D908" s="8">
        <v>799</v>
      </c>
      <c r="E908" s="8">
        <v>14</v>
      </c>
      <c r="F908" s="8">
        <v>32</v>
      </c>
      <c r="G908" s="28">
        <f t="shared" si="29"/>
        <v>57.071428571428569</v>
      </c>
      <c r="H908" s="33">
        <f t="shared" si="28"/>
        <v>3.9360393603936041E-2</v>
      </c>
    </row>
    <row r="909" spans="1:8">
      <c r="A909" s="27">
        <v>2847</v>
      </c>
      <c r="B909" s="8" t="s">
        <v>98</v>
      </c>
      <c r="C909" s="8">
        <v>222</v>
      </c>
      <c r="D909" s="8">
        <v>785</v>
      </c>
      <c r="E909" s="8">
        <v>147</v>
      </c>
      <c r="F909" s="8">
        <v>21</v>
      </c>
      <c r="G909" s="28">
        <f t="shared" si="29"/>
        <v>5.3401360544217686</v>
      </c>
      <c r="H909" s="33">
        <f t="shared" si="28"/>
        <v>2.2532188841201718E-2</v>
      </c>
    </row>
    <row r="910" spans="1:8">
      <c r="A910" s="27">
        <v>6570</v>
      </c>
      <c r="B910" s="8" t="s">
        <v>304</v>
      </c>
      <c r="C910" s="8">
        <v>39</v>
      </c>
      <c r="D910" s="8">
        <v>28</v>
      </c>
      <c r="E910" s="8">
        <v>189</v>
      </c>
      <c r="F910" s="8">
        <v>26</v>
      </c>
      <c r="G910" s="28">
        <f t="shared" si="29"/>
        <v>0.14814814814814814</v>
      </c>
      <c r="H910" s="33">
        <f t="shared" si="28"/>
        <v>0.11981566820276497</v>
      </c>
    </row>
    <row r="911" spans="1:8">
      <c r="A911" s="27">
        <v>1149</v>
      </c>
      <c r="B911" s="8" t="s">
        <v>157</v>
      </c>
      <c r="C911" s="8">
        <v>445</v>
      </c>
      <c r="D911" s="8">
        <v>637</v>
      </c>
      <c r="E911" s="8">
        <v>14</v>
      </c>
      <c r="F911" s="8">
        <v>50</v>
      </c>
      <c r="G911" s="28">
        <f t="shared" si="29"/>
        <v>45.5</v>
      </c>
      <c r="H911" s="33">
        <f t="shared" si="28"/>
        <v>7.6804915514592939E-2</v>
      </c>
    </row>
    <row r="912" spans="1:8">
      <c r="A912" s="27">
        <v>1336</v>
      </c>
      <c r="B912" s="8" t="s">
        <v>153</v>
      </c>
      <c r="C912" s="8">
        <v>164</v>
      </c>
      <c r="D912" s="8">
        <v>79</v>
      </c>
      <c r="E912" s="8">
        <v>130</v>
      </c>
      <c r="F912" s="8">
        <v>47</v>
      </c>
      <c r="G912" s="28">
        <f t="shared" si="29"/>
        <v>0.60769230769230764</v>
      </c>
      <c r="H912" s="33">
        <f t="shared" si="28"/>
        <v>0.22488038277511962</v>
      </c>
    </row>
    <row r="913" spans="1:8">
      <c r="A913" s="27">
        <v>6956</v>
      </c>
      <c r="B913" s="8" t="s">
        <v>291</v>
      </c>
      <c r="C913" s="8">
        <v>101</v>
      </c>
      <c r="D913" s="8">
        <v>175</v>
      </c>
      <c r="E913" s="8">
        <v>125</v>
      </c>
      <c r="F913" s="8">
        <v>44</v>
      </c>
      <c r="G913" s="28">
        <f t="shared" si="29"/>
        <v>1.4</v>
      </c>
      <c r="H913" s="33">
        <f t="shared" si="28"/>
        <v>0.14666666666666667</v>
      </c>
    </row>
    <row r="914" spans="1:8">
      <c r="A914" s="27">
        <v>7015</v>
      </c>
      <c r="B914" s="8" t="s">
        <v>675</v>
      </c>
      <c r="C914" s="8">
        <v>424</v>
      </c>
      <c r="D914" s="8">
        <v>684</v>
      </c>
      <c r="E914" s="8">
        <v>127</v>
      </c>
      <c r="F914" s="8">
        <v>97</v>
      </c>
      <c r="G914" s="28">
        <f t="shared" si="29"/>
        <v>5.3858267716535435</v>
      </c>
      <c r="H914" s="33">
        <f t="shared" si="28"/>
        <v>0.11960542540073983</v>
      </c>
    </row>
    <row r="915" spans="1:8">
      <c r="A915" s="27">
        <v>4104</v>
      </c>
      <c r="B915" s="8" t="s">
        <v>706</v>
      </c>
      <c r="C915" s="8">
        <v>182</v>
      </c>
      <c r="D915" s="8">
        <v>247</v>
      </c>
      <c r="E915" s="8">
        <v>197</v>
      </c>
      <c r="F915" s="8">
        <v>90</v>
      </c>
      <c r="G915" s="28">
        <f t="shared" si="29"/>
        <v>1.2538071065989849</v>
      </c>
      <c r="H915" s="33">
        <f t="shared" si="28"/>
        <v>0.20270270270270271</v>
      </c>
    </row>
    <row r="916" spans="1:8">
      <c r="A916" s="27">
        <v>9413</v>
      </c>
      <c r="B916" s="8" t="s">
        <v>128</v>
      </c>
      <c r="C916" s="8">
        <v>115</v>
      </c>
      <c r="D916" s="8">
        <v>741</v>
      </c>
      <c r="E916" s="8">
        <v>68</v>
      </c>
      <c r="F916" s="8">
        <v>30</v>
      </c>
      <c r="G916" s="28">
        <f t="shared" si="29"/>
        <v>10.897058823529411</v>
      </c>
      <c r="H916" s="33">
        <f t="shared" si="28"/>
        <v>3.7082818294190356E-2</v>
      </c>
    </row>
    <row r="917" spans="1:8">
      <c r="A917" s="27">
        <v>8300</v>
      </c>
      <c r="B917" s="8" t="s">
        <v>260</v>
      </c>
      <c r="C917" s="8">
        <v>33</v>
      </c>
      <c r="D917" s="8">
        <v>623</v>
      </c>
      <c r="E917" s="8">
        <v>53</v>
      </c>
      <c r="F917" s="8">
        <v>17</v>
      </c>
      <c r="G917" s="28">
        <f t="shared" si="29"/>
        <v>11.754716981132075</v>
      </c>
      <c r="H917" s="33">
        <f t="shared" si="28"/>
        <v>2.514792899408284E-2</v>
      </c>
    </row>
    <row r="918" spans="1:8">
      <c r="A918" s="27">
        <v>5126</v>
      </c>
      <c r="B918" s="8" t="s">
        <v>272</v>
      </c>
      <c r="C918" s="8">
        <v>259</v>
      </c>
      <c r="D918" s="8">
        <v>327</v>
      </c>
      <c r="E918" s="8">
        <v>76</v>
      </c>
      <c r="F918" s="8">
        <v>9</v>
      </c>
      <c r="G918" s="28">
        <f t="shared" si="29"/>
        <v>4.3026315789473681</v>
      </c>
      <c r="H918" s="33">
        <f t="shared" si="28"/>
        <v>2.2332506203473945E-2</v>
      </c>
    </row>
    <row r="919" spans="1:8">
      <c r="A919" s="27">
        <v>1754</v>
      </c>
      <c r="B919" s="8" t="s">
        <v>70</v>
      </c>
      <c r="C919" s="8">
        <v>309</v>
      </c>
      <c r="D919" s="8">
        <v>760</v>
      </c>
      <c r="E919" s="8">
        <v>72</v>
      </c>
      <c r="F919" s="8">
        <v>91</v>
      </c>
      <c r="G919" s="28">
        <f t="shared" si="29"/>
        <v>10.555555555555555</v>
      </c>
      <c r="H919" s="33">
        <f t="shared" si="28"/>
        <v>0.109375</v>
      </c>
    </row>
    <row r="920" spans="1:8">
      <c r="A920" s="27">
        <v>7089</v>
      </c>
      <c r="B920" s="8" t="s">
        <v>357</v>
      </c>
      <c r="C920" s="8">
        <v>367</v>
      </c>
      <c r="D920" s="8">
        <v>522</v>
      </c>
      <c r="E920" s="8">
        <v>10</v>
      </c>
      <c r="F920" s="8">
        <v>70</v>
      </c>
      <c r="G920" s="28">
        <f t="shared" si="29"/>
        <v>52.2</v>
      </c>
      <c r="H920" s="33">
        <f t="shared" si="28"/>
        <v>0.13157894736842105</v>
      </c>
    </row>
    <row r="921" spans="1:8">
      <c r="A921" s="27">
        <v>1697</v>
      </c>
      <c r="B921" s="8" t="s">
        <v>104</v>
      </c>
      <c r="C921" s="8">
        <v>472</v>
      </c>
      <c r="D921" s="8">
        <v>76</v>
      </c>
      <c r="E921" s="8">
        <v>157</v>
      </c>
      <c r="F921" s="8">
        <v>6</v>
      </c>
      <c r="G921" s="28">
        <f t="shared" si="29"/>
        <v>0.48407643312101911</v>
      </c>
      <c r="H921" s="33">
        <f t="shared" si="28"/>
        <v>2.575107296137339E-2</v>
      </c>
    </row>
    <row r="922" spans="1:8">
      <c r="A922" s="27">
        <v>4768</v>
      </c>
      <c r="B922" s="8" t="s">
        <v>542</v>
      </c>
      <c r="C922" s="8">
        <v>449</v>
      </c>
      <c r="D922" s="8">
        <v>61</v>
      </c>
      <c r="E922" s="8">
        <v>61</v>
      </c>
      <c r="F922" s="8">
        <v>88</v>
      </c>
      <c r="G922" s="28">
        <f t="shared" si="29"/>
        <v>1</v>
      </c>
      <c r="H922" s="33">
        <f t="shared" si="28"/>
        <v>0.72131147540983609</v>
      </c>
    </row>
    <row r="923" spans="1:8">
      <c r="A923" s="27">
        <v>4205</v>
      </c>
      <c r="B923" s="8" t="s">
        <v>257</v>
      </c>
      <c r="C923" s="8">
        <v>302</v>
      </c>
      <c r="D923" s="8">
        <v>800</v>
      </c>
      <c r="E923" s="8">
        <v>101</v>
      </c>
      <c r="F923" s="8">
        <v>89</v>
      </c>
      <c r="G923" s="28">
        <f t="shared" si="29"/>
        <v>7.9207920792079207</v>
      </c>
      <c r="H923" s="33">
        <f t="shared" si="28"/>
        <v>9.8779134295227528E-2</v>
      </c>
    </row>
    <row r="924" spans="1:8">
      <c r="A924" s="27">
        <v>8844</v>
      </c>
      <c r="B924" s="8" t="s">
        <v>140</v>
      </c>
      <c r="C924" s="8">
        <v>70</v>
      </c>
      <c r="D924" s="8">
        <v>226</v>
      </c>
      <c r="E924" s="8">
        <v>104</v>
      </c>
      <c r="F924" s="8">
        <v>59</v>
      </c>
      <c r="G924" s="28">
        <f t="shared" si="29"/>
        <v>2.1730769230769229</v>
      </c>
      <c r="H924" s="33">
        <f t="shared" si="28"/>
        <v>0.1787878787878788</v>
      </c>
    </row>
    <row r="925" spans="1:8">
      <c r="A925" s="27">
        <v>1103</v>
      </c>
      <c r="B925" s="8" t="s">
        <v>411</v>
      </c>
      <c r="C925" s="8">
        <v>157</v>
      </c>
      <c r="D925" s="8">
        <v>792</v>
      </c>
      <c r="E925" s="8">
        <v>141</v>
      </c>
      <c r="F925" s="8">
        <v>18</v>
      </c>
      <c r="G925" s="28">
        <f t="shared" si="29"/>
        <v>5.6170212765957448</v>
      </c>
      <c r="H925" s="33">
        <f t="shared" si="28"/>
        <v>1.9292604501607719E-2</v>
      </c>
    </row>
    <row r="926" spans="1:8">
      <c r="A926" s="27">
        <v>2180</v>
      </c>
      <c r="B926" s="8" t="s">
        <v>709</v>
      </c>
      <c r="C926" s="8">
        <v>17</v>
      </c>
      <c r="D926" s="8">
        <v>498</v>
      </c>
      <c r="E926" s="8">
        <v>67</v>
      </c>
      <c r="F926" s="8">
        <v>67</v>
      </c>
      <c r="G926" s="28">
        <f t="shared" si="29"/>
        <v>7.4328358208955221</v>
      </c>
      <c r="H926" s="33">
        <f t="shared" si="28"/>
        <v>0.11858407079646018</v>
      </c>
    </row>
    <row r="927" spans="1:8">
      <c r="A927" s="27">
        <v>6607</v>
      </c>
      <c r="B927" s="8" t="s">
        <v>710</v>
      </c>
      <c r="C927" s="8">
        <v>173</v>
      </c>
      <c r="D927" s="8">
        <v>950</v>
      </c>
      <c r="E927" s="8">
        <v>163</v>
      </c>
      <c r="F927" s="8">
        <v>96</v>
      </c>
      <c r="G927" s="28">
        <f t="shared" si="29"/>
        <v>5.8282208588957056</v>
      </c>
      <c r="H927" s="33">
        <f t="shared" si="28"/>
        <v>8.6253369272237201E-2</v>
      </c>
    </row>
    <row r="928" spans="1:8">
      <c r="A928" s="27">
        <v>7949</v>
      </c>
      <c r="B928" s="8" t="s">
        <v>391</v>
      </c>
      <c r="C928" s="8">
        <v>301</v>
      </c>
      <c r="D928" s="8">
        <v>906</v>
      </c>
      <c r="E928" s="8">
        <v>141</v>
      </c>
      <c r="F928" s="8">
        <v>56</v>
      </c>
      <c r="G928" s="28">
        <f t="shared" si="29"/>
        <v>6.4255319148936172</v>
      </c>
      <c r="H928" s="33">
        <f t="shared" si="28"/>
        <v>5.3486150907354348E-2</v>
      </c>
    </row>
    <row r="929" spans="1:8">
      <c r="A929" s="27">
        <v>5337</v>
      </c>
      <c r="B929" s="8" t="s">
        <v>508</v>
      </c>
      <c r="C929" s="8">
        <v>357</v>
      </c>
      <c r="D929" s="8">
        <v>245</v>
      </c>
      <c r="E929" s="8">
        <v>116</v>
      </c>
      <c r="F929" s="8">
        <v>71</v>
      </c>
      <c r="G929" s="28">
        <f t="shared" si="29"/>
        <v>2.1120689655172415</v>
      </c>
      <c r="H929" s="33">
        <f t="shared" si="28"/>
        <v>0.19667590027700832</v>
      </c>
    </row>
    <row r="930" spans="1:8">
      <c r="A930" s="27">
        <v>8477</v>
      </c>
      <c r="B930" s="8" t="s">
        <v>236</v>
      </c>
      <c r="C930" s="8">
        <v>48</v>
      </c>
      <c r="D930" s="8">
        <v>33</v>
      </c>
      <c r="E930" s="8">
        <v>7</v>
      </c>
      <c r="F930" s="8">
        <v>13</v>
      </c>
      <c r="G930" s="28">
        <f t="shared" si="29"/>
        <v>4.7142857142857144</v>
      </c>
      <c r="H930" s="33">
        <f t="shared" si="28"/>
        <v>0.32500000000000001</v>
      </c>
    </row>
    <row r="931" spans="1:8">
      <c r="A931" s="27">
        <v>7673</v>
      </c>
      <c r="B931" s="8" t="s">
        <v>712</v>
      </c>
      <c r="C931" s="8">
        <v>351</v>
      </c>
      <c r="D931" s="8">
        <v>70</v>
      </c>
      <c r="E931" s="8">
        <v>41</v>
      </c>
      <c r="F931" s="8">
        <v>78</v>
      </c>
      <c r="G931" s="28">
        <f t="shared" si="29"/>
        <v>1.7073170731707317</v>
      </c>
      <c r="H931" s="33">
        <f t="shared" si="28"/>
        <v>0.70270270270270274</v>
      </c>
    </row>
    <row r="932" spans="1:8">
      <c r="A932" s="27">
        <v>6113</v>
      </c>
      <c r="B932" s="8" t="s">
        <v>713</v>
      </c>
      <c r="C932" s="8">
        <v>491</v>
      </c>
      <c r="D932" s="8">
        <v>779</v>
      </c>
      <c r="E932" s="8">
        <v>86</v>
      </c>
      <c r="F932" s="8">
        <v>85</v>
      </c>
      <c r="G932" s="28">
        <f t="shared" si="29"/>
        <v>9.0581395348837201</v>
      </c>
      <c r="H932" s="33">
        <f t="shared" si="28"/>
        <v>9.8265895953757232E-2</v>
      </c>
    </row>
    <row r="933" spans="1:8">
      <c r="A933" s="27">
        <v>7457</v>
      </c>
      <c r="B933" s="8" t="s">
        <v>498</v>
      </c>
      <c r="C933" s="8">
        <v>164</v>
      </c>
      <c r="D933" s="8">
        <v>536</v>
      </c>
      <c r="E933" s="8">
        <v>150</v>
      </c>
      <c r="F933" s="8">
        <v>7</v>
      </c>
      <c r="G933" s="28">
        <f t="shared" si="29"/>
        <v>3.5733333333333333</v>
      </c>
      <c r="H933" s="33">
        <f t="shared" si="28"/>
        <v>1.020408163265306E-2</v>
      </c>
    </row>
    <row r="934" spans="1:8">
      <c r="A934" s="27">
        <v>6639</v>
      </c>
      <c r="B934" s="8" t="s">
        <v>401</v>
      </c>
      <c r="C934" s="8">
        <v>304</v>
      </c>
      <c r="D934" s="8">
        <v>902</v>
      </c>
      <c r="E934" s="8">
        <v>20</v>
      </c>
      <c r="F934" s="8">
        <v>62</v>
      </c>
      <c r="G934" s="28">
        <f t="shared" si="29"/>
        <v>45.1</v>
      </c>
      <c r="H934" s="33">
        <f t="shared" si="28"/>
        <v>6.7245119305856832E-2</v>
      </c>
    </row>
    <row r="935" spans="1:8">
      <c r="A935" s="27">
        <v>5220</v>
      </c>
      <c r="B935" s="8" t="s">
        <v>212</v>
      </c>
      <c r="C935" s="8">
        <v>166</v>
      </c>
      <c r="D935" s="8">
        <v>493</v>
      </c>
      <c r="E935" s="8">
        <v>168</v>
      </c>
      <c r="F935" s="8">
        <v>55</v>
      </c>
      <c r="G935" s="28">
        <f t="shared" si="29"/>
        <v>2.9345238095238093</v>
      </c>
      <c r="H935" s="33">
        <f t="shared" si="28"/>
        <v>8.3207261724659601E-2</v>
      </c>
    </row>
    <row r="936" spans="1:8">
      <c r="A936" s="27">
        <v>6970</v>
      </c>
      <c r="B936" s="8" t="s">
        <v>367</v>
      </c>
      <c r="C936" s="8">
        <v>225</v>
      </c>
      <c r="D936" s="8">
        <v>589</v>
      </c>
      <c r="E936" s="8">
        <v>103</v>
      </c>
      <c r="F936" s="8">
        <v>93</v>
      </c>
      <c r="G936" s="28">
        <f t="shared" si="29"/>
        <v>5.7184466019417473</v>
      </c>
      <c r="H936" s="33">
        <f t="shared" si="28"/>
        <v>0.13439306358381503</v>
      </c>
    </row>
    <row r="937" spans="1:8">
      <c r="A937" s="27">
        <v>6705</v>
      </c>
      <c r="B937" s="8" t="s">
        <v>126</v>
      </c>
      <c r="C937" s="8">
        <v>163</v>
      </c>
      <c r="D937" s="8">
        <v>206</v>
      </c>
      <c r="E937" s="8">
        <v>132</v>
      </c>
      <c r="F937" s="8">
        <v>63</v>
      </c>
      <c r="G937" s="28">
        <f t="shared" si="29"/>
        <v>1.5606060606060606</v>
      </c>
      <c r="H937" s="33">
        <f t="shared" si="28"/>
        <v>0.18639053254437871</v>
      </c>
    </row>
    <row r="938" spans="1:8">
      <c r="A938" s="27">
        <v>2477</v>
      </c>
      <c r="B938" s="8" t="s">
        <v>365</v>
      </c>
      <c r="C938" s="8">
        <v>419</v>
      </c>
      <c r="D938" s="8">
        <v>752</v>
      </c>
      <c r="E938" s="8">
        <v>21</v>
      </c>
      <c r="F938" s="8">
        <v>94</v>
      </c>
      <c r="G938" s="28">
        <f t="shared" si="29"/>
        <v>35.80952380952381</v>
      </c>
      <c r="H938" s="33">
        <f t="shared" si="28"/>
        <v>0.12160413971539456</v>
      </c>
    </row>
    <row r="939" spans="1:8">
      <c r="A939" s="27">
        <v>6236</v>
      </c>
      <c r="B939" s="8" t="s">
        <v>657</v>
      </c>
      <c r="C939" s="8">
        <v>293</v>
      </c>
      <c r="D939" s="8">
        <v>514</v>
      </c>
      <c r="E939" s="8">
        <v>68</v>
      </c>
      <c r="F939" s="8">
        <v>4</v>
      </c>
      <c r="G939" s="28">
        <f t="shared" si="29"/>
        <v>7.5588235294117645</v>
      </c>
      <c r="H939" s="33">
        <f t="shared" si="28"/>
        <v>6.8728522336769758E-3</v>
      </c>
    </row>
    <row r="940" spans="1:8">
      <c r="A940" s="27">
        <v>4079</v>
      </c>
      <c r="B940" s="8" t="s">
        <v>716</v>
      </c>
      <c r="C940" s="8">
        <v>171</v>
      </c>
      <c r="D940" s="8">
        <v>858</v>
      </c>
      <c r="E940" s="8">
        <v>58</v>
      </c>
      <c r="F940" s="8">
        <v>21</v>
      </c>
      <c r="G940" s="28">
        <f t="shared" si="29"/>
        <v>14.793103448275861</v>
      </c>
      <c r="H940" s="33">
        <f t="shared" si="28"/>
        <v>2.2925764192139739E-2</v>
      </c>
    </row>
    <row r="941" spans="1:8">
      <c r="A941" s="27">
        <v>7927</v>
      </c>
      <c r="B941" s="8" t="s">
        <v>592</v>
      </c>
      <c r="C941" s="8">
        <v>438</v>
      </c>
      <c r="D941" s="8">
        <v>970</v>
      </c>
      <c r="E941" s="8">
        <v>59</v>
      </c>
      <c r="F941" s="8">
        <v>78</v>
      </c>
      <c r="G941" s="28">
        <f t="shared" si="29"/>
        <v>16.440677966101696</v>
      </c>
      <c r="H941" s="33">
        <f t="shared" si="28"/>
        <v>7.5801749271137031E-2</v>
      </c>
    </row>
    <row r="942" spans="1:8">
      <c r="A942" s="27">
        <v>5059</v>
      </c>
      <c r="B942" s="8" t="s">
        <v>41</v>
      </c>
      <c r="C942" s="8">
        <v>247</v>
      </c>
      <c r="D942" s="8">
        <v>510</v>
      </c>
      <c r="E942" s="8">
        <v>87</v>
      </c>
      <c r="F942" s="8">
        <v>99</v>
      </c>
      <c r="G942" s="28">
        <f t="shared" si="29"/>
        <v>5.8620689655172411</v>
      </c>
      <c r="H942" s="33">
        <f t="shared" si="28"/>
        <v>0.16582914572864321</v>
      </c>
    </row>
    <row r="943" spans="1:8">
      <c r="A943" s="27">
        <v>4210</v>
      </c>
      <c r="B943" s="8" t="s">
        <v>284</v>
      </c>
      <c r="C943" s="8">
        <v>85</v>
      </c>
      <c r="D943" s="8">
        <v>770</v>
      </c>
      <c r="E943" s="8">
        <v>132</v>
      </c>
      <c r="F943" s="8">
        <v>99</v>
      </c>
      <c r="G943" s="28">
        <f t="shared" si="29"/>
        <v>5.833333333333333</v>
      </c>
      <c r="H943" s="33">
        <f t="shared" si="28"/>
        <v>0.10975609756097561</v>
      </c>
    </row>
    <row r="944" spans="1:8">
      <c r="A944" s="27">
        <v>5054</v>
      </c>
      <c r="B944" s="8" t="s">
        <v>41</v>
      </c>
      <c r="C944" s="8">
        <v>203</v>
      </c>
      <c r="D944" s="8">
        <v>903</v>
      </c>
      <c r="E944" s="8">
        <v>19</v>
      </c>
      <c r="F944" s="8">
        <v>76</v>
      </c>
      <c r="G944" s="28">
        <f t="shared" si="29"/>
        <v>47.526315789473685</v>
      </c>
      <c r="H944" s="33">
        <f t="shared" si="28"/>
        <v>8.2429501084598705E-2</v>
      </c>
    </row>
    <row r="945" spans="1:8">
      <c r="A945" s="27">
        <v>5836</v>
      </c>
      <c r="B945" s="8" t="s">
        <v>504</v>
      </c>
      <c r="C945" s="8">
        <v>219</v>
      </c>
      <c r="D945" s="8">
        <v>347</v>
      </c>
      <c r="E945" s="8">
        <v>55</v>
      </c>
      <c r="F945" s="8">
        <v>64</v>
      </c>
      <c r="G945" s="28">
        <f t="shared" si="29"/>
        <v>6.3090909090909095</v>
      </c>
      <c r="H945" s="33">
        <f t="shared" si="28"/>
        <v>0.15920398009950248</v>
      </c>
    </row>
    <row r="946" spans="1:8">
      <c r="A946" s="27">
        <v>8612</v>
      </c>
      <c r="B946" s="8" t="s">
        <v>304</v>
      </c>
      <c r="C946" s="8">
        <v>285</v>
      </c>
      <c r="D946" s="8">
        <v>600</v>
      </c>
      <c r="E946" s="8">
        <v>109</v>
      </c>
      <c r="F946" s="8">
        <v>76</v>
      </c>
      <c r="G946" s="28">
        <f t="shared" si="29"/>
        <v>5.5045871559633026</v>
      </c>
      <c r="H946" s="33">
        <f t="shared" si="28"/>
        <v>0.10719322990126939</v>
      </c>
    </row>
    <row r="947" spans="1:8">
      <c r="A947" s="27">
        <v>7445</v>
      </c>
      <c r="B947" s="8" t="s">
        <v>125</v>
      </c>
      <c r="C947" s="8">
        <v>115</v>
      </c>
      <c r="D947" s="8">
        <v>583</v>
      </c>
      <c r="E947" s="8">
        <v>127</v>
      </c>
      <c r="F947" s="8">
        <v>0</v>
      </c>
      <c r="G947" s="28">
        <f t="shared" si="29"/>
        <v>4.590551181102362</v>
      </c>
      <c r="H947" s="33">
        <f t="shared" si="28"/>
        <v>0</v>
      </c>
    </row>
    <row r="948" spans="1:8">
      <c r="A948" s="27">
        <v>6135</v>
      </c>
      <c r="B948" s="8" t="s">
        <v>112</v>
      </c>
      <c r="C948" s="8">
        <v>322</v>
      </c>
      <c r="D948" s="8">
        <v>446</v>
      </c>
      <c r="E948" s="8">
        <v>114</v>
      </c>
      <c r="F948" s="8">
        <v>84</v>
      </c>
      <c r="G948" s="28">
        <f t="shared" si="29"/>
        <v>3.9122807017543861</v>
      </c>
      <c r="H948" s="33">
        <f t="shared" si="28"/>
        <v>0.15</v>
      </c>
    </row>
    <row r="949" spans="1:8">
      <c r="A949" s="27">
        <v>3168</v>
      </c>
      <c r="B949" s="8" t="s">
        <v>373</v>
      </c>
      <c r="C949" s="8">
        <v>348</v>
      </c>
      <c r="D949" s="8">
        <v>797</v>
      </c>
      <c r="E949" s="8">
        <v>81</v>
      </c>
      <c r="F949" s="8">
        <v>12</v>
      </c>
      <c r="G949" s="28">
        <f t="shared" si="29"/>
        <v>9.8395061728395063</v>
      </c>
      <c r="H949" s="33">
        <f t="shared" si="28"/>
        <v>1.366742596810934E-2</v>
      </c>
    </row>
    <row r="950" spans="1:8">
      <c r="A950" s="27">
        <v>2981</v>
      </c>
      <c r="B950" s="8" t="s">
        <v>718</v>
      </c>
      <c r="C950" s="8">
        <v>482</v>
      </c>
      <c r="D950" s="8">
        <v>665</v>
      </c>
      <c r="E950" s="8">
        <v>96</v>
      </c>
      <c r="F950" s="8">
        <v>24</v>
      </c>
      <c r="G950" s="28">
        <f t="shared" si="29"/>
        <v>6.927083333333333</v>
      </c>
      <c r="H950" s="33">
        <f t="shared" si="28"/>
        <v>3.1537450722733243E-2</v>
      </c>
    </row>
    <row r="951" spans="1:8">
      <c r="A951" s="27">
        <v>7739</v>
      </c>
      <c r="B951" s="8" t="s">
        <v>254</v>
      </c>
      <c r="C951" s="8">
        <v>384</v>
      </c>
      <c r="D951" s="8">
        <v>188</v>
      </c>
      <c r="E951" s="8">
        <v>140</v>
      </c>
      <c r="F951" s="8">
        <v>78</v>
      </c>
      <c r="G951" s="28">
        <f t="shared" si="29"/>
        <v>1.3428571428571427</v>
      </c>
      <c r="H951" s="33">
        <f t="shared" si="28"/>
        <v>0.23780487804878048</v>
      </c>
    </row>
    <row r="952" spans="1:8">
      <c r="A952" s="27">
        <v>5905</v>
      </c>
      <c r="B952" s="8" t="s">
        <v>345</v>
      </c>
      <c r="C952" s="8">
        <v>178</v>
      </c>
      <c r="D952" s="8">
        <v>489</v>
      </c>
      <c r="E952" s="8">
        <v>6</v>
      </c>
      <c r="F952" s="8">
        <v>72</v>
      </c>
      <c r="G952" s="28">
        <f t="shared" si="29"/>
        <v>81.5</v>
      </c>
      <c r="H952" s="33">
        <f t="shared" si="28"/>
        <v>0.14545454545454545</v>
      </c>
    </row>
    <row r="953" spans="1:8">
      <c r="A953" s="27">
        <v>1443</v>
      </c>
      <c r="B953" s="8" t="s">
        <v>369</v>
      </c>
      <c r="C953" s="8">
        <v>91</v>
      </c>
      <c r="D953" s="8">
        <v>377</v>
      </c>
      <c r="E953" s="8">
        <v>14</v>
      </c>
      <c r="F953" s="8">
        <v>53</v>
      </c>
      <c r="G953" s="28">
        <f t="shared" si="29"/>
        <v>26.928571428571427</v>
      </c>
      <c r="H953" s="33">
        <f t="shared" si="28"/>
        <v>0.13554987212276215</v>
      </c>
    </row>
    <row r="954" spans="1:8">
      <c r="A954" s="27">
        <v>6181</v>
      </c>
      <c r="B954" s="8" t="s">
        <v>608</v>
      </c>
      <c r="C954" s="8">
        <v>175</v>
      </c>
      <c r="D954" s="8">
        <v>424</v>
      </c>
      <c r="E954" s="8">
        <v>125</v>
      </c>
      <c r="F954" s="8">
        <v>13</v>
      </c>
      <c r="G954" s="28">
        <f t="shared" si="29"/>
        <v>3.3919999999999999</v>
      </c>
      <c r="H954" s="33">
        <f t="shared" si="28"/>
        <v>2.3679417122040074E-2</v>
      </c>
    </row>
    <row r="955" spans="1:8">
      <c r="A955" s="27">
        <v>8406</v>
      </c>
      <c r="B955" s="8" t="s">
        <v>720</v>
      </c>
      <c r="C955" s="8">
        <v>187</v>
      </c>
      <c r="D955" s="8">
        <v>491</v>
      </c>
      <c r="E955" s="8">
        <v>197</v>
      </c>
      <c r="F955" s="8">
        <v>54</v>
      </c>
      <c r="G955" s="28">
        <f t="shared" si="29"/>
        <v>2.4923857868020303</v>
      </c>
      <c r="H955" s="33">
        <f t="shared" si="28"/>
        <v>7.8488372093023256E-2</v>
      </c>
    </row>
    <row r="956" spans="1:8">
      <c r="A956" s="27">
        <v>5389</v>
      </c>
      <c r="B956" s="8" t="s">
        <v>721</v>
      </c>
      <c r="C956" s="8">
        <v>352</v>
      </c>
      <c r="D956" s="8">
        <v>521</v>
      </c>
      <c r="E956" s="8">
        <v>128</v>
      </c>
      <c r="F956" s="8">
        <v>59</v>
      </c>
      <c r="G956" s="28">
        <f t="shared" si="29"/>
        <v>4.0703125</v>
      </c>
      <c r="H956" s="33">
        <f t="shared" si="28"/>
        <v>9.0909090909090912E-2</v>
      </c>
    </row>
    <row r="957" spans="1:8">
      <c r="A957" s="27">
        <v>4586</v>
      </c>
      <c r="B957" s="8" t="s">
        <v>723</v>
      </c>
      <c r="C957" s="8">
        <v>448</v>
      </c>
      <c r="D957" s="8">
        <v>506</v>
      </c>
      <c r="E957" s="8">
        <v>193</v>
      </c>
      <c r="F957" s="8">
        <v>79</v>
      </c>
      <c r="G957" s="28">
        <f t="shared" si="29"/>
        <v>2.6217616580310881</v>
      </c>
      <c r="H957" s="33">
        <f t="shared" si="28"/>
        <v>0.11301859799713877</v>
      </c>
    </row>
    <row r="958" spans="1:8">
      <c r="A958" s="27">
        <v>4020</v>
      </c>
      <c r="B958" s="8" t="s">
        <v>691</v>
      </c>
      <c r="C958" s="8">
        <v>81</v>
      </c>
      <c r="D958" s="8">
        <v>390</v>
      </c>
      <c r="E958" s="8">
        <v>43</v>
      </c>
      <c r="F958" s="8">
        <v>33</v>
      </c>
      <c r="G958" s="28">
        <f t="shared" si="29"/>
        <v>9.0697674418604652</v>
      </c>
      <c r="H958" s="33">
        <f t="shared" si="28"/>
        <v>7.6212471131639717E-2</v>
      </c>
    </row>
    <row r="959" spans="1:8">
      <c r="A959" s="27">
        <v>1635</v>
      </c>
      <c r="B959" s="8" t="s">
        <v>434</v>
      </c>
      <c r="C959" s="8">
        <v>321</v>
      </c>
      <c r="D959" s="8">
        <v>276</v>
      </c>
      <c r="E959" s="8">
        <v>182</v>
      </c>
      <c r="F959" s="8">
        <v>52</v>
      </c>
      <c r="G959" s="28">
        <f t="shared" si="29"/>
        <v>1.5164835164835164</v>
      </c>
      <c r="H959" s="33">
        <f t="shared" si="28"/>
        <v>0.11353711790393013</v>
      </c>
    </row>
    <row r="960" spans="1:8">
      <c r="A960" s="27">
        <v>9257</v>
      </c>
      <c r="B960" s="8" t="s">
        <v>177</v>
      </c>
      <c r="C960" s="8">
        <v>114</v>
      </c>
      <c r="D960" s="8">
        <v>896</v>
      </c>
      <c r="E960" s="8">
        <v>9</v>
      </c>
      <c r="F960" s="8">
        <v>60</v>
      </c>
      <c r="G960" s="28">
        <f t="shared" si="29"/>
        <v>99.555555555555557</v>
      </c>
      <c r="H960" s="33">
        <f t="shared" si="28"/>
        <v>6.6298342541436461E-2</v>
      </c>
    </row>
    <row r="961" spans="1:8">
      <c r="A961" s="27">
        <v>6380</v>
      </c>
      <c r="B961" s="8" t="s">
        <v>88</v>
      </c>
      <c r="C961" s="8">
        <v>493</v>
      </c>
      <c r="D961" s="8">
        <v>29</v>
      </c>
      <c r="E961" s="8">
        <v>82</v>
      </c>
      <c r="F961" s="8">
        <v>64</v>
      </c>
      <c r="G961" s="28">
        <f t="shared" si="29"/>
        <v>0.35365853658536583</v>
      </c>
      <c r="H961" s="33">
        <f t="shared" si="28"/>
        <v>0.57657657657657657</v>
      </c>
    </row>
    <row r="962" spans="1:8">
      <c r="A962" s="27">
        <v>6385</v>
      </c>
      <c r="B962" s="8" t="s">
        <v>508</v>
      </c>
      <c r="C962" s="8">
        <v>475</v>
      </c>
      <c r="D962" s="8">
        <v>523</v>
      </c>
      <c r="E962" s="8">
        <v>30</v>
      </c>
      <c r="F962" s="8">
        <v>2</v>
      </c>
      <c r="G962" s="28">
        <f t="shared" si="29"/>
        <v>17.433333333333334</v>
      </c>
      <c r="H962" s="33">
        <f t="shared" ref="H962:H1001" si="30">F962/(D962+E962)</f>
        <v>3.616636528028933E-3</v>
      </c>
    </row>
    <row r="963" spans="1:8">
      <c r="A963" s="27">
        <v>6858</v>
      </c>
      <c r="B963" s="8" t="s">
        <v>318</v>
      </c>
      <c r="C963" s="8">
        <v>287</v>
      </c>
      <c r="D963" s="8">
        <v>918</v>
      </c>
      <c r="E963" s="8">
        <v>82</v>
      </c>
      <c r="F963" s="8">
        <v>81</v>
      </c>
      <c r="G963" s="28">
        <f t="shared" ref="G963:G1001" si="31">D963/E963</f>
        <v>11.195121951219512</v>
      </c>
      <c r="H963" s="33">
        <f t="shared" si="30"/>
        <v>8.1000000000000003E-2</v>
      </c>
    </row>
    <row r="964" spans="1:8">
      <c r="A964" s="27">
        <v>8875</v>
      </c>
      <c r="B964" s="8" t="s">
        <v>434</v>
      </c>
      <c r="C964" s="8">
        <v>138</v>
      </c>
      <c r="D964" s="8">
        <v>40</v>
      </c>
      <c r="E964" s="8">
        <v>166</v>
      </c>
      <c r="F964" s="8">
        <v>83</v>
      </c>
      <c r="G964" s="28">
        <f t="shared" si="31"/>
        <v>0.24096385542168675</v>
      </c>
      <c r="H964" s="33">
        <f t="shared" si="30"/>
        <v>0.40291262135922329</v>
      </c>
    </row>
    <row r="965" spans="1:8">
      <c r="A965" s="27">
        <v>3334</v>
      </c>
      <c r="B965" s="8" t="s">
        <v>286</v>
      </c>
      <c r="C965" s="8">
        <v>198</v>
      </c>
      <c r="D965" s="8">
        <v>614</v>
      </c>
      <c r="E965" s="8">
        <v>69</v>
      </c>
      <c r="F965" s="8">
        <v>27</v>
      </c>
      <c r="G965" s="28">
        <f t="shared" si="31"/>
        <v>8.8985507246376816</v>
      </c>
      <c r="H965" s="33">
        <f t="shared" si="30"/>
        <v>3.9531478770131773E-2</v>
      </c>
    </row>
    <row r="966" spans="1:8">
      <c r="A966" s="27">
        <v>5850</v>
      </c>
      <c r="B966" s="8" t="s">
        <v>126</v>
      </c>
      <c r="C966" s="8">
        <v>164</v>
      </c>
      <c r="D966" s="8">
        <v>833</v>
      </c>
      <c r="E966" s="8">
        <v>89</v>
      </c>
      <c r="F966" s="8">
        <v>32</v>
      </c>
      <c r="G966" s="28">
        <f t="shared" si="31"/>
        <v>9.3595505617977537</v>
      </c>
      <c r="H966" s="33">
        <f t="shared" si="30"/>
        <v>3.4707158351409979E-2</v>
      </c>
    </row>
    <row r="967" spans="1:8">
      <c r="A967" s="27">
        <v>8593</v>
      </c>
      <c r="B967" s="8" t="s">
        <v>153</v>
      </c>
      <c r="C967" s="8">
        <v>65</v>
      </c>
      <c r="D967" s="8">
        <v>238</v>
      </c>
      <c r="E967" s="8">
        <v>39</v>
      </c>
      <c r="F967" s="8">
        <v>23</v>
      </c>
      <c r="G967" s="28">
        <f t="shared" si="31"/>
        <v>6.1025641025641022</v>
      </c>
      <c r="H967" s="33">
        <f t="shared" si="30"/>
        <v>8.3032490974729242E-2</v>
      </c>
    </row>
    <row r="968" spans="1:8">
      <c r="A968" s="27">
        <v>6278</v>
      </c>
      <c r="B968" s="8" t="s">
        <v>357</v>
      </c>
      <c r="C968" s="8">
        <v>388</v>
      </c>
      <c r="D968" s="8">
        <v>861</v>
      </c>
      <c r="E968" s="8">
        <v>59</v>
      </c>
      <c r="F968" s="8">
        <v>42</v>
      </c>
      <c r="G968" s="28">
        <f t="shared" si="31"/>
        <v>14.59322033898305</v>
      </c>
      <c r="H968" s="33">
        <f t="shared" si="30"/>
        <v>4.5652173913043478E-2</v>
      </c>
    </row>
    <row r="969" spans="1:8">
      <c r="A969" s="27">
        <v>1388</v>
      </c>
      <c r="B969" s="8" t="s">
        <v>157</v>
      </c>
      <c r="C969" s="8">
        <v>412</v>
      </c>
      <c r="D969" s="8">
        <v>999</v>
      </c>
      <c r="E969" s="8">
        <v>127</v>
      </c>
      <c r="F969" s="8">
        <v>4</v>
      </c>
      <c r="G969" s="28">
        <f t="shared" si="31"/>
        <v>7.8661417322834648</v>
      </c>
      <c r="H969" s="33">
        <f t="shared" si="30"/>
        <v>3.552397868561279E-3</v>
      </c>
    </row>
    <row r="970" spans="1:8">
      <c r="A970" s="27">
        <v>2521</v>
      </c>
      <c r="B970" s="8" t="s">
        <v>143</v>
      </c>
      <c r="C970" s="8">
        <v>267</v>
      </c>
      <c r="D970" s="8">
        <v>118</v>
      </c>
      <c r="E970" s="8">
        <v>6</v>
      </c>
      <c r="F970" s="8">
        <v>57</v>
      </c>
      <c r="G970" s="28">
        <f t="shared" si="31"/>
        <v>19.666666666666668</v>
      </c>
      <c r="H970" s="33">
        <f t="shared" si="30"/>
        <v>0.45967741935483869</v>
      </c>
    </row>
    <row r="971" spans="1:8">
      <c r="A971" s="27">
        <v>1269</v>
      </c>
      <c r="B971" s="8" t="s">
        <v>726</v>
      </c>
      <c r="C971" s="8">
        <v>29</v>
      </c>
      <c r="D971" s="8">
        <v>404</v>
      </c>
      <c r="E971" s="8">
        <v>177</v>
      </c>
      <c r="F971" s="8">
        <v>81</v>
      </c>
      <c r="G971" s="28">
        <f t="shared" si="31"/>
        <v>2.2824858757062145</v>
      </c>
      <c r="H971" s="33">
        <f t="shared" si="30"/>
        <v>0.13941480206540446</v>
      </c>
    </row>
    <row r="972" spans="1:8">
      <c r="A972" s="27">
        <v>9959</v>
      </c>
      <c r="B972" s="8" t="s">
        <v>266</v>
      </c>
      <c r="C972" s="8">
        <v>454</v>
      </c>
      <c r="D972" s="8">
        <v>938</v>
      </c>
      <c r="E972" s="8">
        <v>75</v>
      </c>
      <c r="F972" s="8">
        <v>51</v>
      </c>
      <c r="G972" s="28">
        <f t="shared" si="31"/>
        <v>12.506666666666666</v>
      </c>
      <c r="H972" s="33">
        <f t="shared" si="30"/>
        <v>5.0345508390918066E-2</v>
      </c>
    </row>
    <row r="973" spans="1:8">
      <c r="A973" s="27">
        <v>7549</v>
      </c>
      <c r="B973" s="8" t="s">
        <v>720</v>
      </c>
      <c r="C973" s="8">
        <v>119</v>
      </c>
      <c r="D973" s="8">
        <v>112</v>
      </c>
      <c r="E973" s="8">
        <v>181</v>
      </c>
      <c r="F973" s="8">
        <v>47</v>
      </c>
      <c r="G973" s="28">
        <f t="shared" si="31"/>
        <v>0.61878453038674031</v>
      </c>
      <c r="H973" s="33">
        <f t="shared" si="30"/>
        <v>0.16040955631399317</v>
      </c>
    </row>
    <row r="974" spans="1:8">
      <c r="A974" s="27">
        <v>4747</v>
      </c>
      <c r="B974" s="8" t="s">
        <v>224</v>
      </c>
      <c r="C974" s="8">
        <v>311</v>
      </c>
      <c r="D974" s="8">
        <v>430</v>
      </c>
      <c r="E974" s="8">
        <v>188</v>
      </c>
      <c r="F974" s="8">
        <v>78</v>
      </c>
      <c r="G974" s="28">
        <f t="shared" si="31"/>
        <v>2.2872340425531914</v>
      </c>
      <c r="H974" s="33">
        <f t="shared" si="30"/>
        <v>0.12621359223300971</v>
      </c>
    </row>
    <row r="975" spans="1:8">
      <c r="A975" s="27">
        <v>8320</v>
      </c>
      <c r="B975" s="8" t="s">
        <v>549</v>
      </c>
      <c r="C975" s="8">
        <v>122</v>
      </c>
      <c r="D975" s="8">
        <v>626</v>
      </c>
      <c r="E975" s="8">
        <v>69</v>
      </c>
      <c r="F975" s="8">
        <v>17</v>
      </c>
      <c r="G975" s="28">
        <f t="shared" si="31"/>
        <v>9.0724637681159415</v>
      </c>
      <c r="H975" s="33">
        <f t="shared" si="30"/>
        <v>2.4460431654676259E-2</v>
      </c>
    </row>
    <row r="976" spans="1:8">
      <c r="A976" s="27">
        <v>1333</v>
      </c>
      <c r="B976" s="8" t="s">
        <v>106</v>
      </c>
      <c r="C976" s="8">
        <v>300</v>
      </c>
      <c r="D976" s="8">
        <v>819</v>
      </c>
      <c r="E976" s="8">
        <v>143</v>
      </c>
      <c r="F976" s="8">
        <v>23</v>
      </c>
      <c r="G976" s="28">
        <f t="shared" si="31"/>
        <v>5.7272727272727275</v>
      </c>
      <c r="H976" s="33">
        <f t="shared" si="30"/>
        <v>2.390852390852391E-2</v>
      </c>
    </row>
    <row r="977" spans="1:8">
      <c r="A977" s="27">
        <v>5254</v>
      </c>
      <c r="B977" s="8" t="s">
        <v>542</v>
      </c>
      <c r="C977" s="8">
        <v>59</v>
      </c>
      <c r="D977" s="8">
        <v>718</v>
      </c>
      <c r="E977" s="8">
        <v>3</v>
      </c>
      <c r="F977" s="8">
        <v>43</v>
      </c>
      <c r="G977" s="28">
        <f t="shared" si="31"/>
        <v>239.33333333333334</v>
      </c>
      <c r="H977" s="33">
        <f t="shared" si="30"/>
        <v>5.9639389736477116E-2</v>
      </c>
    </row>
    <row r="978" spans="1:8">
      <c r="A978" s="27">
        <v>6842</v>
      </c>
      <c r="B978" s="8" t="s">
        <v>648</v>
      </c>
      <c r="C978" s="8">
        <v>34</v>
      </c>
      <c r="D978" s="8">
        <v>109</v>
      </c>
      <c r="E978" s="8">
        <v>174</v>
      </c>
      <c r="F978" s="8">
        <v>74</v>
      </c>
      <c r="G978" s="28">
        <f t="shared" si="31"/>
        <v>0.62643678160919536</v>
      </c>
      <c r="H978" s="33">
        <f t="shared" si="30"/>
        <v>0.26148409893992935</v>
      </c>
    </row>
    <row r="979" spans="1:8">
      <c r="A979" s="27">
        <v>9333</v>
      </c>
      <c r="B979" s="8" t="s">
        <v>635</v>
      </c>
      <c r="C979" s="8">
        <v>23</v>
      </c>
      <c r="D979" s="8">
        <v>544</v>
      </c>
      <c r="E979" s="8">
        <v>25</v>
      </c>
      <c r="F979" s="8">
        <v>47</v>
      </c>
      <c r="G979" s="28">
        <f t="shared" si="31"/>
        <v>21.76</v>
      </c>
      <c r="H979" s="33">
        <f t="shared" si="30"/>
        <v>8.2601054481546574E-2</v>
      </c>
    </row>
    <row r="980" spans="1:8">
      <c r="A980" s="27">
        <v>9122</v>
      </c>
      <c r="B980" s="8" t="s">
        <v>729</v>
      </c>
      <c r="C980" s="8">
        <v>168</v>
      </c>
      <c r="D980" s="8">
        <v>25</v>
      </c>
      <c r="E980" s="8">
        <v>171</v>
      </c>
      <c r="F980" s="8">
        <v>79</v>
      </c>
      <c r="G980" s="28">
        <f t="shared" si="31"/>
        <v>0.14619883040935672</v>
      </c>
      <c r="H980" s="33">
        <f t="shared" si="30"/>
        <v>0.40306122448979592</v>
      </c>
    </row>
    <row r="981" spans="1:8">
      <c r="A981" s="27">
        <v>6221</v>
      </c>
      <c r="B981" s="8" t="s">
        <v>143</v>
      </c>
      <c r="C981" s="8">
        <v>306</v>
      </c>
      <c r="D981" s="8">
        <v>513</v>
      </c>
      <c r="E981" s="8">
        <v>70</v>
      </c>
      <c r="F981" s="8">
        <v>86</v>
      </c>
      <c r="G981" s="28">
        <f t="shared" si="31"/>
        <v>7.3285714285714283</v>
      </c>
      <c r="H981" s="33">
        <f t="shared" si="30"/>
        <v>0.14751286449399656</v>
      </c>
    </row>
    <row r="982" spans="1:8">
      <c r="A982" s="27">
        <v>9957</v>
      </c>
      <c r="B982" s="8" t="s">
        <v>357</v>
      </c>
      <c r="C982" s="8">
        <v>433</v>
      </c>
      <c r="D982" s="8">
        <v>1000</v>
      </c>
      <c r="E982" s="8">
        <v>48</v>
      </c>
      <c r="F982" s="8">
        <v>92</v>
      </c>
      <c r="G982" s="28">
        <f t="shared" si="31"/>
        <v>20.833333333333332</v>
      </c>
      <c r="H982" s="33">
        <f t="shared" si="30"/>
        <v>8.7786259541984726E-2</v>
      </c>
    </row>
    <row r="983" spans="1:8">
      <c r="A983" s="27">
        <v>4680</v>
      </c>
      <c r="B983" s="8" t="s">
        <v>730</v>
      </c>
      <c r="C983" s="8">
        <v>221</v>
      </c>
      <c r="D983" s="8">
        <v>749</v>
      </c>
      <c r="E983" s="8">
        <v>66</v>
      </c>
      <c r="F983" s="8">
        <v>37</v>
      </c>
      <c r="G983" s="28">
        <f t="shared" si="31"/>
        <v>11.348484848484848</v>
      </c>
      <c r="H983" s="33">
        <f t="shared" si="30"/>
        <v>4.5398773006134971E-2</v>
      </c>
    </row>
    <row r="984" spans="1:8">
      <c r="A984" s="27">
        <v>5974</v>
      </c>
      <c r="B984" s="8" t="s">
        <v>731</v>
      </c>
      <c r="C984" s="8">
        <v>236</v>
      </c>
      <c r="D984" s="8">
        <v>600</v>
      </c>
      <c r="E984" s="8">
        <v>199</v>
      </c>
      <c r="F984" s="8">
        <v>56</v>
      </c>
      <c r="G984" s="28">
        <f t="shared" si="31"/>
        <v>3.0150753768844223</v>
      </c>
      <c r="H984" s="33">
        <f t="shared" si="30"/>
        <v>7.0087609511889859E-2</v>
      </c>
    </row>
    <row r="985" spans="1:8">
      <c r="A985" s="27">
        <v>6938</v>
      </c>
      <c r="B985" s="8" t="s">
        <v>382</v>
      </c>
      <c r="C985" s="8">
        <v>75</v>
      </c>
      <c r="D985" s="8">
        <v>897</v>
      </c>
      <c r="E985" s="8">
        <v>59</v>
      </c>
      <c r="F985" s="8">
        <v>11</v>
      </c>
      <c r="G985" s="28">
        <f t="shared" si="31"/>
        <v>15.203389830508474</v>
      </c>
      <c r="H985" s="33">
        <f t="shared" si="30"/>
        <v>1.1506276150627616E-2</v>
      </c>
    </row>
    <row r="986" spans="1:8">
      <c r="A986" s="27">
        <v>1175</v>
      </c>
      <c r="B986" s="8" t="s">
        <v>584</v>
      </c>
      <c r="C986" s="8">
        <v>325</v>
      </c>
      <c r="D986" s="8">
        <v>412</v>
      </c>
      <c r="E986" s="8">
        <v>117</v>
      </c>
      <c r="F986" s="8">
        <v>48</v>
      </c>
      <c r="G986" s="28">
        <f t="shared" si="31"/>
        <v>3.5213675213675213</v>
      </c>
      <c r="H986" s="33">
        <f t="shared" si="30"/>
        <v>9.0737240075614373E-2</v>
      </c>
    </row>
    <row r="987" spans="1:8">
      <c r="A987" s="27">
        <v>1260</v>
      </c>
      <c r="B987" s="8" t="s">
        <v>453</v>
      </c>
      <c r="C987" s="8">
        <v>217</v>
      </c>
      <c r="D987" s="8">
        <v>669</v>
      </c>
      <c r="E987" s="8">
        <v>155</v>
      </c>
      <c r="F987" s="8">
        <v>40</v>
      </c>
      <c r="G987" s="28">
        <f t="shared" si="31"/>
        <v>4.3161290322580648</v>
      </c>
      <c r="H987" s="33">
        <f t="shared" si="30"/>
        <v>4.8543689320388349E-2</v>
      </c>
    </row>
    <row r="988" spans="1:8">
      <c r="A988" s="27">
        <v>4645</v>
      </c>
      <c r="B988" s="8" t="s">
        <v>130</v>
      </c>
      <c r="C988" s="8">
        <v>178</v>
      </c>
      <c r="D988" s="8">
        <v>323</v>
      </c>
      <c r="E988" s="8">
        <v>130</v>
      </c>
      <c r="F988" s="8">
        <v>29</v>
      </c>
      <c r="G988" s="28">
        <f t="shared" si="31"/>
        <v>2.4846153846153847</v>
      </c>
      <c r="H988" s="33">
        <f t="shared" si="30"/>
        <v>6.4017660044150104E-2</v>
      </c>
    </row>
    <row r="989" spans="1:8">
      <c r="A989" s="27">
        <v>1637</v>
      </c>
      <c r="B989" s="8" t="s">
        <v>122</v>
      </c>
      <c r="C989" s="8">
        <v>74</v>
      </c>
      <c r="D989" s="8">
        <v>646</v>
      </c>
      <c r="E989" s="8">
        <v>38</v>
      </c>
      <c r="F989" s="8">
        <v>37</v>
      </c>
      <c r="G989" s="28">
        <f t="shared" si="31"/>
        <v>17</v>
      </c>
      <c r="H989" s="33">
        <f t="shared" si="30"/>
        <v>5.4093567251461985E-2</v>
      </c>
    </row>
    <row r="990" spans="1:8">
      <c r="A990" s="27">
        <v>7960</v>
      </c>
      <c r="B990" s="8" t="s">
        <v>521</v>
      </c>
      <c r="C990" s="8">
        <v>373</v>
      </c>
      <c r="D990" s="8">
        <v>507</v>
      </c>
      <c r="E990" s="8">
        <v>130</v>
      </c>
      <c r="F990" s="8">
        <v>41</v>
      </c>
      <c r="G990" s="28">
        <f t="shared" si="31"/>
        <v>3.9</v>
      </c>
      <c r="H990" s="33">
        <f t="shared" si="30"/>
        <v>6.4364207221350084E-2</v>
      </c>
    </row>
    <row r="991" spans="1:8">
      <c r="A991" s="27">
        <v>9693</v>
      </c>
      <c r="B991" s="8" t="s">
        <v>733</v>
      </c>
      <c r="C991" s="8">
        <v>64</v>
      </c>
      <c r="D991" s="8">
        <v>881</v>
      </c>
      <c r="E991" s="8">
        <v>15</v>
      </c>
      <c r="F991" s="8">
        <v>22</v>
      </c>
      <c r="G991" s="28">
        <f t="shared" si="31"/>
        <v>58.733333333333334</v>
      </c>
      <c r="H991" s="33">
        <f t="shared" si="30"/>
        <v>2.4553571428571428E-2</v>
      </c>
    </row>
    <row r="992" spans="1:8">
      <c r="A992" s="27">
        <v>8743</v>
      </c>
      <c r="B992" s="8" t="s">
        <v>201</v>
      </c>
      <c r="C992" s="8">
        <v>129</v>
      </c>
      <c r="D992" s="8">
        <v>594</v>
      </c>
      <c r="E992" s="8">
        <v>127</v>
      </c>
      <c r="F992" s="8">
        <v>79</v>
      </c>
      <c r="G992" s="28">
        <f t="shared" si="31"/>
        <v>4.6771653543307083</v>
      </c>
      <c r="H992" s="33">
        <f t="shared" si="30"/>
        <v>0.10957004160887657</v>
      </c>
    </row>
    <row r="993" spans="1:8">
      <c r="A993" s="27">
        <v>3379</v>
      </c>
      <c r="B993" s="8" t="s">
        <v>695</v>
      </c>
      <c r="C993" s="8">
        <v>297</v>
      </c>
      <c r="D993" s="8">
        <v>667</v>
      </c>
      <c r="E993" s="8">
        <v>75</v>
      </c>
      <c r="F993" s="8">
        <v>89</v>
      </c>
      <c r="G993" s="28">
        <f t="shared" si="31"/>
        <v>8.8933333333333326</v>
      </c>
      <c r="H993" s="33">
        <f t="shared" si="30"/>
        <v>0.11994609164420485</v>
      </c>
    </row>
    <row r="994" spans="1:8">
      <c r="A994" s="27">
        <v>7696</v>
      </c>
      <c r="B994" s="8" t="s">
        <v>224</v>
      </c>
      <c r="C994" s="8">
        <v>235</v>
      </c>
      <c r="D994" s="8">
        <v>709</v>
      </c>
      <c r="E994" s="8">
        <v>151</v>
      </c>
      <c r="F994" s="8">
        <v>72</v>
      </c>
      <c r="G994" s="28">
        <f t="shared" si="31"/>
        <v>4.6953642384105958</v>
      </c>
      <c r="H994" s="33">
        <f t="shared" si="30"/>
        <v>8.3720930232558138E-2</v>
      </c>
    </row>
    <row r="995" spans="1:8">
      <c r="A995" s="27">
        <v>8552</v>
      </c>
      <c r="B995" s="8" t="s">
        <v>23</v>
      </c>
      <c r="C995" s="8">
        <v>390</v>
      </c>
      <c r="D995" s="8">
        <v>537</v>
      </c>
      <c r="E995" s="8">
        <v>101</v>
      </c>
      <c r="F995" s="8">
        <v>64</v>
      </c>
      <c r="G995" s="28">
        <f t="shared" si="31"/>
        <v>5.3168316831683171</v>
      </c>
      <c r="H995" s="33">
        <f t="shared" si="30"/>
        <v>0.10031347962382445</v>
      </c>
    </row>
    <row r="996" spans="1:8">
      <c r="A996" s="27">
        <v>5065</v>
      </c>
      <c r="B996" s="8" t="s">
        <v>257</v>
      </c>
      <c r="C996" s="8">
        <v>362</v>
      </c>
      <c r="D996" s="8">
        <v>490</v>
      </c>
      <c r="E996" s="8">
        <v>22</v>
      </c>
      <c r="F996" s="8">
        <v>62</v>
      </c>
      <c r="G996" s="28">
        <f t="shared" si="31"/>
        <v>22.272727272727273</v>
      </c>
      <c r="H996" s="33">
        <f t="shared" si="30"/>
        <v>0.12109375</v>
      </c>
    </row>
    <row r="997" spans="1:8">
      <c r="A997" s="27">
        <v>6878</v>
      </c>
      <c r="B997" s="8" t="s">
        <v>52</v>
      </c>
      <c r="C997" s="8">
        <v>136</v>
      </c>
      <c r="D997" s="8">
        <v>20</v>
      </c>
      <c r="E997" s="8">
        <v>18</v>
      </c>
      <c r="F997" s="8">
        <v>7</v>
      </c>
      <c r="G997" s="28">
        <f t="shared" si="31"/>
        <v>1.1111111111111112</v>
      </c>
      <c r="H997" s="33">
        <f t="shared" si="30"/>
        <v>0.18421052631578946</v>
      </c>
    </row>
    <row r="998" spans="1:8">
      <c r="A998" s="27">
        <v>5681</v>
      </c>
      <c r="B998" s="8" t="s">
        <v>254</v>
      </c>
      <c r="C998" s="8">
        <v>159</v>
      </c>
      <c r="D998" s="8">
        <v>824</v>
      </c>
      <c r="E998" s="8">
        <v>31</v>
      </c>
      <c r="F998" s="8">
        <v>13</v>
      </c>
      <c r="G998" s="28">
        <f t="shared" si="31"/>
        <v>26.580645161290324</v>
      </c>
      <c r="H998" s="33">
        <f t="shared" si="30"/>
        <v>1.5204678362573099E-2</v>
      </c>
    </row>
    <row r="999" spans="1:8">
      <c r="A999" s="27">
        <v>4448</v>
      </c>
      <c r="B999" s="8" t="s">
        <v>179</v>
      </c>
      <c r="C999" s="8">
        <v>99</v>
      </c>
      <c r="D999" s="8">
        <v>319</v>
      </c>
      <c r="E999" s="8">
        <v>187</v>
      </c>
      <c r="F999" s="8">
        <v>58</v>
      </c>
      <c r="G999" s="28">
        <f t="shared" si="31"/>
        <v>1.7058823529411764</v>
      </c>
      <c r="H999" s="33">
        <f t="shared" si="30"/>
        <v>0.11462450592885376</v>
      </c>
    </row>
    <row r="1000" spans="1:8">
      <c r="A1000" s="27">
        <v>5795</v>
      </c>
      <c r="B1000" s="8" t="s">
        <v>224</v>
      </c>
      <c r="C1000" s="8">
        <v>157</v>
      </c>
      <c r="D1000" s="8">
        <v>754</v>
      </c>
      <c r="E1000" s="8">
        <v>23</v>
      </c>
      <c r="F1000" s="8">
        <v>43</v>
      </c>
      <c r="G1000" s="28">
        <f t="shared" si="31"/>
        <v>32.782608695652172</v>
      </c>
      <c r="H1000" s="33">
        <f t="shared" si="30"/>
        <v>5.5341055341055344E-2</v>
      </c>
    </row>
    <row r="1001" spans="1:8">
      <c r="A1001" s="27">
        <v>5320</v>
      </c>
      <c r="B1001" s="8" t="s">
        <v>201</v>
      </c>
      <c r="C1001" s="8">
        <v>123</v>
      </c>
      <c r="D1001" s="8">
        <v>718</v>
      </c>
      <c r="E1001" s="8">
        <v>25</v>
      </c>
      <c r="F1001" s="8">
        <v>73</v>
      </c>
      <c r="G1001" s="28">
        <f t="shared" si="31"/>
        <v>28.72</v>
      </c>
      <c r="H1001" s="33">
        <f t="shared" si="30"/>
        <v>9.8250336473755043E-2</v>
      </c>
    </row>
    <row r="1002" spans="1:8">
      <c r="A1002" s="27"/>
      <c r="B1002" s="8"/>
      <c r="C1002" s="24">
        <f>AVERAGE(C2:C1001)</f>
        <v>254.51599999999999</v>
      </c>
      <c r="D1002" s="7">
        <f>SUM(D2:D1001)</f>
        <v>515897</v>
      </c>
      <c r="E1002" s="7">
        <f>SUM(E2:E1001)</f>
        <v>99746</v>
      </c>
      <c r="F1002" s="31">
        <f>SUM(F2:F1001)</f>
        <v>51482</v>
      </c>
      <c r="G1002" s="28">
        <f>D1002/E1002</f>
        <v>5.172107152166503</v>
      </c>
      <c r="H1002" s="33">
        <f>F1002/(D1002+E1002)</f>
        <v>8.3623138734623806E-2</v>
      </c>
    </row>
    <row r="1003" spans="1:8" ht="15" thickBot="1">
      <c r="A1003" s="12"/>
      <c r="B1003" s="29"/>
      <c r="C1003" s="30" t="s">
        <v>743</v>
      </c>
      <c r="D1003" s="29"/>
      <c r="E1003" s="29"/>
      <c r="F1003" s="32"/>
      <c r="G1003" s="13"/>
    </row>
  </sheetData>
  <conditionalFormatting sqref="A1:A1001">
    <cfRule type="duplicateValues" dxfId="8" priority="1"/>
    <cfRule type="duplicateValues" dxfId="7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P1001"/>
  <sheetViews>
    <sheetView workbookViewId="0">
      <selection activeCell="I9" sqref="I9"/>
    </sheetView>
    <sheetView topLeftCell="B1" workbookViewId="1">
      <selection activeCell="I63" sqref="I63"/>
    </sheetView>
    <sheetView workbookViewId="2"/>
  </sheetViews>
  <sheetFormatPr defaultRowHeight="14.4"/>
  <cols>
    <col min="1" max="1" width="7.5546875" bestFit="1" customWidth="1"/>
    <col min="2" max="2" width="10.6640625" bestFit="1" customWidth="1"/>
    <col min="3" max="3" width="10" bestFit="1" customWidth="1"/>
    <col min="4" max="4" width="13.6640625" bestFit="1" customWidth="1"/>
    <col min="5" max="5" width="16.77734375" bestFit="1" customWidth="1"/>
    <col min="6" max="6" width="16.33203125" bestFit="1" customWidth="1"/>
    <col min="10" max="10" width="17.5546875" bestFit="1" customWidth="1"/>
    <col min="11" max="17" width="16.109375" bestFit="1" customWidth="1"/>
    <col min="18" max="18" width="10.77734375" bestFit="1" customWidth="1"/>
    <col min="19" max="20" width="16.109375" bestFit="1" customWidth="1"/>
  </cols>
  <sheetData>
    <row r="1" spans="1:16">
      <c r="A1" s="2" t="s">
        <v>0</v>
      </c>
      <c r="B1" s="2" t="s">
        <v>1</v>
      </c>
      <c r="C1" s="2" t="s">
        <v>21</v>
      </c>
      <c r="D1" s="2" t="s">
        <v>6</v>
      </c>
      <c r="E1" s="22" t="s">
        <v>781</v>
      </c>
      <c r="F1" s="2" t="s">
        <v>20</v>
      </c>
      <c r="G1" s="2" t="s">
        <v>22</v>
      </c>
    </row>
    <row r="2" spans="1:16">
      <c r="A2">
        <v>2518</v>
      </c>
      <c r="B2" t="s">
        <v>23</v>
      </c>
      <c r="C2" t="s">
        <v>32</v>
      </c>
      <c r="D2" t="s">
        <v>26</v>
      </c>
      <c r="E2" s="23" t="s">
        <v>758</v>
      </c>
      <c r="F2" t="s">
        <v>31</v>
      </c>
      <c r="G2" t="s">
        <v>33</v>
      </c>
    </row>
    <row r="3" spans="1:16">
      <c r="A3">
        <v>6430</v>
      </c>
      <c r="B3" t="s">
        <v>34</v>
      </c>
      <c r="C3" t="s">
        <v>39</v>
      </c>
      <c r="D3" t="s">
        <v>36</v>
      </c>
      <c r="E3" s="23" t="s">
        <v>754</v>
      </c>
      <c r="F3" t="s">
        <v>38</v>
      </c>
      <c r="G3" t="s">
        <v>40</v>
      </c>
      <c r="J3" s="4" t="s">
        <v>21</v>
      </c>
      <c r="K3" s="4" t="s">
        <v>6</v>
      </c>
      <c r="O3" t="s">
        <v>779</v>
      </c>
      <c r="P3" t="s">
        <v>780</v>
      </c>
    </row>
    <row r="4" spans="1:16">
      <c r="A4">
        <v>1798</v>
      </c>
      <c r="B4" t="s">
        <v>41</v>
      </c>
      <c r="C4" t="s">
        <v>32</v>
      </c>
      <c r="D4" t="s">
        <v>26</v>
      </c>
      <c r="E4" s="23" t="s">
        <v>758</v>
      </c>
      <c r="F4" t="s">
        <v>38</v>
      </c>
      <c r="G4" t="s">
        <v>33</v>
      </c>
      <c r="J4" t="s">
        <v>59</v>
      </c>
      <c r="K4" t="s">
        <v>26</v>
      </c>
      <c r="L4" t="s">
        <v>744</v>
      </c>
      <c r="M4">
        <f>COUNTIF(E:E,L4)</f>
        <v>26</v>
      </c>
      <c r="O4" t="s">
        <v>763</v>
      </c>
      <c r="P4">
        <v>39</v>
      </c>
    </row>
    <row r="5" spans="1:16">
      <c r="A5">
        <v>5255</v>
      </c>
      <c r="B5" t="s">
        <v>46</v>
      </c>
      <c r="C5" t="s">
        <v>39</v>
      </c>
      <c r="D5" t="s">
        <v>48</v>
      </c>
      <c r="E5" s="23" t="s">
        <v>757</v>
      </c>
      <c r="F5" t="s">
        <v>38</v>
      </c>
      <c r="G5" t="s">
        <v>40</v>
      </c>
      <c r="K5" t="s">
        <v>73</v>
      </c>
      <c r="L5" t="s">
        <v>745</v>
      </c>
      <c r="M5">
        <f t="shared" ref="M5:M38" si="0">COUNTIF(E:E,L5)</f>
        <v>23</v>
      </c>
      <c r="O5" t="s">
        <v>746</v>
      </c>
      <c r="P5">
        <v>36</v>
      </c>
    </row>
    <row r="6" spans="1:16">
      <c r="A6">
        <v>2854</v>
      </c>
      <c r="B6" t="s">
        <v>50</v>
      </c>
      <c r="C6" t="s">
        <v>39</v>
      </c>
      <c r="D6" t="s">
        <v>51</v>
      </c>
      <c r="E6" s="23" t="s">
        <v>753</v>
      </c>
      <c r="F6" t="s">
        <v>38</v>
      </c>
      <c r="G6" t="s">
        <v>33</v>
      </c>
      <c r="K6" t="s">
        <v>51</v>
      </c>
      <c r="L6" t="s">
        <v>746</v>
      </c>
      <c r="M6">
        <f t="shared" si="0"/>
        <v>36</v>
      </c>
      <c r="O6" t="s">
        <v>755</v>
      </c>
      <c r="P6">
        <v>36</v>
      </c>
    </row>
    <row r="7" spans="1:16">
      <c r="A7">
        <v>6735</v>
      </c>
      <c r="B7" t="s">
        <v>52</v>
      </c>
      <c r="C7" t="s">
        <v>59</v>
      </c>
      <c r="D7" t="s">
        <v>51</v>
      </c>
      <c r="E7" s="23" t="s">
        <v>746</v>
      </c>
      <c r="F7" t="s">
        <v>58</v>
      </c>
      <c r="G7" t="s">
        <v>60</v>
      </c>
      <c r="K7" t="s">
        <v>36</v>
      </c>
      <c r="L7" t="s">
        <v>747</v>
      </c>
      <c r="M7">
        <f t="shared" si="0"/>
        <v>25</v>
      </c>
      <c r="O7" t="s">
        <v>772</v>
      </c>
      <c r="P7">
        <v>36</v>
      </c>
    </row>
    <row r="8" spans="1:16">
      <c r="A8">
        <v>2995</v>
      </c>
      <c r="B8" t="s">
        <v>61</v>
      </c>
      <c r="C8" t="s">
        <v>32</v>
      </c>
      <c r="D8" t="s">
        <v>63</v>
      </c>
      <c r="E8" s="23" t="s">
        <v>761</v>
      </c>
      <c r="F8" t="s">
        <v>65</v>
      </c>
      <c r="G8" t="s">
        <v>33</v>
      </c>
      <c r="K8" t="s">
        <v>63</v>
      </c>
      <c r="L8" t="s">
        <v>748</v>
      </c>
      <c r="M8">
        <f t="shared" si="0"/>
        <v>23</v>
      </c>
      <c r="O8" t="s">
        <v>761</v>
      </c>
      <c r="P8">
        <v>34</v>
      </c>
    </row>
    <row r="9" spans="1:16">
      <c r="A9">
        <v>5120</v>
      </c>
      <c r="B9" t="s">
        <v>66</v>
      </c>
      <c r="C9" t="s">
        <v>69</v>
      </c>
      <c r="D9" t="s">
        <v>26</v>
      </c>
      <c r="E9" s="23" t="s">
        <v>759</v>
      </c>
      <c r="F9" t="s">
        <v>31</v>
      </c>
      <c r="G9" t="s">
        <v>33</v>
      </c>
      <c r="K9" t="s">
        <v>100</v>
      </c>
      <c r="L9" t="s">
        <v>749</v>
      </c>
      <c r="M9">
        <f t="shared" si="0"/>
        <v>24</v>
      </c>
      <c r="O9" t="s">
        <v>759</v>
      </c>
      <c r="P9">
        <v>34</v>
      </c>
    </row>
    <row r="10" spans="1:16">
      <c r="A10">
        <v>6063</v>
      </c>
      <c r="B10" t="s">
        <v>70</v>
      </c>
      <c r="C10" t="s">
        <v>39</v>
      </c>
      <c r="D10" t="s">
        <v>73</v>
      </c>
      <c r="E10" s="23" t="s">
        <v>752</v>
      </c>
      <c r="F10" t="s">
        <v>76</v>
      </c>
      <c r="G10" t="s">
        <v>33</v>
      </c>
      <c r="K10" t="s">
        <v>48</v>
      </c>
      <c r="L10" t="s">
        <v>750</v>
      </c>
      <c r="M10">
        <f t="shared" si="0"/>
        <v>23</v>
      </c>
      <c r="O10" t="s">
        <v>751</v>
      </c>
      <c r="P10">
        <v>33</v>
      </c>
    </row>
    <row r="11" spans="1:16">
      <c r="A11">
        <v>6896</v>
      </c>
      <c r="B11" t="s">
        <v>77</v>
      </c>
      <c r="C11" t="s">
        <v>79</v>
      </c>
      <c r="D11" t="s">
        <v>51</v>
      </c>
      <c r="E11" s="23" t="s">
        <v>762</v>
      </c>
      <c r="F11" t="s">
        <v>65</v>
      </c>
      <c r="G11" t="s">
        <v>33</v>
      </c>
      <c r="J11" t="s">
        <v>39</v>
      </c>
      <c r="K11" t="s">
        <v>26</v>
      </c>
      <c r="L11" t="s">
        <v>751</v>
      </c>
      <c r="M11">
        <f t="shared" si="0"/>
        <v>33</v>
      </c>
      <c r="O11" t="s">
        <v>758</v>
      </c>
      <c r="P11">
        <v>32</v>
      </c>
    </row>
    <row r="12" spans="1:16">
      <c r="A12">
        <v>8447</v>
      </c>
      <c r="B12" t="s">
        <v>80</v>
      </c>
      <c r="C12" t="s">
        <v>79</v>
      </c>
      <c r="D12" t="s">
        <v>73</v>
      </c>
      <c r="E12" s="23" t="s">
        <v>763</v>
      </c>
      <c r="F12" t="s">
        <v>76</v>
      </c>
      <c r="G12" t="s">
        <v>33</v>
      </c>
      <c r="K12" t="s">
        <v>73</v>
      </c>
      <c r="L12" t="s">
        <v>752</v>
      </c>
      <c r="M12">
        <f t="shared" si="0"/>
        <v>29</v>
      </c>
      <c r="O12" t="s">
        <v>766</v>
      </c>
      <c r="P12">
        <v>32</v>
      </c>
    </row>
    <row r="13" spans="1:16">
      <c r="A13">
        <v>1433</v>
      </c>
      <c r="B13" t="s">
        <v>83</v>
      </c>
      <c r="C13" t="s">
        <v>32</v>
      </c>
      <c r="D13" t="s">
        <v>36</v>
      </c>
      <c r="E13" s="23" t="s">
        <v>764</v>
      </c>
      <c r="F13" t="s">
        <v>65</v>
      </c>
      <c r="G13" t="s">
        <v>33</v>
      </c>
      <c r="K13" t="s">
        <v>51</v>
      </c>
      <c r="L13" t="s">
        <v>753</v>
      </c>
      <c r="M13">
        <f t="shared" si="0"/>
        <v>21</v>
      </c>
      <c r="O13" t="s">
        <v>777</v>
      </c>
      <c r="P13">
        <v>32</v>
      </c>
    </row>
    <row r="14" spans="1:16">
      <c r="A14">
        <v>4511</v>
      </c>
      <c r="B14" t="s">
        <v>85</v>
      </c>
      <c r="C14" t="s">
        <v>69</v>
      </c>
      <c r="D14" t="s">
        <v>36</v>
      </c>
      <c r="E14" s="23" t="s">
        <v>765</v>
      </c>
      <c r="F14" t="s">
        <v>31</v>
      </c>
      <c r="G14" t="s">
        <v>33</v>
      </c>
      <c r="K14" t="s">
        <v>36</v>
      </c>
      <c r="L14" t="s">
        <v>754</v>
      </c>
      <c r="M14">
        <f t="shared" si="0"/>
        <v>31</v>
      </c>
      <c r="O14" t="s">
        <v>767</v>
      </c>
      <c r="P14">
        <v>32</v>
      </c>
    </row>
    <row r="15" spans="1:16">
      <c r="A15">
        <v>9966</v>
      </c>
      <c r="B15" t="s">
        <v>88</v>
      </c>
      <c r="C15" t="s">
        <v>59</v>
      </c>
      <c r="D15" t="s">
        <v>51</v>
      </c>
      <c r="E15" s="23" t="s">
        <v>746</v>
      </c>
      <c r="F15" t="s">
        <v>31</v>
      </c>
      <c r="G15" t="s">
        <v>33</v>
      </c>
      <c r="K15" t="s">
        <v>63</v>
      </c>
      <c r="L15" t="s">
        <v>755</v>
      </c>
      <c r="M15">
        <f t="shared" si="0"/>
        <v>36</v>
      </c>
      <c r="O15" t="s">
        <v>754</v>
      </c>
      <c r="P15">
        <v>31</v>
      </c>
    </row>
    <row r="16" spans="1:16">
      <c r="A16">
        <v>7093</v>
      </c>
      <c r="B16" t="s">
        <v>91</v>
      </c>
      <c r="C16" t="s">
        <v>59</v>
      </c>
      <c r="D16" t="s">
        <v>51</v>
      </c>
      <c r="E16" s="23" t="s">
        <v>746</v>
      </c>
      <c r="F16" t="s">
        <v>38</v>
      </c>
      <c r="G16" t="s">
        <v>93</v>
      </c>
      <c r="K16" t="s">
        <v>100</v>
      </c>
      <c r="L16" t="s">
        <v>756</v>
      </c>
      <c r="M16">
        <f t="shared" si="0"/>
        <v>27</v>
      </c>
      <c r="O16" t="s">
        <v>770</v>
      </c>
      <c r="P16">
        <v>31</v>
      </c>
    </row>
    <row r="17" spans="1:16">
      <c r="A17">
        <v>4351</v>
      </c>
      <c r="B17" t="s">
        <v>94</v>
      </c>
      <c r="C17" t="s">
        <v>32</v>
      </c>
      <c r="D17" t="s">
        <v>63</v>
      </c>
      <c r="E17" s="23" t="s">
        <v>761</v>
      </c>
      <c r="F17" t="s">
        <v>58</v>
      </c>
      <c r="G17" t="s">
        <v>93</v>
      </c>
      <c r="K17" t="s">
        <v>48</v>
      </c>
      <c r="L17" t="s">
        <v>757</v>
      </c>
      <c r="M17">
        <f t="shared" si="0"/>
        <v>23</v>
      </c>
      <c r="O17" t="s">
        <v>765</v>
      </c>
      <c r="P17">
        <v>31</v>
      </c>
    </row>
    <row r="18" spans="1:16">
      <c r="A18">
        <v>6007</v>
      </c>
      <c r="B18" t="s">
        <v>96</v>
      </c>
      <c r="C18" t="s">
        <v>39</v>
      </c>
      <c r="D18" t="s">
        <v>63</v>
      </c>
      <c r="E18" s="23" t="s">
        <v>755</v>
      </c>
      <c r="F18" t="s">
        <v>31</v>
      </c>
      <c r="G18" t="s">
        <v>40</v>
      </c>
      <c r="J18" t="s">
        <v>32</v>
      </c>
      <c r="K18" t="s">
        <v>26</v>
      </c>
      <c r="L18" t="str">
        <f>$J$18&amp;K18</f>
        <v>35-44Action</v>
      </c>
      <c r="M18">
        <f t="shared" si="0"/>
        <v>32</v>
      </c>
      <c r="O18" t="s">
        <v>752</v>
      </c>
      <c r="P18">
        <v>29</v>
      </c>
    </row>
    <row r="19" spans="1:16">
      <c r="A19">
        <v>9710</v>
      </c>
      <c r="B19" t="s">
        <v>98</v>
      </c>
      <c r="C19" t="s">
        <v>32</v>
      </c>
      <c r="D19" t="s">
        <v>100</v>
      </c>
      <c r="E19" s="23" t="s">
        <v>766</v>
      </c>
      <c r="F19" t="s">
        <v>38</v>
      </c>
      <c r="G19" t="s">
        <v>60</v>
      </c>
      <c r="K19" t="s">
        <v>73</v>
      </c>
      <c r="L19" t="str">
        <f t="shared" ref="L19:L24" si="1">$J$18&amp;K19</f>
        <v>35-44Comedy</v>
      </c>
      <c r="M19">
        <f t="shared" si="0"/>
        <v>29</v>
      </c>
      <c r="O19" t="s">
        <v>775</v>
      </c>
      <c r="P19">
        <v>29</v>
      </c>
    </row>
    <row r="20" spans="1:16">
      <c r="A20">
        <v>9034</v>
      </c>
      <c r="B20" t="s">
        <v>101</v>
      </c>
      <c r="C20" t="s">
        <v>59</v>
      </c>
      <c r="D20" t="s">
        <v>73</v>
      </c>
      <c r="E20" s="23" t="s">
        <v>745</v>
      </c>
      <c r="F20" t="s">
        <v>76</v>
      </c>
      <c r="G20" t="s">
        <v>93</v>
      </c>
      <c r="K20" t="s">
        <v>51</v>
      </c>
      <c r="L20" t="str">
        <f t="shared" si="1"/>
        <v>35-44Documentary</v>
      </c>
      <c r="M20">
        <f t="shared" si="0"/>
        <v>22</v>
      </c>
      <c r="O20" t="s">
        <v>762</v>
      </c>
      <c r="P20">
        <v>29</v>
      </c>
    </row>
    <row r="21" spans="1:16">
      <c r="A21">
        <v>6197</v>
      </c>
      <c r="B21" t="s">
        <v>104</v>
      </c>
      <c r="C21" t="s">
        <v>69</v>
      </c>
      <c r="D21" t="s">
        <v>26</v>
      </c>
      <c r="E21" s="23" t="s">
        <v>759</v>
      </c>
      <c r="F21" t="s">
        <v>65</v>
      </c>
      <c r="G21" t="s">
        <v>40</v>
      </c>
      <c r="K21" t="s">
        <v>36</v>
      </c>
      <c r="L21" t="str">
        <f t="shared" si="1"/>
        <v>35-44Drama</v>
      </c>
      <c r="M21">
        <f t="shared" si="0"/>
        <v>27</v>
      </c>
      <c r="O21" t="s">
        <v>776</v>
      </c>
      <c r="P21">
        <v>28</v>
      </c>
    </row>
    <row r="22" spans="1:16">
      <c r="A22">
        <v>2820</v>
      </c>
      <c r="B22" t="s">
        <v>106</v>
      </c>
      <c r="C22" t="s">
        <v>32</v>
      </c>
      <c r="D22" t="s">
        <v>36</v>
      </c>
      <c r="E22" s="23" t="s">
        <v>764</v>
      </c>
      <c r="F22" t="s">
        <v>38</v>
      </c>
      <c r="G22" t="s">
        <v>33</v>
      </c>
      <c r="K22" t="s">
        <v>63</v>
      </c>
      <c r="L22" t="str">
        <f t="shared" si="1"/>
        <v>35-44Horror</v>
      </c>
      <c r="M22">
        <f t="shared" si="0"/>
        <v>34</v>
      </c>
      <c r="O22" t="s">
        <v>756</v>
      </c>
      <c r="P22">
        <v>27</v>
      </c>
    </row>
    <row r="23" spans="1:16">
      <c r="A23">
        <v>1101</v>
      </c>
      <c r="B23" t="s">
        <v>52</v>
      </c>
      <c r="C23" t="s">
        <v>79</v>
      </c>
      <c r="D23" t="s">
        <v>63</v>
      </c>
      <c r="E23" s="23" t="s">
        <v>767</v>
      </c>
      <c r="F23" t="s">
        <v>58</v>
      </c>
      <c r="G23" t="s">
        <v>40</v>
      </c>
      <c r="K23" t="s">
        <v>100</v>
      </c>
      <c r="L23" t="str">
        <f t="shared" si="1"/>
        <v>35-44Romance</v>
      </c>
      <c r="M23">
        <f t="shared" si="0"/>
        <v>32</v>
      </c>
      <c r="O23" t="s">
        <v>764</v>
      </c>
      <c r="P23">
        <v>27</v>
      </c>
    </row>
    <row r="24" spans="1:16">
      <c r="A24">
        <v>1650</v>
      </c>
      <c r="B24" t="s">
        <v>98</v>
      </c>
      <c r="C24" t="s">
        <v>32</v>
      </c>
      <c r="D24" t="s">
        <v>100</v>
      </c>
      <c r="E24" s="23" t="s">
        <v>766</v>
      </c>
      <c r="F24" t="s">
        <v>58</v>
      </c>
      <c r="G24" t="s">
        <v>93</v>
      </c>
      <c r="K24" t="s">
        <v>48</v>
      </c>
      <c r="L24" t="str">
        <f t="shared" si="1"/>
        <v>35-44Sci-Fi</v>
      </c>
      <c r="M24">
        <f t="shared" si="0"/>
        <v>31</v>
      </c>
      <c r="O24" t="s">
        <v>778</v>
      </c>
      <c r="P24">
        <v>27</v>
      </c>
    </row>
    <row r="25" spans="1:16">
      <c r="A25">
        <v>4884</v>
      </c>
      <c r="B25" t="s">
        <v>110</v>
      </c>
      <c r="C25" t="s">
        <v>79</v>
      </c>
      <c r="D25" t="s">
        <v>48</v>
      </c>
      <c r="E25" s="23" t="s">
        <v>768</v>
      </c>
      <c r="F25" t="s">
        <v>65</v>
      </c>
      <c r="G25" t="s">
        <v>40</v>
      </c>
      <c r="J25" t="s">
        <v>69</v>
      </c>
      <c r="K25" t="s">
        <v>26</v>
      </c>
      <c r="L25" t="str">
        <f>$J$25&amp;K25</f>
        <v>45-54Action</v>
      </c>
      <c r="M25">
        <f t="shared" si="0"/>
        <v>34</v>
      </c>
      <c r="O25" t="s">
        <v>769</v>
      </c>
      <c r="P25">
        <v>27</v>
      </c>
    </row>
    <row r="26" spans="1:16">
      <c r="A26">
        <v>8321</v>
      </c>
      <c r="B26" t="s">
        <v>112</v>
      </c>
      <c r="C26" t="s">
        <v>79</v>
      </c>
      <c r="D26" t="s">
        <v>100</v>
      </c>
      <c r="E26" s="23" t="s">
        <v>769</v>
      </c>
      <c r="F26" t="s">
        <v>58</v>
      </c>
      <c r="G26" t="s">
        <v>93</v>
      </c>
      <c r="K26" t="s">
        <v>73</v>
      </c>
      <c r="L26" t="str">
        <f t="shared" ref="L26:L31" si="2">$J$25&amp;K26</f>
        <v>45-54Comedy</v>
      </c>
      <c r="M26">
        <f t="shared" si="0"/>
        <v>26</v>
      </c>
      <c r="O26" t="s">
        <v>744</v>
      </c>
      <c r="P26">
        <v>26</v>
      </c>
    </row>
    <row r="27" spans="1:16">
      <c r="A27">
        <v>2381</v>
      </c>
      <c r="B27" t="s">
        <v>114</v>
      </c>
      <c r="C27" t="s">
        <v>59</v>
      </c>
      <c r="D27" t="s">
        <v>63</v>
      </c>
      <c r="E27" s="23" t="s">
        <v>748</v>
      </c>
      <c r="F27" t="s">
        <v>38</v>
      </c>
      <c r="G27" t="s">
        <v>93</v>
      </c>
      <c r="K27" t="s">
        <v>51</v>
      </c>
      <c r="L27" t="str">
        <f t="shared" si="2"/>
        <v>45-54Documentary</v>
      </c>
      <c r="M27">
        <f t="shared" si="0"/>
        <v>22</v>
      </c>
      <c r="O27" t="s">
        <v>771</v>
      </c>
      <c r="P27">
        <v>26</v>
      </c>
    </row>
    <row r="28" spans="1:16">
      <c r="A28">
        <v>9507</v>
      </c>
      <c r="B28" t="s">
        <v>116</v>
      </c>
      <c r="C28" t="s">
        <v>59</v>
      </c>
      <c r="D28" t="s">
        <v>26</v>
      </c>
      <c r="E28" s="23" t="s">
        <v>744</v>
      </c>
      <c r="F28" t="s">
        <v>58</v>
      </c>
      <c r="G28" t="s">
        <v>93</v>
      </c>
      <c r="K28" t="s">
        <v>36</v>
      </c>
      <c r="L28" t="str">
        <f t="shared" si="2"/>
        <v>45-54Drama</v>
      </c>
      <c r="M28">
        <f t="shared" si="0"/>
        <v>31</v>
      </c>
      <c r="O28" t="s">
        <v>747</v>
      </c>
      <c r="P28">
        <v>25</v>
      </c>
    </row>
    <row r="29" spans="1:16">
      <c r="A29">
        <v>2851</v>
      </c>
      <c r="B29" t="s">
        <v>118</v>
      </c>
      <c r="C29" t="s">
        <v>32</v>
      </c>
      <c r="D29" t="s">
        <v>100</v>
      </c>
      <c r="E29" s="23" t="s">
        <v>766</v>
      </c>
      <c r="F29" t="s">
        <v>76</v>
      </c>
      <c r="G29" t="s">
        <v>40</v>
      </c>
      <c r="K29" t="s">
        <v>63</v>
      </c>
      <c r="L29" t="str">
        <f t="shared" si="2"/>
        <v>45-54Horror</v>
      </c>
      <c r="M29">
        <f t="shared" si="0"/>
        <v>32</v>
      </c>
      <c r="O29" t="s">
        <v>760</v>
      </c>
      <c r="P29">
        <v>25</v>
      </c>
    </row>
    <row r="30" spans="1:16">
      <c r="A30">
        <v>4083</v>
      </c>
      <c r="B30" t="s">
        <v>120</v>
      </c>
      <c r="C30" t="s">
        <v>32</v>
      </c>
      <c r="D30" t="s">
        <v>63</v>
      </c>
      <c r="E30" s="23" t="s">
        <v>761</v>
      </c>
      <c r="F30" t="s">
        <v>65</v>
      </c>
      <c r="G30" t="s">
        <v>93</v>
      </c>
      <c r="K30" t="s">
        <v>100</v>
      </c>
      <c r="L30" t="str">
        <f t="shared" si="2"/>
        <v>45-54Romance</v>
      </c>
      <c r="M30">
        <f t="shared" si="0"/>
        <v>36</v>
      </c>
      <c r="O30" t="s">
        <v>768</v>
      </c>
      <c r="P30">
        <v>25</v>
      </c>
    </row>
    <row r="31" spans="1:16">
      <c r="A31">
        <v>4608</v>
      </c>
      <c r="B31" t="s">
        <v>122</v>
      </c>
      <c r="C31" t="s">
        <v>79</v>
      </c>
      <c r="D31" t="s">
        <v>73</v>
      </c>
      <c r="E31" s="23" t="s">
        <v>763</v>
      </c>
      <c r="F31" t="s">
        <v>38</v>
      </c>
      <c r="G31" t="s">
        <v>33</v>
      </c>
      <c r="K31" t="s">
        <v>48</v>
      </c>
      <c r="L31" t="str">
        <f t="shared" si="2"/>
        <v>45-54Sci-Fi</v>
      </c>
      <c r="M31">
        <f t="shared" si="0"/>
        <v>27</v>
      </c>
      <c r="O31" t="s">
        <v>749</v>
      </c>
      <c r="P31">
        <v>24</v>
      </c>
    </row>
    <row r="32" spans="1:16">
      <c r="A32">
        <v>4815</v>
      </c>
      <c r="B32" t="s">
        <v>124</v>
      </c>
      <c r="C32" t="s">
        <v>79</v>
      </c>
      <c r="D32" t="s">
        <v>51</v>
      </c>
      <c r="E32" s="23" t="s">
        <v>762</v>
      </c>
      <c r="F32" t="s">
        <v>38</v>
      </c>
      <c r="G32" t="s">
        <v>40</v>
      </c>
      <c r="J32" t="s">
        <v>79</v>
      </c>
      <c r="K32" t="s">
        <v>26</v>
      </c>
      <c r="L32" t="str">
        <f>$J$32&amp;K32</f>
        <v>55+Action</v>
      </c>
      <c r="M32">
        <f t="shared" si="0"/>
        <v>25</v>
      </c>
      <c r="O32" t="s">
        <v>745</v>
      </c>
      <c r="P32">
        <v>23</v>
      </c>
    </row>
    <row r="33" spans="1:16">
      <c r="A33">
        <v>9597</v>
      </c>
      <c r="B33" t="s">
        <v>125</v>
      </c>
      <c r="C33" t="s">
        <v>39</v>
      </c>
      <c r="D33" t="s">
        <v>100</v>
      </c>
      <c r="E33" s="23" t="s">
        <v>756</v>
      </c>
      <c r="F33" t="s">
        <v>31</v>
      </c>
      <c r="G33" t="s">
        <v>93</v>
      </c>
      <c r="K33" t="s">
        <v>73</v>
      </c>
      <c r="L33" t="str">
        <f t="shared" ref="L33:L38" si="3">$J$32&amp;K33</f>
        <v>55+Comedy</v>
      </c>
      <c r="M33">
        <f t="shared" si="0"/>
        <v>39</v>
      </c>
      <c r="O33" t="s">
        <v>748</v>
      </c>
      <c r="P33">
        <v>23</v>
      </c>
    </row>
    <row r="34" spans="1:16">
      <c r="A34">
        <v>6566</v>
      </c>
      <c r="B34" t="s">
        <v>126</v>
      </c>
      <c r="C34" t="s">
        <v>39</v>
      </c>
      <c r="D34" t="s">
        <v>63</v>
      </c>
      <c r="E34" s="23" t="s">
        <v>755</v>
      </c>
      <c r="F34" t="s">
        <v>65</v>
      </c>
      <c r="G34" t="s">
        <v>40</v>
      </c>
      <c r="K34" t="s">
        <v>51</v>
      </c>
      <c r="L34" t="str">
        <f t="shared" si="3"/>
        <v>55+Documentary</v>
      </c>
      <c r="M34">
        <f t="shared" si="0"/>
        <v>29</v>
      </c>
      <c r="O34" t="s">
        <v>750</v>
      </c>
      <c r="P34">
        <v>23</v>
      </c>
    </row>
    <row r="35" spans="1:16">
      <c r="A35">
        <v>1419</v>
      </c>
      <c r="B35" t="s">
        <v>128</v>
      </c>
      <c r="C35" t="s">
        <v>39</v>
      </c>
      <c r="D35" t="s">
        <v>48</v>
      </c>
      <c r="E35" s="23" t="s">
        <v>757</v>
      </c>
      <c r="F35" t="s">
        <v>31</v>
      </c>
      <c r="G35" t="s">
        <v>40</v>
      </c>
      <c r="K35" t="s">
        <v>36</v>
      </c>
      <c r="L35" t="str">
        <f t="shared" si="3"/>
        <v>55+Drama</v>
      </c>
      <c r="M35">
        <f t="shared" si="0"/>
        <v>28</v>
      </c>
      <c r="O35" t="s">
        <v>757</v>
      </c>
      <c r="P35">
        <v>23</v>
      </c>
    </row>
    <row r="36" spans="1:16">
      <c r="A36">
        <v>9470</v>
      </c>
      <c r="B36" t="s">
        <v>130</v>
      </c>
      <c r="C36" t="s">
        <v>59</v>
      </c>
      <c r="D36" t="s">
        <v>63</v>
      </c>
      <c r="E36" s="23" t="s">
        <v>748</v>
      </c>
      <c r="F36" t="s">
        <v>58</v>
      </c>
      <c r="G36" t="s">
        <v>33</v>
      </c>
      <c r="K36" t="s">
        <v>63</v>
      </c>
      <c r="L36" t="str">
        <f t="shared" si="3"/>
        <v>55+Horror</v>
      </c>
      <c r="M36">
        <f t="shared" si="0"/>
        <v>32</v>
      </c>
      <c r="O36" t="s">
        <v>773</v>
      </c>
      <c r="P36">
        <v>22</v>
      </c>
    </row>
    <row r="37" spans="1:16">
      <c r="A37">
        <v>4989</v>
      </c>
      <c r="B37" t="s">
        <v>132</v>
      </c>
      <c r="C37" t="s">
        <v>79</v>
      </c>
      <c r="D37" t="s">
        <v>73</v>
      </c>
      <c r="E37" s="23" t="s">
        <v>763</v>
      </c>
      <c r="F37" t="s">
        <v>58</v>
      </c>
      <c r="G37" t="s">
        <v>60</v>
      </c>
      <c r="K37" t="s">
        <v>100</v>
      </c>
      <c r="L37" t="str">
        <f t="shared" si="3"/>
        <v>55+Romance</v>
      </c>
      <c r="M37">
        <f t="shared" si="0"/>
        <v>27</v>
      </c>
      <c r="O37" t="s">
        <v>774</v>
      </c>
      <c r="P37">
        <v>22</v>
      </c>
    </row>
    <row r="38" spans="1:16">
      <c r="A38">
        <v>9389</v>
      </c>
      <c r="B38" t="s">
        <v>133</v>
      </c>
      <c r="C38" t="s">
        <v>32</v>
      </c>
      <c r="D38" t="s">
        <v>48</v>
      </c>
      <c r="E38" s="23" t="s">
        <v>770</v>
      </c>
      <c r="F38" t="s">
        <v>31</v>
      </c>
      <c r="G38" t="s">
        <v>40</v>
      </c>
      <c r="K38" t="s">
        <v>48</v>
      </c>
      <c r="L38" t="str">
        <f t="shared" si="3"/>
        <v>55+Sci-Fi</v>
      </c>
      <c r="M38">
        <f t="shared" si="0"/>
        <v>25</v>
      </c>
      <c r="O38" t="s">
        <v>753</v>
      </c>
      <c r="P38">
        <v>21</v>
      </c>
    </row>
    <row r="39" spans="1:16">
      <c r="A39">
        <v>7728</v>
      </c>
      <c r="B39" t="s">
        <v>135</v>
      </c>
      <c r="C39" t="s">
        <v>39</v>
      </c>
      <c r="D39" t="s">
        <v>100</v>
      </c>
      <c r="E39" s="23" t="s">
        <v>756</v>
      </c>
      <c r="F39" t="s">
        <v>31</v>
      </c>
      <c r="G39" t="s">
        <v>60</v>
      </c>
      <c r="J39" t="s">
        <v>737</v>
      </c>
    </row>
    <row r="40" spans="1:16">
      <c r="A40">
        <v>7943</v>
      </c>
      <c r="B40" t="s">
        <v>137</v>
      </c>
      <c r="C40" t="s">
        <v>59</v>
      </c>
      <c r="D40" t="s">
        <v>51</v>
      </c>
      <c r="E40" s="23" t="s">
        <v>746</v>
      </c>
      <c r="F40" t="s">
        <v>38</v>
      </c>
      <c r="G40" t="s">
        <v>33</v>
      </c>
    </row>
    <row r="41" spans="1:16">
      <c r="A41">
        <v>2490</v>
      </c>
      <c r="B41" t="s">
        <v>138</v>
      </c>
      <c r="C41" t="s">
        <v>32</v>
      </c>
      <c r="D41" t="s">
        <v>48</v>
      </c>
      <c r="E41" s="23" t="s">
        <v>770</v>
      </c>
      <c r="F41" t="s">
        <v>31</v>
      </c>
      <c r="G41" t="s">
        <v>33</v>
      </c>
    </row>
    <row r="42" spans="1:16">
      <c r="A42">
        <v>5042</v>
      </c>
      <c r="B42" t="s">
        <v>140</v>
      </c>
      <c r="C42" t="s">
        <v>32</v>
      </c>
      <c r="D42" t="s">
        <v>100</v>
      </c>
      <c r="E42" s="23" t="s">
        <v>766</v>
      </c>
      <c r="F42" t="s">
        <v>58</v>
      </c>
      <c r="G42" t="s">
        <v>40</v>
      </c>
      <c r="J42" s="36" t="s">
        <v>782</v>
      </c>
      <c r="K42" s="34" t="s">
        <v>783</v>
      </c>
    </row>
    <row r="43" spans="1:16">
      <c r="A43">
        <v>3620</v>
      </c>
      <c r="B43" t="s">
        <v>142</v>
      </c>
      <c r="C43" t="s">
        <v>69</v>
      </c>
      <c r="D43" t="s">
        <v>73</v>
      </c>
      <c r="E43" s="23" t="s">
        <v>771</v>
      </c>
      <c r="F43" t="s">
        <v>65</v>
      </c>
      <c r="G43" t="s">
        <v>93</v>
      </c>
      <c r="J43" s="6" t="s">
        <v>76</v>
      </c>
      <c r="K43" s="35">
        <f>COUNTIF(F:F,J43)</f>
        <v>215</v>
      </c>
    </row>
    <row r="44" spans="1:16">
      <c r="A44">
        <v>8976</v>
      </c>
      <c r="B44" t="s">
        <v>143</v>
      </c>
      <c r="C44" t="s">
        <v>69</v>
      </c>
      <c r="D44" t="s">
        <v>100</v>
      </c>
      <c r="E44" s="23" t="s">
        <v>772</v>
      </c>
      <c r="F44" t="s">
        <v>76</v>
      </c>
      <c r="G44" t="s">
        <v>93</v>
      </c>
      <c r="J44" s="6" t="s">
        <v>31</v>
      </c>
      <c r="K44" s="35">
        <f>COUNTIF(F:F,J44)</f>
        <v>209</v>
      </c>
    </row>
    <row r="45" spans="1:16">
      <c r="A45">
        <v>1570</v>
      </c>
      <c r="B45" t="s">
        <v>138</v>
      </c>
      <c r="C45" t="s">
        <v>59</v>
      </c>
      <c r="D45" t="s">
        <v>100</v>
      </c>
      <c r="E45" s="23" t="s">
        <v>749</v>
      </c>
      <c r="F45" t="s">
        <v>31</v>
      </c>
      <c r="G45" t="s">
        <v>60</v>
      </c>
      <c r="J45" s="6" t="s">
        <v>58</v>
      </c>
      <c r="K45" s="35">
        <f>COUNTIF(F:F,J45)</f>
        <v>209</v>
      </c>
    </row>
    <row r="46" spans="1:16">
      <c r="A46">
        <v>7709</v>
      </c>
      <c r="B46" t="s">
        <v>146</v>
      </c>
      <c r="C46" t="s">
        <v>39</v>
      </c>
      <c r="D46" t="s">
        <v>48</v>
      </c>
      <c r="E46" s="23" t="s">
        <v>757</v>
      </c>
      <c r="F46" t="s">
        <v>76</v>
      </c>
      <c r="G46" t="s">
        <v>40</v>
      </c>
      <c r="J46" s="6" t="s">
        <v>38</v>
      </c>
      <c r="K46" s="35">
        <f>COUNTIF(F:F,J46)</f>
        <v>189</v>
      </c>
    </row>
    <row r="47" spans="1:16">
      <c r="A47">
        <v>9503</v>
      </c>
      <c r="B47" t="s">
        <v>147</v>
      </c>
      <c r="C47" t="s">
        <v>32</v>
      </c>
      <c r="D47" t="s">
        <v>51</v>
      </c>
      <c r="E47" s="23" t="s">
        <v>773</v>
      </c>
      <c r="F47" t="s">
        <v>65</v>
      </c>
      <c r="G47" t="s">
        <v>33</v>
      </c>
      <c r="J47" s="6" t="s">
        <v>65</v>
      </c>
      <c r="K47" s="35">
        <f>COUNTIF(F:F,J47)</f>
        <v>178</v>
      </c>
    </row>
    <row r="48" spans="1:16">
      <c r="A48">
        <v>9564</v>
      </c>
      <c r="B48" t="s">
        <v>148</v>
      </c>
      <c r="C48" t="s">
        <v>69</v>
      </c>
      <c r="D48" t="s">
        <v>73</v>
      </c>
      <c r="E48" s="23" t="s">
        <v>771</v>
      </c>
      <c r="F48" t="s">
        <v>65</v>
      </c>
      <c r="G48" t="s">
        <v>93</v>
      </c>
    </row>
    <row r="49" spans="1:11">
      <c r="A49">
        <v>8934</v>
      </c>
      <c r="B49" t="s">
        <v>150</v>
      </c>
      <c r="C49" t="s">
        <v>59</v>
      </c>
      <c r="D49" t="s">
        <v>36</v>
      </c>
      <c r="E49" s="23" t="s">
        <v>747</v>
      </c>
      <c r="F49" t="s">
        <v>38</v>
      </c>
      <c r="G49" t="s">
        <v>40</v>
      </c>
    </row>
    <row r="50" spans="1:11">
      <c r="A50">
        <v>1222</v>
      </c>
      <c r="B50" t="s">
        <v>152</v>
      </c>
      <c r="C50" t="s">
        <v>32</v>
      </c>
      <c r="D50" t="s">
        <v>100</v>
      </c>
      <c r="E50" s="23" t="s">
        <v>766</v>
      </c>
      <c r="F50" t="s">
        <v>58</v>
      </c>
      <c r="G50" t="s">
        <v>60</v>
      </c>
      <c r="J50" s="36" t="s">
        <v>784</v>
      </c>
      <c r="K50" s="34" t="s">
        <v>785</v>
      </c>
    </row>
    <row r="51" spans="1:11">
      <c r="A51">
        <v>5762</v>
      </c>
      <c r="B51" t="s">
        <v>153</v>
      </c>
      <c r="C51" t="s">
        <v>69</v>
      </c>
      <c r="D51" t="s">
        <v>73</v>
      </c>
      <c r="E51" s="23" t="s">
        <v>771</v>
      </c>
      <c r="F51" t="s">
        <v>65</v>
      </c>
      <c r="G51" t="s">
        <v>60</v>
      </c>
      <c r="J51" s="6" t="s">
        <v>33</v>
      </c>
      <c r="K51" s="35">
        <f>COUNTIF(G:G,J51)</f>
        <v>271</v>
      </c>
    </row>
    <row r="52" spans="1:11">
      <c r="A52">
        <v>4066</v>
      </c>
      <c r="B52" t="s">
        <v>143</v>
      </c>
      <c r="C52" t="s">
        <v>59</v>
      </c>
      <c r="D52" t="s">
        <v>48</v>
      </c>
      <c r="E52" s="23" t="s">
        <v>750</v>
      </c>
      <c r="F52" t="s">
        <v>65</v>
      </c>
      <c r="G52" t="s">
        <v>60</v>
      </c>
      <c r="J52" s="6" t="s">
        <v>40</v>
      </c>
      <c r="K52" s="35">
        <f>COUNTIF(G:G,J52)</f>
        <v>256</v>
      </c>
    </row>
    <row r="53" spans="1:11">
      <c r="A53">
        <v>6469</v>
      </c>
      <c r="B53" t="s">
        <v>98</v>
      </c>
      <c r="C53" t="s">
        <v>59</v>
      </c>
      <c r="D53" t="s">
        <v>51</v>
      </c>
      <c r="E53" s="23" t="s">
        <v>746</v>
      </c>
      <c r="F53" t="s">
        <v>65</v>
      </c>
      <c r="G53" t="s">
        <v>33</v>
      </c>
      <c r="J53" s="6" t="s">
        <v>93</v>
      </c>
      <c r="K53" s="35">
        <f>COUNTIF(G:G,J53)</f>
        <v>251</v>
      </c>
    </row>
    <row r="54" spans="1:11">
      <c r="A54">
        <v>1364</v>
      </c>
      <c r="B54" t="s">
        <v>157</v>
      </c>
      <c r="C54" t="s">
        <v>32</v>
      </c>
      <c r="D54" t="s">
        <v>63</v>
      </c>
      <c r="E54" s="23" t="s">
        <v>761</v>
      </c>
      <c r="F54" t="s">
        <v>65</v>
      </c>
      <c r="G54" t="s">
        <v>33</v>
      </c>
      <c r="J54" s="6" t="s">
        <v>60</v>
      </c>
      <c r="K54" s="35">
        <f>COUNTIF(G:G,J54)</f>
        <v>222</v>
      </c>
    </row>
    <row r="55" spans="1:11">
      <c r="A55">
        <v>4197</v>
      </c>
      <c r="B55" t="s">
        <v>143</v>
      </c>
      <c r="C55" t="s">
        <v>69</v>
      </c>
      <c r="D55" t="s">
        <v>100</v>
      </c>
      <c r="E55" s="23" t="s">
        <v>772</v>
      </c>
      <c r="F55" t="s">
        <v>38</v>
      </c>
      <c r="G55" t="s">
        <v>60</v>
      </c>
    </row>
    <row r="56" spans="1:11">
      <c r="A56">
        <v>9700</v>
      </c>
      <c r="B56" t="s">
        <v>160</v>
      </c>
      <c r="C56" t="s">
        <v>69</v>
      </c>
      <c r="D56" t="s">
        <v>51</v>
      </c>
      <c r="E56" s="23" t="s">
        <v>774</v>
      </c>
      <c r="F56" t="s">
        <v>65</v>
      </c>
      <c r="G56" t="s">
        <v>93</v>
      </c>
    </row>
    <row r="57" spans="1:11">
      <c r="A57">
        <v>5644</v>
      </c>
      <c r="B57" t="s">
        <v>126</v>
      </c>
      <c r="C57" t="s">
        <v>59</v>
      </c>
      <c r="D57" t="s">
        <v>73</v>
      </c>
      <c r="E57" s="23" t="s">
        <v>745</v>
      </c>
      <c r="F57" t="s">
        <v>76</v>
      </c>
      <c r="G57" t="s">
        <v>93</v>
      </c>
    </row>
    <row r="58" spans="1:11">
      <c r="A58">
        <v>5420</v>
      </c>
      <c r="B58" t="s">
        <v>162</v>
      </c>
      <c r="C58" t="s">
        <v>69</v>
      </c>
      <c r="D58" t="s">
        <v>36</v>
      </c>
      <c r="E58" s="23" t="s">
        <v>765</v>
      </c>
      <c r="F58" t="s">
        <v>31</v>
      </c>
      <c r="G58" t="s">
        <v>33</v>
      </c>
    </row>
    <row r="59" spans="1:11">
      <c r="A59">
        <v>7560</v>
      </c>
      <c r="B59" t="s">
        <v>164</v>
      </c>
      <c r="C59" t="s">
        <v>79</v>
      </c>
      <c r="D59" t="s">
        <v>63</v>
      </c>
      <c r="E59" s="23" t="s">
        <v>767</v>
      </c>
      <c r="F59" t="s">
        <v>31</v>
      </c>
      <c r="G59" t="s">
        <v>60</v>
      </c>
    </row>
    <row r="60" spans="1:11">
      <c r="A60">
        <v>9644</v>
      </c>
      <c r="B60" t="s">
        <v>106</v>
      </c>
      <c r="C60" t="s">
        <v>59</v>
      </c>
      <c r="D60" t="s">
        <v>73</v>
      </c>
      <c r="E60" s="23" t="s">
        <v>745</v>
      </c>
      <c r="F60" t="s">
        <v>38</v>
      </c>
      <c r="G60" t="s">
        <v>60</v>
      </c>
    </row>
    <row r="61" spans="1:11">
      <c r="A61">
        <v>7239</v>
      </c>
      <c r="B61" t="s">
        <v>166</v>
      </c>
      <c r="C61" t="s">
        <v>39</v>
      </c>
      <c r="D61" t="s">
        <v>26</v>
      </c>
      <c r="E61" s="23" t="s">
        <v>751</v>
      </c>
      <c r="F61" t="s">
        <v>65</v>
      </c>
      <c r="G61" t="s">
        <v>93</v>
      </c>
    </row>
    <row r="62" spans="1:11">
      <c r="A62">
        <v>6415</v>
      </c>
      <c r="B62" t="s">
        <v>169</v>
      </c>
      <c r="C62" t="s">
        <v>32</v>
      </c>
      <c r="D62" t="s">
        <v>26</v>
      </c>
      <c r="E62" s="23" t="s">
        <v>758</v>
      </c>
      <c r="F62" t="s">
        <v>31</v>
      </c>
      <c r="G62" t="s">
        <v>93</v>
      </c>
    </row>
    <row r="63" spans="1:11">
      <c r="A63">
        <v>9020</v>
      </c>
      <c r="B63" t="s">
        <v>170</v>
      </c>
      <c r="C63" t="s">
        <v>39</v>
      </c>
      <c r="D63" t="s">
        <v>63</v>
      </c>
      <c r="E63" s="23" t="s">
        <v>755</v>
      </c>
      <c r="F63" t="s">
        <v>58</v>
      </c>
      <c r="G63" t="s">
        <v>60</v>
      </c>
    </row>
    <row r="64" spans="1:11">
      <c r="A64">
        <v>2324</v>
      </c>
      <c r="B64" t="s">
        <v>171</v>
      </c>
      <c r="C64" t="s">
        <v>32</v>
      </c>
      <c r="D64" t="s">
        <v>73</v>
      </c>
      <c r="E64" s="23" t="s">
        <v>775</v>
      </c>
      <c r="F64" t="s">
        <v>76</v>
      </c>
      <c r="G64" t="s">
        <v>33</v>
      </c>
    </row>
    <row r="65" spans="1:7">
      <c r="A65">
        <v>1354</v>
      </c>
      <c r="B65" t="s">
        <v>172</v>
      </c>
      <c r="C65" t="s">
        <v>59</v>
      </c>
      <c r="D65" t="s">
        <v>48</v>
      </c>
      <c r="E65" s="23" t="s">
        <v>750</v>
      </c>
      <c r="F65" t="s">
        <v>76</v>
      </c>
      <c r="G65" t="s">
        <v>93</v>
      </c>
    </row>
    <row r="66" spans="1:7">
      <c r="A66">
        <v>4019</v>
      </c>
      <c r="B66" t="s">
        <v>174</v>
      </c>
      <c r="C66" t="s">
        <v>79</v>
      </c>
      <c r="D66" t="s">
        <v>51</v>
      </c>
      <c r="E66" s="23" t="s">
        <v>762</v>
      </c>
      <c r="F66" t="s">
        <v>58</v>
      </c>
      <c r="G66" t="s">
        <v>93</v>
      </c>
    </row>
    <row r="67" spans="1:7">
      <c r="A67">
        <v>6178</v>
      </c>
      <c r="B67" t="s">
        <v>176</v>
      </c>
      <c r="C67" t="s">
        <v>59</v>
      </c>
      <c r="D67" t="s">
        <v>51</v>
      </c>
      <c r="E67" s="23" t="s">
        <v>746</v>
      </c>
      <c r="F67" t="s">
        <v>31</v>
      </c>
      <c r="G67" t="s">
        <v>60</v>
      </c>
    </row>
    <row r="68" spans="1:7">
      <c r="A68">
        <v>8673</v>
      </c>
      <c r="B68" t="s">
        <v>135</v>
      </c>
      <c r="C68" t="s">
        <v>79</v>
      </c>
      <c r="D68" t="s">
        <v>26</v>
      </c>
      <c r="E68" s="23" t="s">
        <v>760</v>
      </c>
      <c r="F68" t="s">
        <v>58</v>
      </c>
      <c r="G68" t="s">
        <v>60</v>
      </c>
    </row>
    <row r="69" spans="1:7">
      <c r="A69">
        <v>8250</v>
      </c>
      <c r="B69" t="s">
        <v>177</v>
      </c>
      <c r="C69" t="s">
        <v>32</v>
      </c>
      <c r="D69" t="s">
        <v>51</v>
      </c>
      <c r="E69" s="23" t="s">
        <v>773</v>
      </c>
      <c r="F69" t="s">
        <v>76</v>
      </c>
      <c r="G69" t="s">
        <v>93</v>
      </c>
    </row>
    <row r="70" spans="1:7">
      <c r="A70">
        <v>1609</v>
      </c>
      <c r="B70" t="s">
        <v>179</v>
      </c>
      <c r="C70" t="s">
        <v>79</v>
      </c>
      <c r="D70" t="s">
        <v>63</v>
      </c>
      <c r="E70" s="23" t="s">
        <v>767</v>
      </c>
      <c r="F70" t="s">
        <v>58</v>
      </c>
      <c r="G70" t="s">
        <v>60</v>
      </c>
    </row>
    <row r="71" spans="1:7">
      <c r="A71">
        <v>3806</v>
      </c>
      <c r="B71" t="s">
        <v>181</v>
      </c>
      <c r="C71" t="s">
        <v>79</v>
      </c>
      <c r="D71" t="s">
        <v>51</v>
      </c>
      <c r="E71" s="23" t="s">
        <v>762</v>
      </c>
      <c r="F71" t="s">
        <v>76</v>
      </c>
      <c r="G71" t="s">
        <v>60</v>
      </c>
    </row>
    <row r="72" spans="1:7">
      <c r="A72">
        <v>7973</v>
      </c>
      <c r="B72" t="s">
        <v>183</v>
      </c>
      <c r="C72" t="s">
        <v>79</v>
      </c>
      <c r="D72" t="s">
        <v>100</v>
      </c>
      <c r="E72" s="23" t="s">
        <v>769</v>
      </c>
      <c r="F72" t="s">
        <v>58</v>
      </c>
      <c r="G72" t="s">
        <v>40</v>
      </c>
    </row>
    <row r="73" spans="1:7">
      <c r="A73">
        <v>7948</v>
      </c>
      <c r="B73" t="s">
        <v>184</v>
      </c>
      <c r="C73" t="s">
        <v>32</v>
      </c>
      <c r="D73" t="s">
        <v>48</v>
      </c>
      <c r="E73" s="23" t="s">
        <v>770</v>
      </c>
      <c r="F73" t="s">
        <v>65</v>
      </c>
      <c r="G73" t="s">
        <v>93</v>
      </c>
    </row>
    <row r="74" spans="1:7">
      <c r="A74">
        <v>3195</v>
      </c>
      <c r="B74" t="s">
        <v>186</v>
      </c>
      <c r="C74" t="s">
        <v>32</v>
      </c>
      <c r="D74" t="s">
        <v>26</v>
      </c>
      <c r="E74" s="23" t="s">
        <v>758</v>
      </c>
      <c r="F74" t="s">
        <v>31</v>
      </c>
      <c r="G74" t="s">
        <v>60</v>
      </c>
    </row>
    <row r="75" spans="1:7">
      <c r="A75">
        <v>6285</v>
      </c>
      <c r="B75" t="s">
        <v>188</v>
      </c>
      <c r="C75" t="s">
        <v>32</v>
      </c>
      <c r="D75" t="s">
        <v>51</v>
      </c>
      <c r="E75" s="23" t="s">
        <v>773</v>
      </c>
      <c r="F75" t="s">
        <v>58</v>
      </c>
      <c r="G75" t="s">
        <v>40</v>
      </c>
    </row>
    <row r="76" spans="1:7">
      <c r="A76">
        <v>4303</v>
      </c>
      <c r="B76" t="s">
        <v>179</v>
      </c>
      <c r="C76" t="s">
        <v>79</v>
      </c>
      <c r="D76" t="s">
        <v>73</v>
      </c>
      <c r="E76" s="23" t="s">
        <v>763</v>
      </c>
      <c r="F76" t="s">
        <v>58</v>
      </c>
      <c r="G76" t="s">
        <v>40</v>
      </c>
    </row>
    <row r="77" spans="1:7">
      <c r="A77">
        <v>7751</v>
      </c>
      <c r="B77" t="s">
        <v>190</v>
      </c>
      <c r="C77" t="s">
        <v>79</v>
      </c>
      <c r="D77" t="s">
        <v>48</v>
      </c>
      <c r="E77" s="23" t="s">
        <v>768</v>
      </c>
      <c r="F77" t="s">
        <v>31</v>
      </c>
      <c r="G77" t="s">
        <v>40</v>
      </c>
    </row>
    <row r="78" spans="1:7">
      <c r="A78">
        <v>7813</v>
      </c>
      <c r="B78" t="s">
        <v>191</v>
      </c>
      <c r="C78" t="s">
        <v>79</v>
      </c>
      <c r="D78" t="s">
        <v>36</v>
      </c>
      <c r="E78" s="23" t="s">
        <v>776</v>
      </c>
      <c r="F78" t="s">
        <v>58</v>
      </c>
      <c r="G78" t="s">
        <v>40</v>
      </c>
    </row>
    <row r="79" spans="1:7">
      <c r="A79">
        <v>9028</v>
      </c>
      <c r="B79" t="s">
        <v>193</v>
      </c>
      <c r="C79" t="s">
        <v>39</v>
      </c>
      <c r="D79" t="s">
        <v>26</v>
      </c>
      <c r="E79" s="23" t="s">
        <v>751</v>
      </c>
      <c r="F79" t="s">
        <v>31</v>
      </c>
      <c r="G79" t="s">
        <v>33</v>
      </c>
    </row>
    <row r="80" spans="1:7">
      <c r="A80">
        <v>6109</v>
      </c>
      <c r="B80" t="s">
        <v>194</v>
      </c>
      <c r="C80" t="s">
        <v>59</v>
      </c>
      <c r="D80" t="s">
        <v>100</v>
      </c>
      <c r="E80" s="23" t="s">
        <v>749</v>
      </c>
      <c r="F80" t="s">
        <v>76</v>
      </c>
      <c r="G80" t="s">
        <v>33</v>
      </c>
    </row>
    <row r="81" spans="1:7">
      <c r="A81">
        <v>2565</v>
      </c>
      <c r="B81" t="s">
        <v>196</v>
      </c>
      <c r="C81" t="s">
        <v>79</v>
      </c>
      <c r="D81" t="s">
        <v>73</v>
      </c>
      <c r="E81" s="23" t="s">
        <v>763</v>
      </c>
      <c r="F81" t="s">
        <v>76</v>
      </c>
      <c r="G81" t="s">
        <v>33</v>
      </c>
    </row>
    <row r="82" spans="1:7">
      <c r="A82">
        <v>7551</v>
      </c>
      <c r="B82" t="s">
        <v>197</v>
      </c>
      <c r="C82" t="s">
        <v>39</v>
      </c>
      <c r="D82" t="s">
        <v>36</v>
      </c>
      <c r="E82" s="23" t="s">
        <v>754</v>
      </c>
      <c r="F82" t="s">
        <v>31</v>
      </c>
      <c r="G82" t="s">
        <v>40</v>
      </c>
    </row>
    <row r="83" spans="1:7">
      <c r="A83">
        <v>6398</v>
      </c>
      <c r="B83" t="s">
        <v>199</v>
      </c>
      <c r="C83" t="s">
        <v>69</v>
      </c>
      <c r="D83" t="s">
        <v>100</v>
      </c>
      <c r="E83" s="23" t="s">
        <v>772</v>
      </c>
      <c r="F83" t="s">
        <v>58</v>
      </c>
      <c r="G83" t="s">
        <v>33</v>
      </c>
    </row>
    <row r="84" spans="1:7">
      <c r="A84">
        <v>4982</v>
      </c>
      <c r="B84" t="s">
        <v>201</v>
      </c>
      <c r="C84" t="s">
        <v>39</v>
      </c>
      <c r="D84" t="s">
        <v>36</v>
      </c>
      <c r="E84" s="23" t="s">
        <v>754</v>
      </c>
      <c r="F84" t="s">
        <v>76</v>
      </c>
      <c r="G84" t="s">
        <v>93</v>
      </c>
    </row>
    <row r="85" spans="1:7">
      <c r="A85">
        <v>8108</v>
      </c>
      <c r="B85" t="s">
        <v>202</v>
      </c>
      <c r="C85" t="s">
        <v>59</v>
      </c>
      <c r="D85" t="s">
        <v>73</v>
      </c>
      <c r="E85" s="23" t="s">
        <v>745</v>
      </c>
      <c r="F85" t="s">
        <v>31</v>
      </c>
      <c r="G85" t="s">
        <v>40</v>
      </c>
    </row>
    <row r="86" spans="1:7">
      <c r="A86">
        <v>6779</v>
      </c>
      <c r="B86" t="s">
        <v>204</v>
      </c>
      <c r="C86" t="s">
        <v>69</v>
      </c>
      <c r="D86" t="s">
        <v>100</v>
      </c>
      <c r="E86" s="23" t="s">
        <v>772</v>
      </c>
      <c r="F86" t="s">
        <v>31</v>
      </c>
      <c r="G86" t="s">
        <v>93</v>
      </c>
    </row>
    <row r="87" spans="1:7">
      <c r="A87">
        <v>1169</v>
      </c>
      <c r="B87" t="s">
        <v>157</v>
      </c>
      <c r="C87" t="s">
        <v>59</v>
      </c>
      <c r="D87" t="s">
        <v>36</v>
      </c>
      <c r="E87" s="23" t="s">
        <v>747</v>
      </c>
      <c r="F87" t="s">
        <v>65</v>
      </c>
      <c r="G87" t="s">
        <v>60</v>
      </c>
    </row>
    <row r="88" spans="1:7">
      <c r="A88">
        <v>5067</v>
      </c>
      <c r="B88" t="s">
        <v>207</v>
      </c>
      <c r="C88" t="s">
        <v>79</v>
      </c>
      <c r="D88" t="s">
        <v>51</v>
      </c>
      <c r="E88" s="23" t="s">
        <v>762</v>
      </c>
      <c r="F88" t="s">
        <v>31</v>
      </c>
      <c r="G88" t="s">
        <v>93</v>
      </c>
    </row>
    <row r="89" spans="1:7">
      <c r="A89">
        <v>5299</v>
      </c>
      <c r="B89" t="s">
        <v>209</v>
      </c>
      <c r="C89" t="s">
        <v>32</v>
      </c>
      <c r="D89" t="s">
        <v>73</v>
      </c>
      <c r="E89" s="23" t="s">
        <v>775</v>
      </c>
      <c r="F89" t="s">
        <v>76</v>
      </c>
      <c r="G89" t="s">
        <v>60</v>
      </c>
    </row>
    <row r="90" spans="1:7">
      <c r="A90">
        <v>3978</v>
      </c>
      <c r="B90" t="s">
        <v>143</v>
      </c>
      <c r="C90" t="s">
        <v>69</v>
      </c>
      <c r="D90" t="s">
        <v>36</v>
      </c>
      <c r="E90" s="23" t="s">
        <v>765</v>
      </c>
      <c r="F90" t="s">
        <v>76</v>
      </c>
      <c r="G90" t="s">
        <v>93</v>
      </c>
    </row>
    <row r="91" spans="1:7">
      <c r="A91">
        <v>8634</v>
      </c>
      <c r="B91" t="s">
        <v>211</v>
      </c>
      <c r="C91" t="s">
        <v>79</v>
      </c>
      <c r="D91" t="s">
        <v>36</v>
      </c>
      <c r="E91" s="23" t="s">
        <v>776</v>
      </c>
      <c r="F91" t="s">
        <v>76</v>
      </c>
      <c r="G91" t="s">
        <v>33</v>
      </c>
    </row>
    <row r="92" spans="1:7">
      <c r="A92">
        <v>9635</v>
      </c>
      <c r="B92" t="s">
        <v>212</v>
      </c>
      <c r="C92" t="s">
        <v>32</v>
      </c>
      <c r="D92" t="s">
        <v>73</v>
      </c>
      <c r="E92" s="23" t="s">
        <v>775</v>
      </c>
      <c r="F92" t="s">
        <v>76</v>
      </c>
      <c r="G92" t="s">
        <v>40</v>
      </c>
    </row>
    <row r="93" spans="1:7">
      <c r="A93">
        <v>1776</v>
      </c>
      <c r="B93" t="s">
        <v>215</v>
      </c>
      <c r="C93" t="s">
        <v>79</v>
      </c>
      <c r="D93" t="s">
        <v>73</v>
      </c>
      <c r="E93" s="23" t="s">
        <v>763</v>
      </c>
      <c r="F93" t="s">
        <v>38</v>
      </c>
      <c r="G93" t="s">
        <v>33</v>
      </c>
    </row>
    <row r="94" spans="1:7">
      <c r="A94">
        <v>9703</v>
      </c>
      <c r="B94" t="s">
        <v>106</v>
      </c>
      <c r="C94" t="s">
        <v>32</v>
      </c>
      <c r="D94" t="s">
        <v>48</v>
      </c>
      <c r="E94" s="23" t="s">
        <v>770</v>
      </c>
      <c r="F94" t="s">
        <v>31</v>
      </c>
      <c r="G94" t="s">
        <v>40</v>
      </c>
    </row>
    <row r="95" spans="1:7">
      <c r="A95">
        <v>3498</v>
      </c>
      <c r="B95" t="s">
        <v>218</v>
      </c>
      <c r="C95" t="s">
        <v>79</v>
      </c>
      <c r="D95" t="s">
        <v>36</v>
      </c>
      <c r="E95" s="23" t="s">
        <v>776</v>
      </c>
      <c r="F95" t="s">
        <v>31</v>
      </c>
      <c r="G95" t="s">
        <v>60</v>
      </c>
    </row>
    <row r="96" spans="1:7">
      <c r="A96">
        <v>4260</v>
      </c>
      <c r="B96" t="s">
        <v>219</v>
      </c>
      <c r="C96" t="s">
        <v>79</v>
      </c>
      <c r="D96" t="s">
        <v>63</v>
      </c>
      <c r="E96" s="23" t="s">
        <v>767</v>
      </c>
      <c r="F96" t="s">
        <v>31</v>
      </c>
      <c r="G96" t="s">
        <v>33</v>
      </c>
    </row>
    <row r="97" spans="1:7">
      <c r="A97">
        <v>7152</v>
      </c>
      <c r="B97" t="s">
        <v>153</v>
      </c>
      <c r="C97" t="s">
        <v>32</v>
      </c>
      <c r="D97" t="s">
        <v>26</v>
      </c>
      <c r="E97" s="23" t="s">
        <v>758</v>
      </c>
      <c r="F97" t="s">
        <v>65</v>
      </c>
      <c r="G97" t="s">
        <v>93</v>
      </c>
    </row>
    <row r="98" spans="1:7">
      <c r="A98">
        <v>2457</v>
      </c>
      <c r="B98" t="s">
        <v>179</v>
      </c>
      <c r="C98" t="s">
        <v>39</v>
      </c>
      <c r="D98" t="s">
        <v>73</v>
      </c>
      <c r="E98" s="23" t="s">
        <v>752</v>
      </c>
      <c r="F98" t="s">
        <v>76</v>
      </c>
      <c r="G98" t="s">
        <v>33</v>
      </c>
    </row>
    <row r="99" spans="1:7">
      <c r="A99">
        <v>8530</v>
      </c>
      <c r="B99" t="s">
        <v>222</v>
      </c>
      <c r="C99" t="s">
        <v>79</v>
      </c>
      <c r="D99" t="s">
        <v>51</v>
      </c>
      <c r="E99" s="23" t="s">
        <v>762</v>
      </c>
      <c r="F99" t="s">
        <v>58</v>
      </c>
      <c r="G99" t="s">
        <v>33</v>
      </c>
    </row>
    <row r="100" spans="1:7">
      <c r="A100">
        <v>9131</v>
      </c>
      <c r="B100" t="s">
        <v>223</v>
      </c>
      <c r="C100" t="s">
        <v>39</v>
      </c>
      <c r="D100" t="s">
        <v>48</v>
      </c>
      <c r="E100" s="23" t="s">
        <v>757</v>
      </c>
      <c r="F100" t="s">
        <v>38</v>
      </c>
      <c r="G100" t="s">
        <v>93</v>
      </c>
    </row>
    <row r="101" spans="1:7">
      <c r="A101">
        <v>9770</v>
      </c>
      <c r="B101" t="s">
        <v>224</v>
      </c>
      <c r="C101" t="s">
        <v>39</v>
      </c>
      <c r="D101" t="s">
        <v>100</v>
      </c>
      <c r="E101" s="23" t="s">
        <v>756</v>
      </c>
      <c r="F101" t="s">
        <v>58</v>
      </c>
      <c r="G101" t="s">
        <v>40</v>
      </c>
    </row>
    <row r="102" spans="1:7">
      <c r="A102">
        <v>8095</v>
      </c>
      <c r="B102" t="s">
        <v>226</v>
      </c>
      <c r="C102" t="s">
        <v>32</v>
      </c>
      <c r="D102" t="s">
        <v>26</v>
      </c>
      <c r="E102" s="23" t="s">
        <v>758</v>
      </c>
      <c r="F102" t="s">
        <v>58</v>
      </c>
      <c r="G102" t="s">
        <v>40</v>
      </c>
    </row>
    <row r="103" spans="1:7">
      <c r="A103">
        <v>3763</v>
      </c>
      <c r="B103" t="s">
        <v>228</v>
      </c>
      <c r="C103" t="s">
        <v>79</v>
      </c>
      <c r="D103" t="s">
        <v>63</v>
      </c>
      <c r="E103" s="23" t="s">
        <v>767</v>
      </c>
      <c r="F103" t="s">
        <v>31</v>
      </c>
      <c r="G103" t="s">
        <v>60</v>
      </c>
    </row>
    <row r="104" spans="1:7">
      <c r="A104">
        <v>4346</v>
      </c>
      <c r="B104" t="s">
        <v>230</v>
      </c>
      <c r="C104" t="s">
        <v>69</v>
      </c>
      <c r="D104" t="s">
        <v>26</v>
      </c>
      <c r="E104" s="23" t="s">
        <v>759</v>
      </c>
      <c r="F104" t="s">
        <v>31</v>
      </c>
      <c r="G104" t="s">
        <v>60</v>
      </c>
    </row>
    <row r="105" spans="1:7">
      <c r="A105">
        <v>5866</v>
      </c>
      <c r="B105" t="s">
        <v>191</v>
      </c>
      <c r="C105" t="s">
        <v>79</v>
      </c>
      <c r="D105" t="s">
        <v>51</v>
      </c>
      <c r="E105" s="23" t="s">
        <v>762</v>
      </c>
      <c r="F105" t="s">
        <v>65</v>
      </c>
      <c r="G105" t="s">
        <v>93</v>
      </c>
    </row>
    <row r="106" spans="1:7">
      <c r="A106">
        <v>5865</v>
      </c>
      <c r="B106" t="s">
        <v>232</v>
      </c>
      <c r="C106" t="s">
        <v>59</v>
      </c>
      <c r="D106" t="s">
        <v>48</v>
      </c>
      <c r="E106" s="23" t="s">
        <v>750</v>
      </c>
      <c r="F106" t="s">
        <v>58</v>
      </c>
      <c r="G106" t="s">
        <v>93</v>
      </c>
    </row>
    <row r="107" spans="1:7">
      <c r="A107">
        <v>9398</v>
      </c>
      <c r="B107" t="s">
        <v>234</v>
      </c>
      <c r="C107" t="s">
        <v>69</v>
      </c>
      <c r="D107" t="s">
        <v>73</v>
      </c>
      <c r="E107" s="23" t="s">
        <v>771</v>
      </c>
      <c r="F107" t="s">
        <v>58</v>
      </c>
      <c r="G107" t="s">
        <v>33</v>
      </c>
    </row>
    <row r="108" spans="1:7">
      <c r="A108">
        <v>9695</v>
      </c>
      <c r="B108" t="s">
        <v>236</v>
      </c>
      <c r="C108" t="s">
        <v>59</v>
      </c>
      <c r="D108" t="s">
        <v>51</v>
      </c>
      <c r="E108" s="23" t="s">
        <v>746</v>
      </c>
      <c r="F108" t="s">
        <v>31</v>
      </c>
      <c r="G108" t="s">
        <v>33</v>
      </c>
    </row>
    <row r="109" spans="1:7">
      <c r="A109">
        <v>8805</v>
      </c>
      <c r="B109" t="s">
        <v>85</v>
      </c>
      <c r="C109" t="s">
        <v>79</v>
      </c>
      <c r="D109" t="s">
        <v>100</v>
      </c>
      <c r="E109" s="23" t="s">
        <v>769</v>
      </c>
      <c r="F109" t="s">
        <v>65</v>
      </c>
      <c r="G109" t="s">
        <v>40</v>
      </c>
    </row>
    <row r="110" spans="1:7">
      <c r="A110">
        <v>8353</v>
      </c>
      <c r="B110" t="s">
        <v>148</v>
      </c>
      <c r="C110" t="s">
        <v>69</v>
      </c>
      <c r="D110" t="s">
        <v>100</v>
      </c>
      <c r="E110" s="23" t="s">
        <v>772</v>
      </c>
      <c r="F110" t="s">
        <v>76</v>
      </c>
      <c r="G110" t="s">
        <v>33</v>
      </c>
    </row>
    <row r="111" spans="1:7">
      <c r="A111">
        <v>3178</v>
      </c>
      <c r="B111" t="s">
        <v>238</v>
      </c>
      <c r="C111" t="s">
        <v>69</v>
      </c>
      <c r="D111" t="s">
        <v>63</v>
      </c>
      <c r="E111" s="23" t="s">
        <v>777</v>
      </c>
      <c r="F111" t="s">
        <v>76</v>
      </c>
      <c r="G111" t="s">
        <v>93</v>
      </c>
    </row>
    <row r="112" spans="1:7">
      <c r="A112">
        <v>4917</v>
      </c>
      <c r="B112" t="s">
        <v>240</v>
      </c>
      <c r="C112" t="s">
        <v>69</v>
      </c>
      <c r="D112" t="s">
        <v>63</v>
      </c>
      <c r="E112" s="23" t="s">
        <v>777</v>
      </c>
      <c r="F112" t="s">
        <v>31</v>
      </c>
      <c r="G112" t="s">
        <v>60</v>
      </c>
    </row>
    <row r="113" spans="1:7">
      <c r="A113">
        <v>8878</v>
      </c>
      <c r="B113" t="s">
        <v>241</v>
      </c>
      <c r="C113" t="s">
        <v>32</v>
      </c>
      <c r="D113" t="s">
        <v>73</v>
      </c>
      <c r="E113" s="23" t="s">
        <v>775</v>
      </c>
      <c r="F113" t="s">
        <v>31</v>
      </c>
      <c r="G113" t="s">
        <v>93</v>
      </c>
    </row>
    <row r="114" spans="1:7">
      <c r="A114">
        <v>3810</v>
      </c>
      <c r="B114" t="s">
        <v>242</v>
      </c>
      <c r="C114" t="s">
        <v>39</v>
      </c>
      <c r="D114" t="s">
        <v>63</v>
      </c>
      <c r="E114" s="23" t="s">
        <v>755</v>
      </c>
      <c r="F114" t="s">
        <v>31</v>
      </c>
      <c r="G114" t="s">
        <v>40</v>
      </c>
    </row>
    <row r="115" spans="1:7">
      <c r="A115">
        <v>9353</v>
      </c>
      <c r="B115" t="s">
        <v>244</v>
      </c>
      <c r="C115" t="s">
        <v>39</v>
      </c>
      <c r="D115" t="s">
        <v>51</v>
      </c>
      <c r="E115" s="23" t="s">
        <v>753</v>
      </c>
      <c r="F115" t="s">
        <v>31</v>
      </c>
      <c r="G115" t="s">
        <v>93</v>
      </c>
    </row>
    <row r="116" spans="1:7">
      <c r="A116">
        <v>1672</v>
      </c>
      <c r="B116" t="s">
        <v>245</v>
      </c>
      <c r="C116" t="s">
        <v>69</v>
      </c>
      <c r="D116" t="s">
        <v>63</v>
      </c>
      <c r="E116" s="23" t="s">
        <v>777</v>
      </c>
      <c r="F116" t="s">
        <v>58</v>
      </c>
      <c r="G116" t="s">
        <v>60</v>
      </c>
    </row>
    <row r="117" spans="1:7">
      <c r="A117">
        <v>6650</v>
      </c>
      <c r="B117" t="s">
        <v>247</v>
      </c>
      <c r="C117" t="s">
        <v>59</v>
      </c>
      <c r="D117" t="s">
        <v>36</v>
      </c>
      <c r="E117" s="23" t="s">
        <v>747</v>
      </c>
      <c r="F117" t="s">
        <v>38</v>
      </c>
      <c r="G117" t="s">
        <v>40</v>
      </c>
    </row>
    <row r="118" spans="1:7">
      <c r="A118">
        <v>2581</v>
      </c>
      <c r="B118" t="s">
        <v>248</v>
      </c>
      <c r="C118" t="s">
        <v>79</v>
      </c>
      <c r="D118" t="s">
        <v>51</v>
      </c>
      <c r="E118" s="23" t="s">
        <v>762</v>
      </c>
      <c r="F118" t="s">
        <v>76</v>
      </c>
      <c r="G118" t="s">
        <v>40</v>
      </c>
    </row>
    <row r="119" spans="1:7">
      <c r="A119">
        <v>6860</v>
      </c>
      <c r="B119" t="s">
        <v>249</v>
      </c>
      <c r="C119" t="s">
        <v>79</v>
      </c>
      <c r="D119" t="s">
        <v>36</v>
      </c>
      <c r="E119" s="23" t="s">
        <v>776</v>
      </c>
      <c r="F119" t="s">
        <v>58</v>
      </c>
      <c r="G119" t="s">
        <v>33</v>
      </c>
    </row>
    <row r="120" spans="1:7">
      <c r="A120">
        <v>4584</v>
      </c>
      <c r="B120" t="s">
        <v>138</v>
      </c>
      <c r="C120" t="s">
        <v>69</v>
      </c>
      <c r="D120" t="s">
        <v>36</v>
      </c>
      <c r="E120" s="23" t="s">
        <v>765</v>
      </c>
      <c r="F120" t="s">
        <v>31</v>
      </c>
      <c r="G120" t="s">
        <v>60</v>
      </c>
    </row>
    <row r="121" spans="1:7">
      <c r="A121">
        <v>3354</v>
      </c>
      <c r="B121" t="s">
        <v>148</v>
      </c>
      <c r="C121" t="s">
        <v>69</v>
      </c>
      <c r="D121" t="s">
        <v>73</v>
      </c>
      <c r="E121" s="23" t="s">
        <v>771</v>
      </c>
      <c r="F121" t="s">
        <v>65</v>
      </c>
      <c r="G121" t="s">
        <v>93</v>
      </c>
    </row>
    <row r="122" spans="1:7">
      <c r="A122">
        <v>4668</v>
      </c>
      <c r="B122" t="s">
        <v>251</v>
      </c>
      <c r="C122" t="s">
        <v>79</v>
      </c>
      <c r="D122" t="s">
        <v>48</v>
      </c>
      <c r="E122" s="23" t="s">
        <v>768</v>
      </c>
      <c r="F122" t="s">
        <v>65</v>
      </c>
      <c r="G122" t="s">
        <v>60</v>
      </c>
    </row>
    <row r="123" spans="1:7">
      <c r="A123">
        <v>6684</v>
      </c>
      <c r="B123" t="s">
        <v>252</v>
      </c>
      <c r="C123" t="s">
        <v>69</v>
      </c>
      <c r="D123" t="s">
        <v>100</v>
      </c>
      <c r="E123" s="23" t="s">
        <v>772</v>
      </c>
      <c r="F123" t="s">
        <v>76</v>
      </c>
      <c r="G123" t="s">
        <v>33</v>
      </c>
    </row>
    <row r="124" spans="1:7">
      <c r="A124">
        <v>8058</v>
      </c>
      <c r="B124" t="s">
        <v>253</v>
      </c>
      <c r="C124" t="s">
        <v>59</v>
      </c>
      <c r="D124" t="s">
        <v>48</v>
      </c>
      <c r="E124" s="23" t="s">
        <v>750</v>
      </c>
      <c r="F124" t="s">
        <v>38</v>
      </c>
      <c r="G124" t="s">
        <v>60</v>
      </c>
    </row>
    <row r="125" spans="1:7">
      <c r="A125">
        <v>3035</v>
      </c>
      <c r="B125" t="s">
        <v>157</v>
      </c>
      <c r="C125" t="s">
        <v>79</v>
      </c>
      <c r="D125" t="s">
        <v>100</v>
      </c>
      <c r="E125" s="23" t="s">
        <v>769</v>
      </c>
      <c r="F125" t="s">
        <v>38</v>
      </c>
      <c r="G125" t="s">
        <v>33</v>
      </c>
    </row>
    <row r="126" spans="1:7">
      <c r="A126">
        <v>2146</v>
      </c>
      <c r="B126" t="s">
        <v>254</v>
      </c>
      <c r="C126" t="s">
        <v>39</v>
      </c>
      <c r="D126" t="s">
        <v>63</v>
      </c>
      <c r="E126" s="23" t="s">
        <v>755</v>
      </c>
      <c r="F126" t="s">
        <v>76</v>
      </c>
      <c r="G126" t="s">
        <v>93</v>
      </c>
    </row>
    <row r="127" spans="1:7">
      <c r="A127">
        <v>5761</v>
      </c>
      <c r="B127" t="s">
        <v>255</v>
      </c>
      <c r="C127" t="s">
        <v>69</v>
      </c>
      <c r="D127" t="s">
        <v>36</v>
      </c>
      <c r="E127" s="23" t="s">
        <v>765</v>
      </c>
      <c r="F127" t="s">
        <v>38</v>
      </c>
      <c r="G127" t="s">
        <v>60</v>
      </c>
    </row>
    <row r="128" spans="1:7">
      <c r="A128">
        <v>5256</v>
      </c>
      <c r="B128" t="s">
        <v>257</v>
      </c>
      <c r="C128" t="s">
        <v>79</v>
      </c>
      <c r="D128" t="s">
        <v>48</v>
      </c>
      <c r="E128" s="23" t="s">
        <v>768</v>
      </c>
      <c r="F128" t="s">
        <v>76</v>
      </c>
      <c r="G128" t="s">
        <v>33</v>
      </c>
    </row>
    <row r="129" spans="1:7">
      <c r="A129">
        <v>5995</v>
      </c>
      <c r="B129" t="s">
        <v>238</v>
      </c>
      <c r="C129" t="s">
        <v>39</v>
      </c>
      <c r="D129" t="s">
        <v>26</v>
      </c>
      <c r="E129" s="23" t="s">
        <v>751</v>
      </c>
      <c r="F129" t="s">
        <v>31</v>
      </c>
      <c r="G129" t="s">
        <v>33</v>
      </c>
    </row>
    <row r="130" spans="1:7">
      <c r="A130">
        <v>4155</v>
      </c>
      <c r="B130" t="s">
        <v>259</v>
      </c>
      <c r="C130" t="s">
        <v>59</v>
      </c>
      <c r="D130" t="s">
        <v>48</v>
      </c>
      <c r="E130" s="23" t="s">
        <v>750</v>
      </c>
      <c r="F130" t="s">
        <v>65</v>
      </c>
      <c r="G130" t="s">
        <v>93</v>
      </c>
    </row>
    <row r="131" spans="1:7">
      <c r="A131">
        <v>1851</v>
      </c>
      <c r="B131" t="s">
        <v>88</v>
      </c>
      <c r="C131" t="s">
        <v>69</v>
      </c>
      <c r="D131" t="s">
        <v>63</v>
      </c>
      <c r="E131" s="23" t="s">
        <v>777</v>
      </c>
      <c r="F131" t="s">
        <v>38</v>
      </c>
      <c r="G131" t="s">
        <v>40</v>
      </c>
    </row>
    <row r="132" spans="1:7">
      <c r="A132">
        <v>8068</v>
      </c>
      <c r="B132" t="s">
        <v>260</v>
      </c>
      <c r="C132" t="s">
        <v>59</v>
      </c>
      <c r="D132" t="s">
        <v>36</v>
      </c>
      <c r="E132" s="23" t="s">
        <v>747</v>
      </c>
      <c r="F132" t="s">
        <v>76</v>
      </c>
      <c r="G132" t="s">
        <v>93</v>
      </c>
    </row>
    <row r="133" spans="1:7">
      <c r="A133">
        <v>8425</v>
      </c>
      <c r="B133" t="s">
        <v>34</v>
      </c>
      <c r="C133" t="s">
        <v>39</v>
      </c>
      <c r="D133" t="s">
        <v>73</v>
      </c>
      <c r="E133" s="23" t="s">
        <v>752</v>
      </c>
      <c r="F133" t="s">
        <v>65</v>
      </c>
      <c r="G133" t="s">
        <v>40</v>
      </c>
    </row>
    <row r="134" spans="1:7">
      <c r="A134">
        <v>4706</v>
      </c>
      <c r="B134" t="s">
        <v>170</v>
      </c>
      <c r="C134" t="s">
        <v>32</v>
      </c>
      <c r="D134" t="s">
        <v>48</v>
      </c>
      <c r="E134" s="23" t="s">
        <v>770</v>
      </c>
      <c r="F134" t="s">
        <v>38</v>
      </c>
      <c r="G134" t="s">
        <v>33</v>
      </c>
    </row>
    <row r="135" spans="1:7">
      <c r="A135">
        <v>7544</v>
      </c>
      <c r="B135" t="s">
        <v>262</v>
      </c>
      <c r="C135" t="s">
        <v>69</v>
      </c>
      <c r="D135" t="s">
        <v>63</v>
      </c>
      <c r="E135" s="23" t="s">
        <v>777</v>
      </c>
      <c r="F135" t="s">
        <v>31</v>
      </c>
      <c r="G135" t="s">
        <v>93</v>
      </c>
    </row>
    <row r="136" spans="1:7">
      <c r="A136">
        <v>4029</v>
      </c>
      <c r="B136" t="s">
        <v>263</v>
      </c>
      <c r="C136" t="s">
        <v>59</v>
      </c>
      <c r="D136" t="s">
        <v>36</v>
      </c>
      <c r="E136" s="23" t="s">
        <v>747</v>
      </c>
      <c r="F136" t="s">
        <v>31</v>
      </c>
      <c r="G136" t="s">
        <v>40</v>
      </c>
    </row>
    <row r="137" spans="1:7">
      <c r="A137">
        <v>6117</v>
      </c>
      <c r="B137" t="s">
        <v>147</v>
      </c>
      <c r="C137" t="s">
        <v>59</v>
      </c>
      <c r="D137" t="s">
        <v>36</v>
      </c>
      <c r="E137" s="23" t="s">
        <v>747</v>
      </c>
      <c r="F137" t="s">
        <v>76</v>
      </c>
      <c r="G137" t="s">
        <v>40</v>
      </c>
    </row>
    <row r="138" spans="1:7">
      <c r="A138">
        <v>1408</v>
      </c>
      <c r="B138" t="s">
        <v>266</v>
      </c>
      <c r="C138" t="s">
        <v>32</v>
      </c>
      <c r="D138" t="s">
        <v>36</v>
      </c>
      <c r="E138" s="23" t="s">
        <v>764</v>
      </c>
      <c r="F138" t="s">
        <v>65</v>
      </c>
      <c r="G138" t="s">
        <v>40</v>
      </c>
    </row>
    <row r="139" spans="1:7">
      <c r="A139">
        <v>8396</v>
      </c>
      <c r="B139" t="s">
        <v>52</v>
      </c>
      <c r="C139" t="s">
        <v>79</v>
      </c>
      <c r="D139" t="s">
        <v>51</v>
      </c>
      <c r="E139" s="23" t="s">
        <v>762</v>
      </c>
      <c r="F139" t="s">
        <v>58</v>
      </c>
      <c r="G139" t="s">
        <v>40</v>
      </c>
    </row>
    <row r="140" spans="1:7">
      <c r="A140">
        <v>6806</v>
      </c>
      <c r="B140" t="s">
        <v>268</v>
      </c>
      <c r="C140" t="s">
        <v>69</v>
      </c>
      <c r="D140" t="s">
        <v>26</v>
      </c>
      <c r="E140" s="23" t="s">
        <v>759</v>
      </c>
      <c r="F140" t="s">
        <v>65</v>
      </c>
      <c r="G140" t="s">
        <v>93</v>
      </c>
    </row>
    <row r="141" spans="1:7">
      <c r="A141">
        <v>3496</v>
      </c>
      <c r="B141" t="s">
        <v>242</v>
      </c>
      <c r="C141" t="s">
        <v>39</v>
      </c>
      <c r="D141" t="s">
        <v>36</v>
      </c>
      <c r="E141" s="23" t="s">
        <v>754</v>
      </c>
      <c r="F141" t="s">
        <v>76</v>
      </c>
      <c r="G141" t="s">
        <v>60</v>
      </c>
    </row>
    <row r="142" spans="1:7">
      <c r="A142">
        <v>7840</v>
      </c>
      <c r="B142" t="s">
        <v>270</v>
      </c>
      <c r="C142" t="s">
        <v>79</v>
      </c>
      <c r="D142" t="s">
        <v>73</v>
      </c>
      <c r="E142" s="23" t="s">
        <v>763</v>
      </c>
      <c r="F142" t="s">
        <v>58</v>
      </c>
      <c r="G142" t="s">
        <v>93</v>
      </c>
    </row>
    <row r="143" spans="1:7">
      <c r="A143">
        <v>2099</v>
      </c>
      <c r="B143" t="s">
        <v>157</v>
      </c>
      <c r="C143" t="s">
        <v>32</v>
      </c>
      <c r="D143" t="s">
        <v>36</v>
      </c>
      <c r="E143" s="23" t="s">
        <v>764</v>
      </c>
      <c r="F143" t="s">
        <v>38</v>
      </c>
      <c r="G143" t="s">
        <v>60</v>
      </c>
    </row>
    <row r="144" spans="1:7">
      <c r="A144">
        <v>6518</v>
      </c>
      <c r="B144" t="s">
        <v>271</v>
      </c>
      <c r="C144" t="s">
        <v>32</v>
      </c>
      <c r="D144" t="s">
        <v>26</v>
      </c>
      <c r="E144" s="23" t="s">
        <v>758</v>
      </c>
      <c r="F144" t="s">
        <v>58</v>
      </c>
      <c r="G144" t="s">
        <v>60</v>
      </c>
    </row>
    <row r="145" spans="1:7">
      <c r="A145">
        <v>1976</v>
      </c>
      <c r="B145" t="s">
        <v>249</v>
      </c>
      <c r="C145" t="s">
        <v>39</v>
      </c>
      <c r="D145" t="s">
        <v>48</v>
      </c>
      <c r="E145" s="23" t="s">
        <v>757</v>
      </c>
      <c r="F145" t="s">
        <v>76</v>
      </c>
      <c r="G145" t="s">
        <v>60</v>
      </c>
    </row>
    <row r="146" spans="1:7">
      <c r="A146">
        <v>8777</v>
      </c>
      <c r="B146" t="s">
        <v>272</v>
      </c>
      <c r="C146" t="s">
        <v>69</v>
      </c>
      <c r="D146" t="s">
        <v>48</v>
      </c>
      <c r="E146" s="23" t="s">
        <v>778</v>
      </c>
      <c r="F146" t="s">
        <v>31</v>
      </c>
      <c r="G146" t="s">
        <v>40</v>
      </c>
    </row>
    <row r="147" spans="1:7">
      <c r="A147">
        <v>1576</v>
      </c>
      <c r="B147" t="s">
        <v>166</v>
      </c>
      <c r="C147" t="s">
        <v>39</v>
      </c>
      <c r="D147" t="s">
        <v>36</v>
      </c>
      <c r="E147" s="23" t="s">
        <v>754</v>
      </c>
      <c r="F147" t="s">
        <v>58</v>
      </c>
      <c r="G147" t="s">
        <v>93</v>
      </c>
    </row>
    <row r="148" spans="1:7">
      <c r="A148">
        <v>7979</v>
      </c>
      <c r="B148" t="s">
        <v>274</v>
      </c>
      <c r="C148" t="s">
        <v>39</v>
      </c>
      <c r="D148" t="s">
        <v>48</v>
      </c>
      <c r="E148" s="23" t="s">
        <v>757</v>
      </c>
      <c r="F148" t="s">
        <v>31</v>
      </c>
      <c r="G148" t="s">
        <v>60</v>
      </c>
    </row>
    <row r="149" spans="1:7">
      <c r="A149">
        <v>6300</v>
      </c>
      <c r="B149" t="s">
        <v>275</v>
      </c>
      <c r="C149" t="s">
        <v>69</v>
      </c>
      <c r="D149" t="s">
        <v>26</v>
      </c>
      <c r="E149" s="23" t="s">
        <v>759</v>
      </c>
      <c r="F149" t="s">
        <v>65</v>
      </c>
      <c r="G149" t="s">
        <v>33</v>
      </c>
    </row>
    <row r="150" spans="1:7">
      <c r="A150">
        <v>1003</v>
      </c>
      <c r="B150" t="s">
        <v>276</v>
      </c>
      <c r="C150" t="s">
        <v>32</v>
      </c>
      <c r="D150" t="s">
        <v>63</v>
      </c>
      <c r="E150" s="23" t="s">
        <v>761</v>
      </c>
      <c r="F150" t="s">
        <v>31</v>
      </c>
      <c r="G150" t="s">
        <v>33</v>
      </c>
    </row>
    <row r="151" spans="1:7">
      <c r="A151">
        <v>8238</v>
      </c>
      <c r="B151" t="s">
        <v>277</v>
      </c>
      <c r="C151" t="s">
        <v>69</v>
      </c>
      <c r="D151" t="s">
        <v>73</v>
      </c>
      <c r="E151" s="23" t="s">
        <v>771</v>
      </c>
      <c r="F151" t="s">
        <v>31</v>
      </c>
      <c r="G151" t="s">
        <v>33</v>
      </c>
    </row>
    <row r="152" spans="1:7">
      <c r="A152">
        <v>8261</v>
      </c>
      <c r="B152" t="s">
        <v>153</v>
      </c>
      <c r="C152" t="s">
        <v>39</v>
      </c>
      <c r="D152" t="s">
        <v>73</v>
      </c>
      <c r="E152" s="23" t="s">
        <v>752</v>
      </c>
      <c r="F152" t="s">
        <v>65</v>
      </c>
      <c r="G152" t="s">
        <v>60</v>
      </c>
    </row>
    <row r="153" spans="1:7">
      <c r="A153">
        <v>7729</v>
      </c>
      <c r="B153" t="s">
        <v>118</v>
      </c>
      <c r="C153" t="s">
        <v>69</v>
      </c>
      <c r="D153" t="s">
        <v>100</v>
      </c>
      <c r="E153" s="23" t="s">
        <v>772</v>
      </c>
      <c r="F153" t="s">
        <v>38</v>
      </c>
      <c r="G153" t="s">
        <v>93</v>
      </c>
    </row>
    <row r="154" spans="1:7">
      <c r="A154">
        <v>8616</v>
      </c>
      <c r="B154" t="s">
        <v>224</v>
      </c>
      <c r="C154" t="s">
        <v>32</v>
      </c>
      <c r="D154" t="s">
        <v>63</v>
      </c>
      <c r="E154" s="23" t="s">
        <v>761</v>
      </c>
      <c r="F154" t="s">
        <v>31</v>
      </c>
      <c r="G154" t="s">
        <v>33</v>
      </c>
    </row>
    <row r="155" spans="1:7">
      <c r="A155">
        <v>9734</v>
      </c>
      <c r="B155" t="s">
        <v>116</v>
      </c>
      <c r="C155" t="s">
        <v>32</v>
      </c>
      <c r="D155" t="s">
        <v>26</v>
      </c>
      <c r="E155" s="23" t="s">
        <v>758</v>
      </c>
      <c r="F155" t="s">
        <v>65</v>
      </c>
      <c r="G155" t="s">
        <v>33</v>
      </c>
    </row>
    <row r="156" spans="1:7">
      <c r="A156">
        <v>2086</v>
      </c>
      <c r="B156" t="s">
        <v>280</v>
      </c>
      <c r="C156" t="s">
        <v>79</v>
      </c>
      <c r="D156" t="s">
        <v>36</v>
      </c>
      <c r="E156" s="23" t="s">
        <v>776</v>
      </c>
      <c r="F156" t="s">
        <v>38</v>
      </c>
      <c r="G156" t="s">
        <v>33</v>
      </c>
    </row>
    <row r="157" spans="1:7">
      <c r="A157">
        <v>8721</v>
      </c>
      <c r="B157" t="s">
        <v>281</v>
      </c>
      <c r="C157" t="s">
        <v>59</v>
      </c>
      <c r="D157" t="s">
        <v>36</v>
      </c>
      <c r="E157" s="23" t="s">
        <v>747</v>
      </c>
      <c r="F157" t="s">
        <v>58</v>
      </c>
      <c r="G157" t="s">
        <v>33</v>
      </c>
    </row>
    <row r="158" spans="1:7">
      <c r="A158">
        <v>1075</v>
      </c>
      <c r="B158" t="s">
        <v>283</v>
      </c>
      <c r="C158" t="s">
        <v>59</v>
      </c>
      <c r="D158" t="s">
        <v>100</v>
      </c>
      <c r="E158" s="23" t="s">
        <v>749</v>
      </c>
      <c r="F158" t="s">
        <v>76</v>
      </c>
      <c r="G158" t="s">
        <v>40</v>
      </c>
    </row>
    <row r="159" spans="1:7">
      <c r="A159">
        <v>2690</v>
      </c>
      <c r="B159" t="s">
        <v>177</v>
      </c>
      <c r="C159" t="s">
        <v>32</v>
      </c>
      <c r="D159" t="s">
        <v>48</v>
      </c>
      <c r="E159" s="23" t="s">
        <v>770</v>
      </c>
      <c r="F159" t="s">
        <v>31</v>
      </c>
      <c r="G159" t="s">
        <v>93</v>
      </c>
    </row>
    <row r="160" spans="1:7">
      <c r="A160">
        <v>7654</v>
      </c>
      <c r="B160" t="s">
        <v>120</v>
      </c>
      <c r="C160" t="s">
        <v>39</v>
      </c>
      <c r="D160" t="s">
        <v>63</v>
      </c>
      <c r="E160" s="23" t="s">
        <v>755</v>
      </c>
      <c r="F160" t="s">
        <v>58</v>
      </c>
      <c r="G160" t="s">
        <v>33</v>
      </c>
    </row>
    <row r="161" spans="1:7">
      <c r="A161">
        <v>7577</v>
      </c>
      <c r="B161" t="s">
        <v>284</v>
      </c>
      <c r="C161" t="s">
        <v>69</v>
      </c>
      <c r="D161" t="s">
        <v>48</v>
      </c>
      <c r="E161" s="23" t="s">
        <v>778</v>
      </c>
      <c r="F161" t="s">
        <v>76</v>
      </c>
      <c r="G161" t="s">
        <v>60</v>
      </c>
    </row>
    <row r="162" spans="1:7">
      <c r="A162">
        <v>9814</v>
      </c>
      <c r="B162" t="s">
        <v>286</v>
      </c>
      <c r="C162" t="s">
        <v>69</v>
      </c>
      <c r="D162" t="s">
        <v>73</v>
      </c>
      <c r="E162" s="23" t="s">
        <v>771</v>
      </c>
      <c r="F162" t="s">
        <v>58</v>
      </c>
      <c r="G162" t="s">
        <v>33</v>
      </c>
    </row>
    <row r="163" spans="1:7">
      <c r="A163">
        <v>5423</v>
      </c>
      <c r="B163" t="s">
        <v>50</v>
      </c>
      <c r="C163" t="s">
        <v>69</v>
      </c>
      <c r="D163" t="s">
        <v>26</v>
      </c>
      <c r="E163" s="23" t="s">
        <v>759</v>
      </c>
      <c r="F163" t="s">
        <v>31</v>
      </c>
      <c r="G163" t="s">
        <v>93</v>
      </c>
    </row>
    <row r="164" spans="1:7">
      <c r="A164">
        <v>2660</v>
      </c>
      <c r="B164" t="s">
        <v>288</v>
      </c>
      <c r="C164" t="s">
        <v>32</v>
      </c>
      <c r="D164" t="s">
        <v>63</v>
      </c>
      <c r="E164" s="23" t="s">
        <v>761</v>
      </c>
      <c r="F164" t="s">
        <v>76</v>
      </c>
      <c r="G164" t="s">
        <v>40</v>
      </c>
    </row>
    <row r="165" spans="1:7">
      <c r="A165">
        <v>4206</v>
      </c>
      <c r="B165" t="s">
        <v>190</v>
      </c>
      <c r="C165" t="s">
        <v>59</v>
      </c>
      <c r="D165" t="s">
        <v>100</v>
      </c>
      <c r="E165" s="23" t="s">
        <v>749</v>
      </c>
      <c r="F165" t="s">
        <v>58</v>
      </c>
      <c r="G165" t="s">
        <v>93</v>
      </c>
    </row>
    <row r="166" spans="1:7">
      <c r="A166">
        <v>5269</v>
      </c>
      <c r="B166" t="s">
        <v>50</v>
      </c>
      <c r="C166" t="s">
        <v>69</v>
      </c>
      <c r="D166" t="s">
        <v>73</v>
      </c>
      <c r="E166" s="23" t="s">
        <v>771</v>
      </c>
      <c r="F166" t="s">
        <v>76</v>
      </c>
      <c r="G166" t="s">
        <v>60</v>
      </c>
    </row>
    <row r="167" spans="1:7">
      <c r="A167">
        <v>7922</v>
      </c>
      <c r="B167" t="s">
        <v>290</v>
      </c>
      <c r="C167" t="s">
        <v>32</v>
      </c>
      <c r="D167" t="s">
        <v>51</v>
      </c>
      <c r="E167" s="23" t="s">
        <v>773</v>
      </c>
      <c r="F167" t="s">
        <v>76</v>
      </c>
      <c r="G167" t="s">
        <v>40</v>
      </c>
    </row>
    <row r="168" spans="1:7">
      <c r="A168">
        <v>7829</v>
      </c>
      <c r="B168" t="s">
        <v>291</v>
      </c>
      <c r="C168" t="s">
        <v>39</v>
      </c>
      <c r="D168" t="s">
        <v>73</v>
      </c>
      <c r="E168" s="23" t="s">
        <v>752</v>
      </c>
      <c r="F168" t="s">
        <v>65</v>
      </c>
      <c r="G168" t="s">
        <v>60</v>
      </c>
    </row>
    <row r="169" spans="1:7">
      <c r="A169">
        <v>1715</v>
      </c>
      <c r="B169" t="s">
        <v>254</v>
      </c>
      <c r="C169" t="s">
        <v>59</v>
      </c>
      <c r="D169" t="s">
        <v>36</v>
      </c>
      <c r="E169" s="23" t="s">
        <v>747</v>
      </c>
      <c r="F169" t="s">
        <v>31</v>
      </c>
      <c r="G169" t="s">
        <v>93</v>
      </c>
    </row>
    <row r="170" spans="1:7">
      <c r="A170">
        <v>2639</v>
      </c>
      <c r="B170" t="s">
        <v>294</v>
      </c>
      <c r="C170" t="s">
        <v>32</v>
      </c>
      <c r="D170" t="s">
        <v>36</v>
      </c>
      <c r="E170" s="23" t="s">
        <v>764</v>
      </c>
      <c r="F170" t="s">
        <v>31</v>
      </c>
      <c r="G170" t="s">
        <v>40</v>
      </c>
    </row>
    <row r="171" spans="1:7">
      <c r="A171">
        <v>1801</v>
      </c>
      <c r="B171" t="s">
        <v>174</v>
      </c>
      <c r="C171" t="s">
        <v>69</v>
      </c>
      <c r="D171" t="s">
        <v>63</v>
      </c>
      <c r="E171" s="23" t="s">
        <v>777</v>
      </c>
      <c r="F171" t="s">
        <v>38</v>
      </c>
      <c r="G171" t="s">
        <v>33</v>
      </c>
    </row>
    <row r="172" spans="1:7">
      <c r="A172">
        <v>9163</v>
      </c>
      <c r="B172" t="s">
        <v>274</v>
      </c>
      <c r="C172" t="s">
        <v>32</v>
      </c>
      <c r="D172" t="s">
        <v>48</v>
      </c>
      <c r="E172" s="23" t="s">
        <v>770</v>
      </c>
      <c r="F172" t="s">
        <v>31</v>
      </c>
      <c r="G172" t="s">
        <v>93</v>
      </c>
    </row>
    <row r="173" spans="1:7">
      <c r="A173">
        <v>1284</v>
      </c>
      <c r="B173" t="s">
        <v>157</v>
      </c>
      <c r="C173" t="s">
        <v>39</v>
      </c>
      <c r="D173" t="s">
        <v>73</v>
      </c>
      <c r="E173" s="23" t="s">
        <v>752</v>
      </c>
      <c r="F173" t="s">
        <v>65</v>
      </c>
      <c r="G173" t="s">
        <v>60</v>
      </c>
    </row>
    <row r="174" spans="1:7">
      <c r="A174">
        <v>8774</v>
      </c>
      <c r="B174" t="s">
        <v>296</v>
      </c>
      <c r="C174" t="s">
        <v>69</v>
      </c>
      <c r="D174" t="s">
        <v>73</v>
      </c>
      <c r="E174" s="23" t="s">
        <v>771</v>
      </c>
      <c r="F174" t="s">
        <v>58</v>
      </c>
      <c r="G174" t="s">
        <v>60</v>
      </c>
    </row>
    <row r="175" spans="1:7">
      <c r="A175">
        <v>3866</v>
      </c>
      <c r="B175" t="s">
        <v>297</v>
      </c>
      <c r="C175" t="s">
        <v>59</v>
      </c>
      <c r="D175" t="s">
        <v>48</v>
      </c>
      <c r="E175" s="23" t="s">
        <v>750</v>
      </c>
      <c r="F175" t="s">
        <v>65</v>
      </c>
      <c r="G175" t="s">
        <v>40</v>
      </c>
    </row>
    <row r="176" spans="1:7">
      <c r="A176">
        <v>4477</v>
      </c>
      <c r="B176" t="s">
        <v>272</v>
      </c>
      <c r="C176" t="s">
        <v>69</v>
      </c>
      <c r="D176" t="s">
        <v>36</v>
      </c>
      <c r="E176" s="23" t="s">
        <v>765</v>
      </c>
      <c r="F176" t="s">
        <v>31</v>
      </c>
      <c r="G176" t="s">
        <v>40</v>
      </c>
    </row>
    <row r="177" spans="1:7">
      <c r="A177">
        <v>4829</v>
      </c>
      <c r="B177" t="s">
        <v>299</v>
      </c>
      <c r="C177" t="s">
        <v>32</v>
      </c>
      <c r="D177" t="s">
        <v>48</v>
      </c>
      <c r="E177" s="23" t="s">
        <v>770</v>
      </c>
      <c r="F177" t="s">
        <v>31</v>
      </c>
      <c r="G177" t="s">
        <v>60</v>
      </c>
    </row>
    <row r="178" spans="1:7">
      <c r="A178">
        <v>1257</v>
      </c>
      <c r="B178" t="s">
        <v>257</v>
      </c>
      <c r="C178" t="s">
        <v>69</v>
      </c>
      <c r="D178" t="s">
        <v>26</v>
      </c>
      <c r="E178" s="23" t="s">
        <v>759</v>
      </c>
      <c r="F178" t="s">
        <v>76</v>
      </c>
      <c r="G178" t="s">
        <v>93</v>
      </c>
    </row>
    <row r="179" spans="1:7">
      <c r="A179">
        <v>1897</v>
      </c>
      <c r="B179" t="s">
        <v>301</v>
      </c>
      <c r="C179" t="s">
        <v>79</v>
      </c>
      <c r="D179" t="s">
        <v>63</v>
      </c>
      <c r="E179" s="23" t="s">
        <v>767</v>
      </c>
      <c r="F179" t="s">
        <v>31</v>
      </c>
      <c r="G179" t="s">
        <v>93</v>
      </c>
    </row>
    <row r="180" spans="1:7">
      <c r="A180">
        <v>3603</v>
      </c>
      <c r="B180" t="s">
        <v>302</v>
      </c>
      <c r="C180" t="s">
        <v>79</v>
      </c>
      <c r="D180" t="s">
        <v>51</v>
      </c>
      <c r="E180" s="23" t="s">
        <v>762</v>
      </c>
      <c r="F180" t="s">
        <v>38</v>
      </c>
      <c r="G180" t="s">
        <v>33</v>
      </c>
    </row>
    <row r="181" spans="1:7">
      <c r="A181">
        <v>9256</v>
      </c>
      <c r="B181" t="s">
        <v>257</v>
      </c>
      <c r="C181" t="s">
        <v>39</v>
      </c>
      <c r="D181" t="s">
        <v>100</v>
      </c>
      <c r="E181" s="23" t="s">
        <v>756</v>
      </c>
      <c r="F181" t="s">
        <v>58</v>
      </c>
      <c r="G181" t="s">
        <v>93</v>
      </c>
    </row>
    <row r="182" spans="1:7">
      <c r="A182">
        <v>9469</v>
      </c>
      <c r="B182" t="s">
        <v>101</v>
      </c>
      <c r="C182" t="s">
        <v>69</v>
      </c>
      <c r="D182" t="s">
        <v>48</v>
      </c>
      <c r="E182" s="23" t="s">
        <v>778</v>
      </c>
      <c r="F182" t="s">
        <v>65</v>
      </c>
      <c r="G182" t="s">
        <v>40</v>
      </c>
    </row>
    <row r="183" spans="1:7">
      <c r="A183">
        <v>7136</v>
      </c>
      <c r="B183" t="s">
        <v>143</v>
      </c>
      <c r="C183" t="s">
        <v>39</v>
      </c>
      <c r="D183" t="s">
        <v>26</v>
      </c>
      <c r="E183" s="23" t="s">
        <v>751</v>
      </c>
      <c r="F183" t="s">
        <v>31</v>
      </c>
      <c r="G183" t="s">
        <v>93</v>
      </c>
    </row>
    <row r="184" spans="1:7">
      <c r="A184">
        <v>2321</v>
      </c>
      <c r="B184" t="s">
        <v>304</v>
      </c>
      <c r="C184" t="s">
        <v>32</v>
      </c>
      <c r="D184" t="s">
        <v>36</v>
      </c>
      <c r="E184" s="23" t="s">
        <v>764</v>
      </c>
      <c r="F184" t="s">
        <v>38</v>
      </c>
      <c r="G184" t="s">
        <v>60</v>
      </c>
    </row>
    <row r="185" spans="1:7">
      <c r="A185">
        <v>4243</v>
      </c>
      <c r="B185" t="s">
        <v>272</v>
      </c>
      <c r="C185" t="s">
        <v>79</v>
      </c>
      <c r="D185" t="s">
        <v>26</v>
      </c>
      <c r="E185" s="23" t="s">
        <v>760</v>
      </c>
      <c r="F185" t="s">
        <v>76</v>
      </c>
      <c r="G185" t="s">
        <v>60</v>
      </c>
    </row>
    <row r="186" spans="1:7">
      <c r="A186">
        <v>8015</v>
      </c>
      <c r="B186" t="s">
        <v>307</v>
      </c>
      <c r="C186" t="s">
        <v>32</v>
      </c>
      <c r="D186" t="s">
        <v>26</v>
      </c>
      <c r="E186" s="23" t="s">
        <v>758</v>
      </c>
      <c r="F186" t="s">
        <v>38</v>
      </c>
      <c r="G186" t="s">
        <v>93</v>
      </c>
    </row>
    <row r="187" spans="1:7">
      <c r="A187">
        <v>3440</v>
      </c>
      <c r="B187" t="s">
        <v>101</v>
      </c>
      <c r="C187" t="s">
        <v>59</v>
      </c>
      <c r="D187" t="s">
        <v>51</v>
      </c>
      <c r="E187" s="23" t="s">
        <v>746</v>
      </c>
      <c r="F187" t="s">
        <v>76</v>
      </c>
      <c r="G187" t="s">
        <v>60</v>
      </c>
    </row>
    <row r="188" spans="1:7">
      <c r="A188">
        <v>9914</v>
      </c>
      <c r="B188" t="s">
        <v>197</v>
      </c>
      <c r="C188" t="s">
        <v>32</v>
      </c>
      <c r="D188" t="s">
        <v>73</v>
      </c>
      <c r="E188" s="23" t="s">
        <v>775</v>
      </c>
      <c r="F188" t="s">
        <v>31</v>
      </c>
      <c r="G188" t="s">
        <v>93</v>
      </c>
    </row>
    <row r="189" spans="1:7">
      <c r="A189">
        <v>5045</v>
      </c>
      <c r="B189" t="s">
        <v>140</v>
      </c>
      <c r="C189" t="s">
        <v>59</v>
      </c>
      <c r="D189" t="s">
        <v>73</v>
      </c>
      <c r="E189" s="23" t="s">
        <v>745</v>
      </c>
      <c r="F189" t="s">
        <v>76</v>
      </c>
      <c r="G189" t="s">
        <v>93</v>
      </c>
    </row>
    <row r="190" spans="1:7">
      <c r="A190">
        <v>1379</v>
      </c>
      <c r="B190" t="s">
        <v>240</v>
      </c>
      <c r="C190" t="s">
        <v>32</v>
      </c>
      <c r="D190" t="s">
        <v>36</v>
      </c>
      <c r="E190" s="23" t="s">
        <v>764</v>
      </c>
      <c r="F190" t="s">
        <v>65</v>
      </c>
      <c r="G190" t="s">
        <v>40</v>
      </c>
    </row>
    <row r="191" spans="1:7">
      <c r="A191">
        <v>6099</v>
      </c>
      <c r="B191" t="s">
        <v>311</v>
      </c>
      <c r="C191" t="s">
        <v>32</v>
      </c>
      <c r="D191" t="s">
        <v>73</v>
      </c>
      <c r="E191" s="23" t="s">
        <v>775</v>
      </c>
      <c r="F191" t="s">
        <v>31</v>
      </c>
      <c r="G191" t="s">
        <v>60</v>
      </c>
    </row>
    <row r="192" spans="1:7">
      <c r="A192">
        <v>4696</v>
      </c>
      <c r="B192" t="s">
        <v>313</v>
      </c>
      <c r="C192" t="s">
        <v>39</v>
      </c>
      <c r="D192" t="s">
        <v>26</v>
      </c>
      <c r="E192" s="23" t="s">
        <v>751</v>
      </c>
      <c r="F192" t="s">
        <v>65</v>
      </c>
      <c r="G192" t="s">
        <v>33</v>
      </c>
    </row>
    <row r="193" spans="1:7">
      <c r="A193">
        <v>4808</v>
      </c>
      <c r="B193" t="s">
        <v>280</v>
      </c>
      <c r="C193" t="s">
        <v>69</v>
      </c>
      <c r="D193" t="s">
        <v>100</v>
      </c>
      <c r="E193" s="23" t="s">
        <v>772</v>
      </c>
      <c r="F193" t="s">
        <v>38</v>
      </c>
      <c r="G193" t="s">
        <v>33</v>
      </c>
    </row>
    <row r="194" spans="1:7">
      <c r="A194">
        <v>3633</v>
      </c>
      <c r="B194" t="s">
        <v>316</v>
      </c>
      <c r="C194" t="s">
        <v>32</v>
      </c>
      <c r="D194" t="s">
        <v>26</v>
      </c>
      <c r="E194" s="23" t="s">
        <v>758</v>
      </c>
      <c r="F194" t="s">
        <v>31</v>
      </c>
      <c r="G194" t="s">
        <v>33</v>
      </c>
    </row>
    <row r="195" spans="1:7">
      <c r="A195">
        <v>4979</v>
      </c>
      <c r="B195" t="s">
        <v>255</v>
      </c>
      <c r="C195" t="s">
        <v>39</v>
      </c>
      <c r="D195" t="s">
        <v>36</v>
      </c>
      <c r="E195" s="23" t="s">
        <v>754</v>
      </c>
      <c r="F195" t="s">
        <v>65</v>
      </c>
      <c r="G195" t="s">
        <v>40</v>
      </c>
    </row>
    <row r="196" spans="1:7">
      <c r="A196">
        <v>2214</v>
      </c>
      <c r="B196" t="s">
        <v>318</v>
      </c>
      <c r="C196" t="s">
        <v>39</v>
      </c>
      <c r="D196" t="s">
        <v>100</v>
      </c>
      <c r="E196" s="23" t="s">
        <v>756</v>
      </c>
      <c r="F196" t="s">
        <v>31</v>
      </c>
      <c r="G196" t="s">
        <v>33</v>
      </c>
    </row>
    <row r="197" spans="1:7">
      <c r="A197">
        <v>6606</v>
      </c>
      <c r="B197" t="s">
        <v>311</v>
      </c>
      <c r="C197" t="s">
        <v>39</v>
      </c>
      <c r="D197" t="s">
        <v>48</v>
      </c>
      <c r="E197" s="23" t="s">
        <v>757</v>
      </c>
      <c r="F197" t="s">
        <v>31</v>
      </c>
      <c r="G197" t="s">
        <v>33</v>
      </c>
    </row>
    <row r="198" spans="1:7">
      <c r="A198">
        <v>4246</v>
      </c>
      <c r="B198" t="s">
        <v>259</v>
      </c>
      <c r="C198" t="s">
        <v>32</v>
      </c>
      <c r="D198" t="s">
        <v>36</v>
      </c>
      <c r="E198" s="23" t="s">
        <v>764</v>
      </c>
      <c r="F198" t="s">
        <v>58</v>
      </c>
      <c r="G198" t="s">
        <v>33</v>
      </c>
    </row>
    <row r="199" spans="1:7">
      <c r="A199">
        <v>2836</v>
      </c>
      <c r="B199" t="s">
        <v>232</v>
      </c>
      <c r="C199" t="s">
        <v>79</v>
      </c>
      <c r="D199" t="s">
        <v>63</v>
      </c>
      <c r="E199" s="23" t="s">
        <v>767</v>
      </c>
      <c r="F199" t="s">
        <v>38</v>
      </c>
      <c r="G199" t="s">
        <v>60</v>
      </c>
    </row>
    <row r="200" spans="1:7">
      <c r="A200">
        <v>6963</v>
      </c>
      <c r="B200" t="s">
        <v>322</v>
      </c>
      <c r="C200" t="s">
        <v>39</v>
      </c>
      <c r="D200" t="s">
        <v>73</v>
      </c>
      <c r="E200" s="23" t="s">
        <v>752</v>
      </c>
      <c r="F200" t="s">
        <v>76</v>
      </c>
      <c r="G200" t="s">
        <v>40</v>
      </c>
    </row>
    <row r="201" spans="1:7">
      <c r="A201">
        <v>2243</v>
      </c>
      <c r="B201" t="s">
        <v>323</v>
      </c>
      <c r="C201" t="s">
        <v>59</v>
      </c>
      <c r="D201" t="s">
        <v>73</v>
      </c>
      <c r="E201" s="23" t="s">
        <v>745</v>
      </c>
      <c r="F201" t="s">
        <v>38</v>
      </c>
      <c r="G201" t="s">
        <v>40</v>
      </c>
    </row>
    <row r="202" spans="1:7">
      <c r="A202">
        <v>5081</v>
      </c>
      <c r="B202" t="s">
        <v>325</v>
      </c>
      <c r="C202" t="s">
        <v>69</v>
      </c>
      <c r="D202" t="s">
        <v>100</v>
      </c>
      <c r="E202" s="23" t="s">
        <v>772</v>
      </c>
      <c r="F202" t="s">
        <v>58</v>
      </c>
      <c r="G202" t="s">
        <v>33</v>
      </c>
    </row>
    <row r="203" spans="1:7">
      <c r="A203">
        <v>4171</v>
      </c>
      <c r="B203" t="s">
        <v>224</v>
      </c>
      <c r="C203" t="s">
        <v>69</v>
      </c>
      <c r="D203" t="s">
        <v>48</v>
      </c>
      <c r="E203" s="23" t="s">
        <v>778</v>
      </c>
      <c r="F203" t="s">
        <v>58</v>
      </c>
      <c r="G203" t="s">
        <v>40</v>
      </c>
    </row>
    <row r="204" spans="1:7">
      <c r="A204">
        <v>7399</v>
      </c>
      <c r="B204" t="s">
        <v>201</v>
      </c>
      <c r="C204" t="s">
        <v>69</v>
      </c>
      <c r="D204" t="s">
        <v>100</v>
      </c>
      <c r="E204" s="23" t="s">
        <v>772</v>
      </c>
      <c r="F204" t="s">
        <v>76</v>
      </c>
      <c r="G204" t="s">
        <v>33</v>
      </c>
    </row>
    <row r="205" spans="1:7">
      <c r="A205">
        <v>1110</v>
      </c>
      <c r="B205" t="s">
        <v>247</v>
      </c>
      <c r="C205" t="s">
        <v>32</v>
      </c>
      <c r="D205" t="s">
        <v>26</v>
      </c>
      <c r="E205" s="23" t="s">
        <v>758</v>
      </c>
      <c r="F205" t="s">
        <v>76</v>
      </c>
      <c r="G205" t="s">
        <v>40</v>
      </c>
    </row>
    <row r="206" spans="1:7">
      <c r="A206">
        <v>5630</v>
      </c>
      <c r="B206" t="s">
        <v>328</v>
      </c>
      <c r="C206" t="s">
        <v>69</v>
      </c>
      <c r="D206" t="s">
        <v>36</v>
      </c>
      <c r="E206" s="23" t="s">
        <v>765</v>
      </c>
      <c r="F206" t="s">
        <v>58</v>
      </c>
      <c r="G206" t="s">
        <v>33</v>
      </c>
    </row>
    <row r="207" spans="1:7">
      <c r="A207">
        <v>9430</v>
      </c>
      <c r="B207" t="s">
        <v>329</v>
      </c>
      <c r="C207" t="s">
        <v>69</v>
      </c>
      <c r="D207" t="s">
        <v>48</v>
      </c>
      <c r="E207" s="23" t="s">
        <v>778</v>
      </c>
      <c r="F207" t="s">
        <v>58</v>
      </c>
      <c r="G207" t="s">
        <v>40</v>
      </c>
    </row>
    <row r="208" spans="1:7">
      <c r="A208">
        <v>7436</v>
      </c>
      <c r="B208" t="s">
        <v>330</v>
      </c>
      <c r="C208" t="s">
        <v>79</v>
      </c>
      <c r="D208" t="s">
        <v>48</v>
      </c>
      <c r="E208" s="23" t="s">
        <v>768</v>
      </c>
      <c r="F208" t="s">
        <v>58</v>
      </c>
      <c r="G208" t="s">
        <v>33</v>
      </c>
    </row>
    <row r="209" spans="1:7">
      <c r="A209">
        <v>2147</v>
      </c>
      <c r="B209" t="s">
        <v>332</v>
      </c>
      <c r="C209" t="s">
        <v>69</v>
      </c>
      <c r="D209" t="s">
        <v>26</v>
      </c>
      <c r="E209" s="23" t="s">
        <v>759</v>
      </c>
      <c r="F209" t="s">
        <v>65</v>
      </c>
      <c r="G209" t="s">
        <v>60</v>
      </c>
    </row>
    <row r="210" spans="1:7">
      <c r="A210">
        <v>3264</v>
      </c>
      <c r="B210" t="s">
        <v>118</v>
      </c>
      <c r="C210" t="s">
        <v>79</v>
      </c>
      <c r="D210" t="s">
        <v>73</v>
      </c>
      <c r="E210" s="23" t="s">
        <v>763</v>
      </c>
      <c r="F210" t="s">
        <v>31</v>
      </c>
      <c r="G210" t="s">
        <v>33</v>
      </c>
    </row>
    <row r="211" spans="1:7">
      <c r="A211">
        <v>1214</v>
      </c>
      <c r="B211" t="s">
        <v>334</v>
      </c>
      <c r="C211" t="s">
        <v>59</v>
      </c>
      <c r="D211" t="s">
        <v>26</v>
      </c>
      <c r="E211" s="23" t="s">
        <v>744</v>
      </c>
      <c r="F211" t="s">
        <v>65</v>
      </c>
      <c r="G211" t="s">
        <v>93</v>
      </c>
    </row>
    <row r="212" spans="1:7">
      <c r="A212">
        <v>6050</v>
      </c>
      <c r="B212" t="s">
        <v>335</v>
      </c>
      <c r="C212" t="s">
        <v>69</v>
      </c>
      <c r="D212" t="s">
        <v>63</v>
      </c>
      <c r="E212" s="23" t="s">
        <v>777</v>
      </c>
      <c r="F212" t="s">
        <v>31</v>
      </c>
      <c r="G212" t="s">
        <v>33</v>
      </c>
    </row>
    <row r="213" spans="1:7">
      <c r="A213">
        <v>7395</v>
      </c>
      <c r="B213" t="s">
        <v>130</v>
      </c>
      <c r="C213" t="s">
        <v>39</v>
      </c>
      <c r="D213" t="s">
        <v>26</v>
      </c>
      <c r="E213" s="23" t="s">
        <v>751</v>
      </c>
      <c r="F213" t="s">
        <v>58</v>
      </c>
      <c r="G213" t="s">
        <v>33</v>
      </c>
    </row>
    <row r="214" spans="1:7">
      <c r="A214">
        <v>3904</v>
      </c>
      <c r="B214" t="s">
        <v>224</v>
      </c>
      <c r="C214" t="s">
        <v>32</v>
      </c>
      <c r="D214" t="s">
        <v>63</v>
      </c>
      <c r="E214" s="23" t="s">
        <v>761</v>
      </c>
      <c r="F214" t="s">
        <v>76</v>
      </c>
      <c r="G214" t="s">
        <v>40</v>
      </c>
    </row>
    <row r="215" spans="1:7">
      <c r="A215">
        <v>6545</v>
      </c>
      <c r="B215" t="s">
        <v>147</v>
      </c>
      <c r="C215" t="s">
        <v>32</v>
      </c>
      <c r="D215" t="s">
        <v>36</v>
      </c>
      <c r="E215" s="23" t="s">
        <v>764</v>
      </c>
      <c r="F215" t="s">
        <v>65</v>
      </c>
      <c r="G215" t="s">
        <v>33</v>
      </c>
    </row>
    <row r="216" spans="1:7">
      <c r="A216">
        <v>3131</v>
      </c>
      <c r="B216" t="s">
        <v>153</v>
      </c>
      <c r="C216" t="s">
        <v>79</v>
      </c>
      <c r="D216" t="s">
        <v>48</v>
      </c>
      <c r="E216" s="23" t="s">
        <v>768</v>
      </c>
      <c r="F216" t="s">
        <v>65</v>
      </c>
      <c r="G216" t="s">
        <v>60</v>
      </c>
    </row>
    <row r="217" spans="1:7">
      <c r="A217">
        <v>8589</v>
      </c>
      <c r="B217" t="s">
        <v>207</v>
      </c>
      <c r="C217" t="s">
        <v>32</v>
      </c>
      <c r="D217" t="s">
        <v>100</v>
      </c>
      <c r="E217" s="23" t="s">
        <v>766</v>
      </c>
      <c r="F217" t="s">
        <v>38</v>
      </c>
      <c r="G217" t="s">
        <v>93</v>
      </c>
    </row>
    <row r="218" spans="1:7">
      <c r="A218">
        <v>2908</v>
      </c>
      <c r="B218" t="s">
        <v>248</v>
      </c>
      <c r="C218" t="s">
        <v>79</v>
      </c>
      <c r="D218" t="s">
        <v>48</v>
      </c>
      <c r="E218" s="23" t="s">
        <v>768</v>
      </c>
      <c r="F218" t="s">
        <v>58</v>
      </c>
      <c r="G218" t="s">
        <v>40</v>
      </c>
    </row>
    <row r="219" spans="1:7">
      <c r="A219">
        <v>5209</v>
      </c>
      <c r="B219" t="s">
        <v>238</v>
      </c>
      <c r="C219" t="s">
        <v>69</v>
      </c>
      <c r="D219" t="s">
        <v>100</v>
      </c>
      <c r="E219" s="23" t="s">
        <v>772</v>
      </c>
      <c r="F219" t="s">
        <v>31</v>
      </c>
      <c r="G219" t="s">
        <v>40</v>
      </c>
    </row>
    <row r="220" spans="1:7">
      <c r="A220">
        <v>2319</v>
      </c>
      <c r="B220" t="s">
        <v>150</v>
      </c>
      <c r="C220" t="s">
        <v>32</v>
      </c>
      <c r="D220" t="s">
        <v>36</v>
      </c>
      <c r="E220" s="23" t="s">
        <v>764</v>
      </c>
      <c r="F220" t="s">
        <v>31</v>
      </c>
      <c r="G220" t="s">
        <v>40</v>
      </c>
    </row>
    <row r="221" spans="1:7">
      <c r="A221">
        <v>9026</v>
      </c>
      <c r="B221" t="s">
        <v>197</v>
      </c>
      <c r="C221" t="s">
        <v>32</v>
      </c>
      <c r="D221" t="s">
        <v>73</v>
      </c>
      <c r="E221" s="23" t="s">
        <v>775</v>
      </c>
      <c r="F221" t="s">
        <v>76</v>
      </c>
      <c r="G221" t="s">
        <v>40</v>
      </c>
    </row>
    <row r="222" spans="1:7">
      <c r="A222">
        <v>2723</v>
      </c>
      <c r="B222" t="s">
        <v>337</v>
      </c>
      <c r="C222" t="s">
        <v>79</v>
      </c>
      <c r="D222" t="s">
        <v>26</v>
      </c>
      <c r="E222" s="23" t="s">
        <v>760</v>
      </c>
      <c r="F222" t="s">
        <v>31</v>
      </c>
      <c r="G222" t="s">
        <v>40</v>
      </c>
    </row>
    <row r="223" spans="1:7">
      <c r="A223">
        <v>5487</v>
      </c>
      <c r="B223" t="s">
        <v>148</v>
      </c>
      <c r="C223" t="s">
        <v>39</v>
      </c>
      <c r="D223" t="s">
        <v>73</v>
      </c>
      <c r="E223" s="23" t="s">
        <v>752</v>
      </c>
      <c r="F223" t="s">
        <v>65</v>
      </c>
      <c r="G223" t="s">
        <v>40</v>
      </c>
    </row>
    <row r="224" spans="1:7">
      <c r="A224">
        <v>4656</v>
      </c>
      <c r="B224" t="s">
        <v>207</v>
      </c>
      <c r="C224" t="s">
        <v>39</v>
      </c>
      <c r="D224" t="s">
        <v>26</v>
      </c>
      <c r="E224" s="23" t="s">
        <v>751</v>
      </c>
      <c r="F224" t="s">
        <v>58</v>
      </c>
      <c r="G224" t="s">
        <v>93</v>
      </c>
    </row>
    <row r="225" spans="1:7">
      <c r="A225">
        <v>5718</v>
      </c>
      <c r="B225" t="s">
        <v>340</v>
      </c>
      <c r="C225" t="s">
        <v>69</v>
      </c>
      <c r="D225" t="s">
        <v>48</v>
      </c>
      <c r="E225" s="23" t="s">
        <v>778</v>
      </c>
      <c r="F225" t="s">
        <v>31</v>
      </c>
      <c r="G225" t="s">
        <v>93</v>
      </c>
    </row>
    <row r="226" spans="1:7">
      <c r="A226">
        <v>1215</v>
      </c>
      <c r="B226" t="s">
        <v>342</v>
      </c>
      <c r="C226" t="s">
        <v>39</v>
      </c>
      <c r="D226" t="s">
        <v>51</v>
      </c>
      <c r="E226" s="23" t="s">
        <v>753</v>
      </c>
      <c r="F226" t="s">
        <v>76</v>
      </c>
      <c r="G226" t="s">
        <v>40</v>
      </c>
    </row>
    <row r="227" spans="1:7">
      <c r="A227">
        <v>3427</v>
      </c>
      <c r="B227" t="s">
        <v>344</v>
      </c>
      <c r="C227" t="s">
        <v>39</v>
      </c>
      <c r="D227" t="s">
        <v>48</v>
      </c>
      <c r="E227" s="23" t="s">
        <v>757</v>
      </c>
      <c r="F227" t="s">
        <v>76</v>
      </c>
      <c r="G227" t="s">
        <v>60</v>
      </c>
    </row>
    <row r="228" spans="1:7">
      <c r="A228">
        <v>2428</v>
      </c>
      <c r="B228" t="s">
        <v>345</v>
      </c>
      <c r="C228" t="s">
        <v>59</v>
      </c>
      <c r="D228" t="s">
        <v>73</v>
      </c>
      <c r="E228" s="23" t="s">
        <v>745</v>
      </c>
      <c r="F228" t="s">
        <v>31</v>
      </c>
      <c r="G228" t="s">
        <v>93</v>
      </c>
    </row>
    <row r="229" spans="1:7">
      <c r="A229">
        <v>1947</v>
      </c>
      <c r="B229" t="s">
        <v>347</v>
      </c>
      <c r="C229" t="s">
        <v>59</v>
      </c>
      <c r="D229" t="s">
        <v>26</v>
      </c>
      <c r="E229" s="23" t="s">
        <v>744</v>
      </c>
      <c r="F229" t="s">
        <v>58</v>
      </c>
      <c r="G229" t="s">
        <v>33</v>
      </c>
    </row>
    <row r="230" spans="1:7">
      <c r="A230">
        <v>5036</v>
      </c>
      <c r="B230" t="s">
        <v>290</v>
      </c>
      <c r="C230" t="s">
        <v>59</v>
      </c>
      <c r="D230" t="s">
        <v>63</v>
      </c>
      <c r="E230" s="23" t="s">
        <v>748</v>
      </c>
      <c r="F230" t="s">
        <v>31</v>
      </c>
      <c r="G230" t="s">
        <v>93</v>
      </c>
    </row>
    <row r="231" spans="1:7">
      <c r="A231">
        <v>5857</v>
      </c>
      <c r="B231" t="s">
        <v>88</v>
      </c>
      <c r="C231" t="s">
        <v>79</v>
      </c>
      <c r="D231" t="s">
        <v>63</v>
      </c>
      <c r="E231" s="23" t="s">
        <v>767</v>
      </c>
      <c r="F231" t="s">
        <v>58</v>
      </c>
      <c r="G231" t="s">
        <v>93</v>
      </c>
    </row>
    <row r="232" spans="1:7">
      <c r="A232">
        <v>8770</v>
      </c>
      <c r="B232" t="s">
        <v>106</v>
      </c>
      <c r="C232" t="s">
        <v>79</v>
      </c>
      <c r="D232" t="s">
        <v>36</v>
      </c>
      <c r="E232" s="23" t="s">
        <v>776</v>
      </c>
      <c r="F232" t="s">
        <v>58</v>
      </c>
      <c r="G232" t="s">
        <v>33</v>
      </c>
    </row>
    <row r="233" spans="1:7">
      <c r="A233">
        <v>4118</v>
      </c>
      <c r="B233" t="s">
        <v>349</v>
      </c>
      <c r="C233" t="s">
        <v>79</v>
      </c>
      <c r="D233" t="s">
        <v>51</v>
      </c>
      <c r="E233" s="23" t="s">
        <v>762</v>
      </c>
      <c r="F233" t="s">
        <v>31</v>
      </c>
      <c r="G233" t="s">
        <v>93</v>
      </c>
    </row>
    <row r="234" spans="1:7">
      <c r="A234">
        <v>7162</v>
      </c>
      <c r="B234" t="s">
        <v>351</v>
      </c>
      <c r="C234" t="s">
        <v>79</v>
      </c>
      <c r="D234" t="s">
        <v>48</v>
      </c>
      <c r="E234" s="23" t="s">
        <v>768</v>
      </c>
      <c r="F234" t="s">
        <v>58</v>
      </c>
      <c r="G234" t="s">
        <v>93</v>
      </c>
    </row>
    <row r="235" spans="1:7">
      <c r="A235">
        <v>9278</v>
      </c>
      <c r="B235" t="s">
        <v>304</v>
      </c>
      <c r="C235" t="s">
        <v>69</v>
      </c>
      <c r="D235" t="s">
        <v>36</v>
      </c>
      <c r="E235" s="23" t="s">
        <v>765</v>
      </c>
      <c r="F235" t="s">
        <v>76</v>
      </c>
      <c r="G235" t="s">
        <v>60</v>
      </c>
    </row>
    <row r="236" spans="1:7">
      <c r="A236">
        <v>5406</v>
      </c>
      <c r="B236" t="s">
        <v>353</v>
      </c>
      <c r="C236" t="s">
        <v>59</v>
      </c>
      <c r="D236" t="s">
        <v>36</v>
      </c>
      <c r="E236" s="23" t="s">
        <v>747</v>
      </c>
      <c r="F236" t="s">
        <v>31</v>
      </c>
      <c r="G236" t="s">
        <v>60</v>
      </c>
    </row>
    <row r="237" spans="1:7">
      <c r="A237">
        <v>4641</v>
      </c>
      <c r="B237" t="s">
        <v>311</v>
      </c>
      <c r="C237" t="s">
        <v>32</v>
      </c>
      <c r="D237" t="s">
        <v>100</v>
      </c>
      <c r="E237" s="23" t="s">
        <v>766</v>
      </c>
      <c r="F237" t="s">
        <v>76</v>
      </c>
      <c r="G237" t="s">
        <v>93</v>
      </c>
    </row>
    <row r="238" spans="1:7">
      <c r="A238">
        <v>3969</v>
      </c>
      <c r="B238" t="s">
        <v>329</v>
      </c>
      <c r="C238" t="s">
        <v>39</v>
      </c>
      <c r="D238" t="s">
        <v>48</v>
      </c>
      <c r="E238" s="23" t="s">
        <v>757</v>
      </c>
      <c r="F238" t="s">
        <v>76</v>
      </c>
      <c r="G238" t="s">
        <v>60</v>
      </c>
    </row>
    <row r="239" spans="1:7">
      <c r="A239">
        <v>3078</v>
      </c>
      <c r="B239" t="s">
        <v>355</v>
      </c>
      <c r="C239" t="s">
        <v>59</v>
      </c>
      <c r="D239" t="s">
        <v>26</v>
      </c>
      <c r="E239" s="23" t="s">
        <v>744</v>
      </c>
      <c r="F239" t="s">
        <v>58</v>
      </c>
      <c r="G239" t="s">
        <v>93</v>
      </c>
    </row>
    <row r="240" spans="1:7">
      <c r="A240">
        <v>2808</v>
      </c>
      <c r="B240" t="s">
        <v>177</v>
      </c>
      <c r="C240" t="s">
        <v>39</v>
      </c>
      <c r="D240" t="s">
        <v>63</v>
      </c>
      <c r="E240" s="23" t="s">
        <v>755</v>
      </c>
      <c r="F240" t="s">
        <v>58</v>
      </c>
      <c r="G240" t="s">
        <v>93</v>
      </c>
    </row>
    <row r="241" spans="1:7">
      <c r="A241">
        <v>7484</v>
      </c>
      <c r="B241" t="s">
        <v>340</v>
      </c>
      <c r="C241" t="s">
        <v>39</v>
      </c>
      <c r="D241" t="s">
        <v>100</v>
      </c>
      <c r="E241" s="23" t="s">
        <v>756</v>
      </c>
      <c r="F241" t="s">
        <v>31</v>
      </c>
      <c r="G241" t="s">
        <v>33</v>
      </c>
    </row>
    <row r="242" spans="1:7">
      <c r="A242">
        <v>2396</v>
      </c>
      <c r="B242" t="s">
        <v>272</v>
      </c>
      <c r="C242" t="s">
        <v>32</v>
      </c>
      <c r="D242" t="s">
        <v>26</v>
      </c>
      <c r="E242" s="23" t="s">
        <v>758</v>
      </c>
      <c r="F242" t="s">
        <v>65</v>
      </c>
      <c r="G242" t="s">
        <v>40</v>
      </c>
    </row>
    <row r="243" spans="1:7">
      <c r="A243">
        <v>2472</v>
      </c>
      <c r="B243" t="s">
        <v>325</v>
      </c>
      <c r="C243" t="s">
        <v>79</v>
      </c>
      <c r="D243" t="s">
        <v>73</v>
      </c>
      <c r="E243" s="23" t="s">
        <v>763</v>
      </c>
      <c r="F243" t="s">
        <v>76</v>
      </c>
      <c r="G243" t="s">
        <v>33</v>
      </c>
    </row>
    <row r="244" spans="1:7">
      <c r="A244">
        <v>7939</v>
      </c>
      <c r="B244" t="s">
        <v>357</v>
      </c>
      <c r="C244" t="s">
        <v>39</v>
      </c>
      <c r="D244" t="s">
        <v>73</v>
      </c>
      <c r="E244" s="23" t="s">
        <v>752</v>
      </c>
      <c r="F244" t="s">
        <v>38</v>
      </c>
      <c r="G244" t="s">
        <v>60</v>
      </c>
    </row>
    <row r="245" spans="1:7">
      <c r="A245">
        <v>8269</v>
      </c>
      <c r="B245" t="s">
        <v>88</v>
      </c>
      <c r="C245" t="s">
        <v>79</v>
      </c>
      <c r="D245" t="s">
        <v>26</v>
      </c>
      <c r="E245" s="23" t="s">
        <v>760</v>
      </c>
      <c r="F245" t="s">
        <v>58</v>
      </c>
      <c r="G245" t="s">
        <v>40</v>
      </c>
    </row>
    <row r="246" spans="1:7">
      <c r="A246">
        <v>9073</v>
      </c>
      <c r="B246" t="s">
        <v>104</v>
      </c>
      <c r="C246" t="s">
        <v>69</v>
      </c>
      <c r="D246" t="s">
        <v>51</v>
      </c>
      <c r="E246" s="23" t="s">
        <v>774</v>
      </c>
      <c r="F246" t="s">
        <v>76</v>
      </c>
      <c r="G246" t="s">
        <v>40</v>
      </c>
    </row>
    <row r="247" spans="1:7">
      <c r="A247">
        <v>9879</v>
      </c>
      <c r="B247" t="s">
        <v>143</v>
      </c>
      <c r="C247" t="s">
        <v>39</v>
      </c>
      <c r="D247" t="s">
        <v>63</v>
      </c>
      <c r="E247" s="23" t="s">
        <v>755</v>
      </c>
      <c r="F247" t="s">
        <v>76</v>
      </c>
      <c r="G247" t="s">
        <v>33</v>
      </c>
    </row>
    <row r="248" spans="1:7">
      <c r="A248">
        <v>3822</v>
      </c>
      <c r="B248" t="s">
        <v>359</v>
      </c>
      <c r="C248" t="s">
        <v>32</v>
      </c>
      <c r="D248" t="s">
        <v>26</v>
      </c>
      <c r="E248" s="23" t="s">
        <v>758</v>
      </c>
      <c r="F248" t="s">
        <v>31</v>
      </c>
      <c r="G248" t="s">
        <v>93</v>
      </c>
    </row>
    <row r="249" spans="1:7">
      <c r="A249">
        <v>9183</v>
      </c>
      <c r="B249" t="s">
        <v>101</v>
      </c>
      <c r="C249" t="s">
        <v>59</v>
      </c>
      <c r="D249" t="s">
        <v>48</v>
      </c>
      <c r="E249" s="23" t="s">
        <v>750</v>
      </c>
      <c r="F249" t="s">
        <v>38</v>
      </c>
      <c r="G249" t="s">
        <v>93</v>
      </c>
    </row>
    <row r="250" spans="1:7">
      <c r="A250">
        <v>8674</v>
      </c>
      <c r="B250" t="s">
        <v>360</v>
      </c>
      <c r="C250" t="s">
        <v>39</v>
      </c>
      <c r="D250" t="s">
        <v>73</v>
      </c>
      <c r="E250" s="23" t="s">
        <v>752</v>
      </c>
      <c r="F250" t="s">
        <v>58</v>
      </c>
      <c r="G250" t="s">
        <v>60</v>
      </c>
    </row>
    <row r="251" spans="1:7">
      <c r="A251">
        <v>2481</v>
      </c>
      <c r="B251" t="s">
        <v>361</v>
      </c>
      <c r="C251" t="s">
        <v>69</v>
      </c>
      <c r="D251" t="s">
        <v>100</v>
      </c>
      <c r="E251" s="23" t="s">
        <v>772</v>
      </c>
      <c r="F251" t="s">
        <v>58</v>
      </c>
      <c r="G251" t="s">
        <v>60</v>
      </c>
    </row>
    <row r="252" spans="1:7">
      <c r="A252">
        <v>8729</v>
      </c>
      <c r="B252" t="s">
        <v>363</v>
      </c>
      <c r="C252" t="s">
        <v>69</v>
      </c>
      <c r="D252" t="s">
        <v>51</v>
      </c>
      <c r="E252" s="23" t="s">
        <v>774</v>
      </c>
      <c r="F252" t="s">
        <v>65</v>
      </c>
      <c r="G252" t="s">
        <v>60</v>
      </c>
    </row>
    <row r="253" spans="1:7">
      <c r="A253">
        <v>5534</v>
      </c>
      <c r="B253" t="s">
        <v>364</v>
      </c>
      <c r="C253" t="s">
        <v>59</v>
      </c>
      <c r="D253" t="s">
        <v>36</v>
      </c>
      <c r="E253" s="23" t="s">
        <v>747</v>
      </c>
      <c r="F253" t="s">
        <v>38</v>
      </c>
      <c r="G253" t="s">
        <v>60</v>
      </c>
    </row>
    <row r="254" spans="1:7">
      <c r="A254">
        <v>9785</v>
      </c>
      <c r="B254" t="s">
        <v>259</v>
      </c>
      <c r="C254" t="s">
        <v>32</v>
      </c>
      <c r="D254" t="s">
        <v>26</v>
      </c>
      <c r="E254" s="23" t="s">
        <v>758</v>
      </c>
      <c r="F254" t="s">
        <v>38</v>
      </c>
      <c r="G254" t="s">
        <v>60</v>
      </c>
    </row>
    <row r="255" spans="1:7">
      <c r="A255">
        <v>9609</v>
      </c>
      <c r="B255" t="s">
        <v>344</v>
      </c>
      <c r="C255" t="s">
        <v>69</v>
      </c>
      <c r="D255" t="s">
        <v>100</v>
      </c>
      <c r="E255" s="23" t="s">
        <v>772</v>
      </c>
      <c r="F255" t="s">
        <v>38</v>
      </c>
      <c r="G255" t="s">
        <v>40</v>
      </c>
    </row>
    <row r="256" spans="1:7">
      <c r="A256">
        <v>2829</v>
      </c>
      <c r="B256" t="s">
        <v>365</v>
      </c>
      <c r="C256" t="s">
        <v>39</v>
      </c>
      <c r="D256" t="s">
        <v>26</v>
      </c>
      <c r="E256" s="23" t="s">
        <v>751</v>
      </c>
      <c r="F256" t="s">
        <v>65</v>
      </c>
      <c r="G256" t="s">
        <v>93</v>
      </c>
    </row>
    <row r="257" spans="1:7">
      <c r="A257">
        <v>1714</v>
      </c>
      <c r="B257" t="s">
        <v>367</v>
      </c>
      <c r="C257" t="s">
        <v>32</v>
      </c>
      <c r="D257" t="s">
        <v>63</v>
      </c>
      <c r="E257" s="23" t="s">
        <v>761</v>
      </c>
      <c r="F257" t="s">
        <v>58</v>
      </c>
      <c r="G257" t="s">
        <v>60</v>
      </c>
    </row>
    <row r="258" spans="1:7">
      <c r="A258">
        <v>4475</v>
      </c>
      <c r="B258" t="s">
        <v>369</v>
      </c>
      <c r="C258" t="s">
        <v>39</v>
      </c>
      <c r="D258" t="s">
        <v>26</v>
      </c>
      <c r="E258" s="23" t="s">
        <v>751</v>
      </c>
      <c r="F258" t="s">
        <v>65</v>
      </c>
      <c r="G258" t="s">
        <v>40</v>
      </c>
    </row>
    <row r="259" spans="1:7">
      <c r="A259">
        <v>9820</v>
      </c>
      <c r="B259" t="s">
        <v>153</v>
      </c>
      <c r="C259" t="s">
        <v>39</v>
      </c>
      <c r="D259" t="s">
        <v>51</v>
      </c>
      <c r="E259" s="23" t="s">
        <v>753</v>
      </c>
      <c r="F259" t="s">
        <v>58</v>
      </c>
      <c r="G259" t="s">
        <v>93</v>
      </c>
    </row>
    <row r="260" spans="1:7">
      <c r="A260">
        <v>3261</v>
      </c>
      <c r="B260" t="s">
        <v>179</v>
      </c>
      <c r="C260" t="s">
        <v>39</v>
      </c>
      <c r="D260" t="s">
        <v>48</v>
      </c>
      <c r="E260" s="23" t="s">
        <v>757</v>
      </c>
      <c r="F260" t="s">
        <v>65</v>
      </c>
      <c r="G260" t="s">
        <v>40</v>
      </c>
    </row>
    <row r="261" spans="1:7">
      <c r="A261">
        <v>6130</v>
      </c>
      <c r="B261" t="s">
        <v>157</v>
      </c>
      <c r="C261" t="s">
        <v>79</v>
      </c>
      <c r="D261" t="s">
        <v>100</v>
      </c>
      <c r="E261" s="23" t="s">
        <v>769</v>
      </c>
      <c r="F261" t="s">
        <v>38</v>
      </c>
      <c r="G261" t="s">
        <v>93</v>
      </c>
    </row>
    <row r="262" spans="1:7">
      <c r="A262">
        <v>9399</v>
      </c>
      <c r="B262" t="s">
        <v>183</v>
      </c>
      <c r="C262" t="s">
        <v>39</v>
      </c>
      <c r="D262" t="s">
        <v>26</v>
      </c>
      <c r="E262" s="23" t="s">
        <v>751</v>
      </c>
      <c r="F262" t="s">
        <v>31</v>
      </c>
      <c r="G262" t="s">
        <v>33</v>
      </c>
    </row>
    <row r="263" spans="1:7">
      <c r="A263">
        <v>6047</v>
      </c>
      <c r="B263" t="s">
        <v>284</v>
      </c>
      <c r="C263" t="s">
        <v>79</v>
      </c>
      <c r="D263" t="s">
        <v>63</v>
      </c>
      <c r="E263" s="23" t="s">
        <v>767</v>
      </c>
      <c r="F263" t="s">
        <v>76</v>
      </c>
      <c r="G263" t="s">
        <v>33</v>
      </c>
    </row>
    <row r="264" spans="1:7">
      <c r="A264">
        <v>7789</v>
      </c>
      <c r="B264" t="s">
        <v>120</v>
      </c>
      <c r="C264" t="s">
        <v>69</v>
      </c>
      <c r="D264" t="s">
        <v>36</v>
      </c>
      <c r="E264" s="23" t="s">
        <v>765</v>
      </c>
      <c r="F264" t="s">
        <v>76</v>
      </c>
      <c r="G264" t="s">
        <v>40</v>
      </c>
    </row>
    <row r="265" spans="1:7">
      <c r="A265">
        <v>6111</v>
      </c>
      <c r="B265" t="s">
        <v>176</v>
      </c>
      <c r="C265" t="s">
        <v>32</v>
      </c>
      <c r="D265" t="s">
        <v>100</v>
      </c>
      <c r="E265" s="23" t="s">
        <v>766</v>
      </c>
      <c r="F265" t="s">
        <v>58</v>
      </c>
      <c r="G265" t="s">
        <v>40</v>
      </c>
    </row>
    <row r="266" spans="1:7">
      <c r="A266">
        <v>4968</v>
      </c>
      <c r="B266" t="s">
        <v>373</v>
      </c>
      <c r="C266" t="s">
        <v>79</v>
      </c>
      <c r="D266" t="s">
        <v>73</v>
      </c>
      <c r="E266" s="23" t="s">
        <v>763</v>
      </c>
      <c r="F266" t="s">
        <v>65</v>
      </c>
      <c r="G266" t="s">
        <v>40</v>
      </c>
    </row>
    <row r="267" spans="1:7">
      <c r="A267">
        <v>2739</v>
      </c>
      <c r="B267" t="s">
        <v>374</v>
      </c>
      <c r="C267" t="s">
        <v>39</v>
      </c>
      <c r="D267" t="s">
        <v>51</v>
      </c>
      <c r="E267" s="23" t="s">
        <v>753</v>
      </c>
      <c r="F267" t="s">
        <v>38</v>
      </c>
      <c r="G267" t="s">
        <v>33</v>
      </c>
    </row>
    <row r="268" spans="1:7">
      <c r="A268">
        <v>6974</v>
      </c>
      <c r="B268" t="s">
        <v>77</v>
      </c>
      <c r="C268" t="s">
        <v>39</v>
      </c>
      <c r="D268" t="s">
        <v>73</v>
      </c>
      <c r="E268" s="23" t="s">
        <v>752</v>
      </c>
      <c r="F268" t="s">
        <v>58</v>
      </c>
      <c r="G268" t="s">
        <v>60</v>
      </c>
    </row>
    <row r="269" spans="1:7">
      <c r="A269">
        <v>1784</v>
      </c>
      <c r="B269" t="s">
        <v>244</v>
      </c>
      <c r="C269" t="s">
        <v>39</v>
      </c>
      <c r="D269" t="s">
        <v>36</v>
      </c>
      <c r="E269" s="23" t="s">
        <v>754</v>
      </c>
      <c r="F269" t="s">
        <v>38</v>
      </c>
      <c r="G269" t="s">
        <v>93</v>
      </c>
    </row>
    <row r="270" spans="1:7">
      <c r="A270">
        <v>8077</v>
      </c>
      <c r="B270" t="s">
        <v>128</v>
      </c>
      <c r="C270" t="s">
        <v>39</v>
      </c>
      <c r="D270" t="s">
        <v>51</v>
      </c>
      <c r="E270" s="23" t="s">
        <v>753</v>
      </c>
      <c r="F270" t="s">
        <v>31</v>
      </c>
      <c r="G270" t="s">
        <v>60</v>
      </c>
    </row>
    <row r="271" spans="1:7">
      <c r="A271">
        <v>2727</v>
      </c>
      <c r="B271" t="s">
        <v>376</v>
      </c>
      <c r="C271" t="s">
        <v>39</v>
      </c>
      <c r="D271" t="s">
        <v>100</v>
      </c>
      <c r="E271" s="23" t="s">
        <v>756</v>
      </c>
      <c r="F271" t="s">
        <v>76</v>
      </c>
      <c r="G271" t="s">
        <v>40</v>
      </c>
    </row>
    <row r="272" spans="1:7">
      <c r="A272">
        <v>7661</v>
      </c>
      <c r="B272" t="s">
        <v>378</v>
      </c>
      <c r="C272" t="s">
        <v>69</v>
      </c>
      <c r="D272" t="s">
        <v>26</v>
      </c>
      <c r="E272" s="23" t="s">
        <v>759</v>
      </c>
      <c r="F272" t="s">
        <v>58</v>
      </c>
      <c r="G272" t="s">
        <v>93</v>
      </c>
    </row>
    <row r="273" spans="1:7">
      <c r="A273">
        <v>5083</v>
      </c>
      <c r="B273" t="s">
        <v>148</v>
      </c>
      <c r="C273" t="s">
        <v>69</v>
      </c>
      <c r="D273" t="s">
        <v>100</v>
      </c>
      <c r="E273" s="23" t="s">
        <v>772</v>
      </c>
      <c r="F273" t="s">
        <v>65</v>
      </c>
      <c r="G273" t="s">
        <v>40</v>
      </c>
    </row>
    <row r="274" spans="1:7">
      <c r="A274">
        <v>7275</v>
      </c>
      <c r="B274" t="s">
        <v>379</v>
      </c>
      <c r="C274" t="s">
        <v>79</v>
      </c>
      <c r="D274" t="s">
        <v>100</v>
      </c>
      <c r="E274" s="23" t="s">
        <v>769</v>
      </c>
      <c r="F274" t="s">
        <v>58</v>
      </c>
      <c r="G274" t="s">
        <v>33</v>
      </c>
    </row>
    <row r="275" spans="1:7">
      <c r="A275">
        <v>7316</v>
      </c>
      <c r="B275" t="s">
        <v>380</v>
      </c>
      <c r="C275" t="s">
        <v>69</v>
      </c>
      <c r="D275" t="s">
        <v>36</v>
      </c>
      <c r="E275" s="23" t="s">
        <v>765</v>
      </c>
      <c r="F275" t="s">
        <v>58</v>
      </c>
      <c r="G275" t="s">
        <v>33</v>
      </c>
    </row>
    <row r="276" spans="1:7">
      <c r="A276">
        <v>4497</v>
      </c>
      <c r="B276" t="s">
        <v>382</v>
      </c>
      <c r="C276" t="s">
        <v>32</v>
      </c>
      <c r="D276" t="s">
        <v>26</v>
      </c>
      <c r="E276" s="23" t="s">
        <v>758</v>
      </c>
      <c r="F276" t="s">
        <v>31</v>
      </c>
      <c r="G276" t="s">
        <v>40</v>
      </c>
    </row>
    <row r="277" spans="1:7">
      <c r="A277">
        <v>8685</v>
      </c>
      <c r="B277" t="s">
        <v>138</v>
      </c>
      <c r="C277" t="s">
        <v>69</v>
      </c>
      <c r="D277" t="s">
        <v>51</v>
      </c>
      <c r="E277" s="23" t="s">
        <v>774</v>
      </c>
      <c r="F277" t="s">
        <v>58</v>
      </c>
      <c r="G277" t="s">
        <v>40</v>
      </c>
    </row>
    <row r="278" spans="1:7">
      <c r="A278">
        <v>8583</v>
      </c>
      <c r="B278" t="s">
        <v>118</v>
      </c>
      <c r="C278" t="s">
        <v>32</v>
      </c>
      <c r="D278" t="s">
        <v>48</v>
      </c>
      <c r="E278" s="23" t="s">
        <v>770</v>
      </c>
      <c r="F278" t="s">
        <v>65</v>
      </c>
      <c r="G278" t="s">
        <v>60</v>
      </c>
    </row>
    <row r="279" spans="1:7">
      <c r="A279">
        <v>1062</v>
      </c>
      <c r="B279" t="s">
        <v>179</v>
      </c>
      <c r="C279" t="s">
        <v>79</v>
      </c>
      <c r="D279" t="s">
        <v>48</v>
      </c>
      <c r="E279" s="23" t="s">
        <v>768</v>
      </c>
      <c r="F279" t="s">
        <v>31</v>
      </c>
      <c r="G279" t="s">
        <v>33</v>
      </c>
    </row>
    <row r="280" spans="1:7">
      <c r="A280">
        <v>2593</v>
      </c>
      <c r="B280" t="s">
        <v>130</v>
      </c>
      <c r="C280" t="s">
        <v>59</v>
      </c>
      <c r="D280" t="s">
        <v>63</v>
      </c>
      <c r="E280" s="23" t="s">
        <v>748</v>
      </c>
      <c r="F280" t="s">
        <v>31</v>
      </c>
      <c r="G280" t="s">
        <v>93</v>
      </c>
    </row>
    <row r="281" spans="1:7">
      <c r="A281">
        <v>3951</v>
      </c>
      <c r="B281" t="s">
        <v>383</v>
      </c>
      <c r="C281" t="s">
        <v>69</v>
      </c>
      <c r="D281" t="s">
        <v>48</v>
      </c>
      <c r="E281" s="23" t="s">
        <v>778</v>
      </c>
      <c r="F281" t="s">
        <v>76</v>
      </c>
      <c r="G281" t="s">
        <v>33</v>
      </c>
    </row>
    <row r="282" spans="1:7">
      <c r="A282">
        <v>8580</v>
      </c>
      <c r="B282" t="s">
        <v>385</v>
      </c>
      <c r="C282" t="s">
        <v>39</v>
      </c>
      <c r="D282" t="s">
        <v>100</v>
      </c>
      <c r="E282" s="23" t="s">
        <v>756</v>
      </c>
      <c r="F282" t="s">
        <v>38</v>
      </c>
      <c r="G282" t="s">
        <v>93</v>
      </c>
    </row>
    <row r="283" spans="1:7">
      <c r="A283">
        <v>4372</v>
      </c>
      <c r="B283" t="s">
        <v>157</v>
      </c>
      <c r="C283" t="s">
        <v>32</v>
      </c>
      <c r="D283" t="s">
        <v>48</v>
      </c>
      <c r="E283" s="23" t="s">
        <v>770</v>
      </c>
      <c r="F283" t="s">
        <v>65</v>
      </c>
      <c r="G283" t="s">
        <v>60</v>
      </c>
    </row>
    <row r="284" spans="1:7">
      <c r="A284">
        <v>4463</v>
      </c>
      <c r="B284" t="s">
        <v>387</v>
      </c>
      <c r="C284" t="s">
        <v>59</v>
      </c>
      <c r="D284" t="s">
        <v>63</v>
      </c>
      <c r="E284" s="23" t="s">
        <v>748</v>
      </c>
      <c r="F284" t="s">
        <v>65</v>
      </c>
      <c r="G284" t="s">
        <v>33</v>
      </c>
    </row>
    <row r="285" spans="1:7">
      <c r="A285">
        <v>7498</v>
      </c>
      <c r="B285" t="s">
        <v>389</v>
      </c>
      <c r="C285" t="s">
        <v>39</v>
      </c>
      <c r="D285" t="s">
        <v>51</v>
      </c>
      <c r="E285" s="23" t="s">
        <v>753</v>
      </c>
      <c r="F285" t="s">
        <v>65</v>
      </c>
      <c r="G285" t="s">
        <v>33</v>
      </c>
    </row>
    <row r="286" spans="1:7">
      <c r="A286">
        <v>9618</v>
      </c>
      <c r="B286" t="s">
        <v>234</v>
      </c>
      <c r="C286" t="s">
        <v>39</v>
      </c>
      <c r="D286" t="s">
        <v>73</v>
      </c>
      <c r="E286" s="23" t="s">
        <v>752</v>
      </c>
      <c r="F286" t="s">
        <v>58</v>
      </c>
      <c r="G286" t="s">
        <v>40</v>
      </c>
    </row>
    <row r="287" spans="1:7">
      <c r="A287">
        <v>1813</v>
      </c>
      <c r="B287" t="s">
        <v>391</v>
      </c>
      <c r="C287" t="s">
        <v>69</v>
      </c>
      <c r="D287" t="s">
        <v>63</v>
      </c>
      <c r="E287" s="23" t="s">
        <v>777</v>
      </c>
      <c r="F287" t="s">
        <v>38</v>
      </c>
      <c r="G287" t="s">
        <v>60</v>
      </c>
    </row>
    <row r="288" spans="1:7">
      <c r="A288">
        <v>3009</v>
      </c>
      <c r="B288" t="s">
        <v>393</v>
      </c>
      <c r="C288" t="s">
        <v>59</v>
      </c>
      <c r="D288" t="s">
        <v>51</v>
      </c>
      <c r="E288" s="23" t="s">
        <v>746</v>
      </c>
      <c r="F288" t="s">
        <v>38</v>
      </c>
      <c r="G288" t="s">
        <v>60</v>
      </c>
    </row>
    <row r="289" spans="1:7">
      <c r="A289">
        <v>8210</v>
      </c>
      <c r="B289" t="s">
        <v>114</v>
      </c>
      <c r="C289" t="s">
        <v>69</v>
      </c>
      <c r="D289" t="s">
        <v>63</v>
      </c>
      <c r="E289" s="23" t="s">
        <v>777</v>
      </c>
      <c r="F289" t="s">
        <v>31</v>
      </c>
      <c r="G289" t="s">
        <v>93</v>
      </c>
    </row>
    <row r="290" spans="1:7">
      <c r="A290">
        <v>8439</v>
      </c>
      <c r="B290" t="s">
        <v>395</v>
      </c>
      <c r="C290" t="s">
        <v>59</v>
      </c>
      <c r="D290" t="s">
        <v>63</v>
      </c>
      <c r="E290" s="23" t="s">
        <v>748</v>
      </c>
      <c r="F290" t="s">
        <v>38</v>
      </c>
      <c r="G290" t="s">
        <v>93</v>
      </c>
    </row>
    <row r="291" spans="1:7">
      <c r="A291">
        <v>8310</v>
      </c>
      <c r="B291" t="s">
        <v>344</v>
      </c>
      <c r="C291" t="s">
        <v>69</v>
      </c>
      <c r="D291" t="s">
        <v>36</v>
      </c>
      <c r="E291" s="23" t="s">
        <v>765</v>
      </c>
      <c r="F291" t="s">
        <v>31</v>
      </c>
      <c r="G291" t="s">
        <v>93</v>
      </c>
    </row>
    <row r="292" spans="1:7">
      <c r="A292">
        <v>6369</v>
      </c>
      <c r="B292" t="s">
        <v>143</v>
      </c>
      <c r="C292" t="s">
        <v>39</v>
      </c>
      <c r="D292" t="s">
        <v>63</v>
      </c>
      <c r="E292" s="23" t="s">
        <v>755</v>
      </c>
      <c r="F292" t="s">
        <v>38</v>
      </c>
      <c r="G292" t="s">
        <v>40</v>
      </c>
    </row>
    <row r="293" spans="1:7">
      <c r="A293">
        <v>5721</v>
      </c>
      <c r="B293" t="s">
        <v>399</v>
      </c>
      <c r="C293" t="s">
        <v>32</v>
      </c>
      <c r="D293" t="s">
        <v>51</v>
      </c>
      <c r="E293" s="23" t="s">
        <v>773</v>
      </c>
      <c r="F293" t="s">
        <v>76</v>
      </c>
      <c r="G293" t="s">
        <v>93</v>
      </c>
    </row>
    <row r="294" spans="1:7">
      <c r="A294">
        <v>4204</v>
      </c>
      <c r="B294" t="s">
        <v>169</v>
      </c>
      <c r="C294" t="s">
        <v>32</v>
      </c>
      <c r="D294" t="s">
        <v>63</v>
      </c>
      <c r="E294" s="23" t="s">
        <v>761</v>
      </c>
      <c r="F294" t="s">
        <v>76</v>
      </c>
      <c r="G294" t="s">
        <v>60</v>
      </c>
    </row>
    <row r="295" spans="1:7">
      <c r="A295">
        <v>5666</v>
      </c>
      <c r="B295" t="s">
        <v>272</v>
      </c>
      <c r="C295" t="s">
        <v>59</v>
      </c>
      <c r="D295" t="s">
        <v>36</v>
      </c>
      <c r="E295" s="23" t="s">
        <v>747</v>
      </c>
      <c r="F295" t="s">
        <v>65</v>
      </c>
      <c r="G295" t="s">
        <v>33</v>
      </c>
    </row>
    <row r="296" spans="1:7">
      <c r="A296">
        <v>5943</v>
      </c>
      <c r="B296" t="s">
        <v>401</v>
      </c>
      <c r="C296" t="s">
        <v>79</v>
      </c>
      <c r="D296" t="s">
        <v>100</v>
      </c>
      <c r="E296" s="23" t="s">
        <v>769</v>
      </c>
      <c r="F296" t="s">
        <v>38</v>
      </c>
      <c r="G296" t="s">
        <v>40</v>
      </c>
    </row>
    <row r="297" spans="1:7">
      <c r="A297">
        <v>3202</v>
      </c>
      <c r="B297" t="s">
        <v>52</v>
      </c>
      <c r="C297" t="s">
        <v>69</v>
      </c>
      <c r="D297" t="s">
        <v>48</v>
      </c>
      <c r="E297" s="23" t="s">
        <v>778</v>
      </c>
      <c r="F297" t="s">
        <v>31</v>
      </c>
      <c r="G297" t="s">
        <v>93</v>
      </c>
    </row>
    <row r="298" spans="1:7">
      <c r="A298">
        <v>4512</v>
      </c>
      <c r="B298" t="s">
        <v>259</v>
      </c>
      <c r="C298" t="s">
        <v>39</v>
      </c>
      <c r="D298" t="s">
        <v>51</v>
      </c>
      <c r="E298" s="23" t="s">
        <v>753</v>
      </c>
      <c r="F298" t="s">
        <v>31</v>
      </c>
      <c r="G298" t="s">
        <v>40</v>
      </c>
    </row>
    <row r="299" spans="1:7">
      <c r="A299">
        <v>2075</v>
      </c>
      <c r="B299" t="s">
        <v>347</v>
      </c>
      <c r="C299" t="s">
        <v>79</v>
      </c>
      <c r="D299" t="s">
        <v>36</v>
      </c>
      <c r="E299" s="23" t="s">
        <v>776</v>
      </c>
      <c r="F299" t="s">
        <v>58</v>
      </c>
      <c r="G299" t="s">
        <v>60</v>
      </c>
    </row>
    <row r="300" spans="1:7">
      <c r="A300">
        <v>4057</v>
      </c>
      <c r="B300" t="s">
        <v>404</v>
      </c>
      <c r="C300" t="s">
        <v>79</v>
      </c>
      <c r="D300" t="s">
        <v>73</v>
      </c>
      <c r="E300" s="23" t="s">
        <v>763</v>
      </c>
      <c r="F300" t="s">
        <v>31</v>
      </c>
      <c r="G300" t="s">
        <v>60</v>
      </c>
    </row>
    <row r="301" spans="1:7">
      <c r="A301">
        <v>5537</v>
      </c>
      <c r="B301" t="s">
        <v>212</v>
      </c>
      <c r="C301" t="s">
        <v>69</v>
      </c>
      <c r="D301" t="s">
        <v>51</v>
      </c>
      <c r="E301" s="23" t="s">
        <v>774</v>
      </c>
      <c r="F301" t="s">
        <v>76</v>
      </c>
      <c r="G301" t="s">
        <v>60</v>
      </c>
    </row>
    <row r="302" spans="1:7">
      <c r="A302">
        <v>9520</v>
      </c>
      <c r="B302" t="s">
        <v>405</v>
      </c>
      <c r="C302" t="s">
        <v>79</v>
      </c>
      <c r="D302" t="s">
        <v>100</v>
      </c>
      <c r="E302" s="23" t="s">
        <v>769</v>
      </c>
      <c r="F302" t="s">
        <v>76</v>
      </c>
      <c r="G302" t="s">
        <v>60</v>
      </c>
    </row>
    <row r="303" spans="1:7">
      <c r="A303">
        <v>1081</v>
      </c>
      <c r="B303" t="s">
        <v>406</v>
      </c>
      <c r="C303" t="s">
        <v>32</v>
      </c>
      <c r="D303" t="s">
        <v>36</v>
      </c>
      <c r="E303" s="23" t="s">
        <v>764</v>
      </c>
      <c r="F303" t="s">
        <v>76</v>
      </c>
      <c r="G303" t="s">
        <v>33</v>
      </c>
    </row>
    <row r="304" spans="1:7">
      <c r="A304">
        <v>7621</v>
      </c>
      <c r="B304" t="s">
        <v>405</v>
      </c>
      <c r="C304" t="s">
        <v>79</v>
      </c>
      <c r="D304" t="s">
        <v>36</v>
      </c>
      <c r="E304" s="23" t="s">
        <v>776</v>
      </c>
      <c r="F304" t="s">
        <v>76</v>
      </c>
      <c r="G304" t="s">
        <v>40</v>
      </c>
    </row>
    <row r="305" spans="1:7">
      <c r="A305">
        <v>4558</v>
      </c>
      <c r="B305" t="s">
        <v>204</v>
      </c>
      <c r="C305" t="s">
        <v>79</v>
      </c>
      <c r="D305" t="s">
        <v>36</v>
      </c>
      <c r="E305" s="23" t="s">
        <v>776</v>
      </c>
      <c r="F305" t="s">
        <v>65</v>
      </c>
      <c r="G305" t="s">
        <v>40</v>
      </c>
    </row>
    <row r="306" spans="1:7">
      <c r="A306">
        <v>6628</v>
      </c>
      <c r="B306" t="s">
        <v>357</v>
      </c>
      <c r="C306" t="s">
        <v>69</v>
      </c>
      <c r="D306" t="s">
        <v>100</v>
      </c>
      <c r="E306" s="23" t="s">
        <v>772</v>
      </c>
      <c r="F306" t="s">
        <v>31</v>
      </c>
      <c r="G306" t="s">
        <v>40</v>
      </c>
    </row>
    <row r="307" spans="1:7">
      <c r="A307">
        <v>7643</v>
      </c>
      <c r="B307" t="s">
        <v>408</v>
      </c>
      <c r="C307" t="s">
        <v>79</v>
      </c>
      <c r="D307" t="s">
        <v>48</v>
      </c>
      <c r="E307" s="23" t="s">
        <v>768</v>
      </c>
      <c r="F307" t="s">
        <v>31</v>
      </c>
      <c r="G307" t="s">
        <v>60</v>
      </c>
    </row>
    <row r="308" spans="1:7">
      <c r="A308">
        <v>4709</v>
      </c>
      <c r="B308" t="s">
        <v>409</v>
      </c>
      <c r="C308" t="s">
        <v>69</v>
      </c>
      <c r="D308" t="s">
        <v>73</v>
      </c>
      <c r="E308" s="23" t="s">
        <v>771</v>
      </c>
      <c r="F308" t="s">
        <v>38</v>
      </c>
      <c r="G308" t="s">
        <v>33</v>
      </c>
    </row>
    <row r="309" spans="1:7">
      <c r="A309">
        <v>8408</v>
      </c>
      <c r="B309" t="s">
        <v>176</v>
      </c>
      <c r="C309" t="s">
        <v>32</v>
      </c>
      <c r="D309" t="s">
        <v>51</v>
      </c>
      <c r="E309" s="23" t="s">
        <v>773</v>
      </c>
      <c r="F309" t="s">
        <v>31</v>
      </c>
      <c r="G309" t="s">
        <v>93</v>
      </c>
    </row>
    <row r="310" spans="1:7">
      <c r="A310">
        <v>3530</v>
      </c>
      <c r="B310" t="s">
        <v>411</v>
      </c>
      <c r="C310" t="s">
        <v>39</v>
      </c>
      <c r="D310" t="s">
        <v>36</v>
      </c>
      <c r="E310" s="23" t="s">
        <v>754</v>
      </c>
      <c r="F310" t="s">
        <v>38</v>
      </c>
      <c r="G310" t="s">
        <v>33</v>
      </c>
    </row>
    <row r="311" spans="1:7">
      <c r="A311">
        <v>3779</v>
      </c>
      <c r="B311" t="s">
        <v>291</v>
      </c>
      <c r="C311" t="s">
        <v>39</v>
      </c>
      <c r="D311" t="s">
        <v>36</v>
      </c>
      <c r="E311" s="23" t="s">
        <v>754</v>
      </c>
      <c r="F311" t="s">
        <v>76</v>
      </c>
      <c r="G311" t="s">
        <v>40</v>
      </c>
    </row>
    <row r="312" spans="1:7">
      <c r="A312">
        <v>8564</v>
      </c>
      <c r="B312" t="s">
        <v>202</v>
      </c>
      <c r="C312" t="s">
        <v>69</v>
      </c>
      <c r="D312" t="s">
        <v>100</v>
      </c>
      <c r="E312" s="23" t="s">
        <v>772</v>
      </c>
      <c r="F312" t="s">
        <v>31</v>
      </c>
      <c r="G312" t="s">
        <v>33</v>
      </c>
    </row>
    <row r="313" spans="1:7">
      <c r="A313">
        <v>8731</v>
      </c>
      <c r="B313" t="s">
        <v>177</v>
      </c>
      <c r="C313" t="s">
        <v>69</v>
      </c>
      <c r="D313" t="s">
        <v>100</v>
      </c>
      <c r="E313" s="23" t="s">
        <v>772</v>
      </c>
      <c r="F313" t="s">
        <v>31</v>
      </c>
      <c r="G313" t="s">
        <v>40</v>
      </c>
    </row>
    <row r="314" spans="1:7">
      <c r="A314">
        <v>5000</v>
      </c>
      <c r="B314" t="s">
        <v>150</v>
      </c>
      <c r="C314" t="s">
        <v>59</v>
      </c>
      <c r="D314" t="s">
        <v>63</v>
      </c>
      <c r="E314" s="23" t="s">
        <v>748</v>
      </c>
      <c r="F314" t="s">
        <v>31</v>
      </c>
      <c r="G314" t="s">
        <v>60</v>
      </c>
    </row>
    <row r="315" spans="1:7">
      <c r="A315">
        <v>3882</v>
      </c>
      <c r="B315" t="s">
        <v>318</v>
      </c>
      <c r="C315" t="s">
        <v>59</v>
      </c>
      <c r="D315" t="s">
        <v>36</v>
      </c>
      <c r="E315" s="23" t="s">
        <v>747</v>
      </c>
      <c r="F315" t="s">
        <v>65</v>
      </c>
      <c r="G315" t="s">
        <v>40</v>
      </c>
    </row>
    <row r="316" spans="1:7">
      <c r="A316">
        <v>4551</v>
      </c>
      <c r="B316" t="s">
        <v>414</v>
      </c>
      <c r="C316" t="s">
        <v>59</v>
      </c>
      <c r="D316" t="s">
        <v>100</v>
      </c>
      <c r="E316" s="23" t="s">
        <v>749</v>
      </c>
      <c r="F316" t="s">
        <v>76</v>
      </c>
      <c r="G316" t="s">
        <v>60</v>
      </c>
    </row>
    <row r="317" spans="1:7">
      <c r="A317">
        <v>7970</v>
      </c>
      <c r="B317" t="s">
        <v>169</v>
      </c>
      <c r="C317" t="s">
        <v>79</v>
      </c>
      <c r="D317" t="s">
        <v>73</v>
      </c>
      <c r="E317" s="23" t="s">
        <v>763</v>
      </c>
      <c r="F317" t="s">
        <v>31</v>
      </c>
      <c r="G317" t="s">
        <v>60</v>
      </c>
    </row>
    <row r="318" spans="1:7">
      <c r="A318">
        <v>2466</v>
      </c>
      <c r="B318" t="s">
        <v>417</v>
      </c>
      <c r="C318" t="s">
        <v>39</v>
      </c>
      <c r="D318" t="s">
        <v>51</v>
      </c>
      <c r="E318" s="23" t="s">
        <v>753</v>
      </c>
      <c r="F318" t="s">
        <v>65</v>
      </c>
      <c r="G318" t="s">
        <v>93</v>
      </c>
    </row>
    <row r="319" spans="1:7">
      <c r="A319">
        <v>1303</v>
      </c>
      <c r="B319" t="s">
        <v>140</v>
      </c>
      <c r="C319" t="s">
        <v>39</v>
      </c>
      <c r="D319" t="s">
        <v>100</v>
      </c>
      <c r="E319" s="23" t="s">
        <v>756</v>
      </c>
      <c r="F319" t="s">
        <v>38</v>
      </c>
      <c r="G319" t="s">
        <v>40</v>
      </c>
    </row>
    <row r="320" spans="1:7">
      <c r="A320">
        <v>9832</v>
      </c>
      <c r="B320" t="s">
        <v>311</v>
      </c>
      <c r="C320" t="s">
        <v>39</v>
      </c>
      <c r="D320" t="s">
        <v>36</v>
      </c>
      <c r="E320" s="23" t="s">
        <v>754</v>
      </c>
      <c r="F320" t="s">
        <v>65</v>
      </c>
      <c r="G320" t="s">
        <v>40</v>
      </c>
    </row>
    <row r="321" spans="1:7">
      <c r="A321">
        <v>3618</v>
      </c>
      <c r="B321" t="s">
        <v>284</v>
      </c>
      <c r="C321" t="s">
        <v>79</v>
      </c>
      <c r="D321" t="s">
        <v>26</v>
      </c>
      <c r="E321" s="23" t="s">
        <v>760</v>
      </c>
      <c r="F321" t="s">
        <v>38</v>
      </c>
      <c r="G321" t="s">
        <v>33</v>
      </c>
    </row>
    <row r="322" spans="1:7">
      <c r="A322">
        <v>7424</v>
      </c>
      <c r="B322" t="s">
        <v>148</v>
      </c>
      <c r="C322" t="s">
        <v>69</v>
      </c>
      <c r="D322" t="s">
        <v>73</v>
      </c>
      <c r="E322" s="23" t="s">
        <v>771</v>
      </c>
      <c r="F322" t="s">
        <v>76</v>
      </c>
      <c r="G322" t="s">
        <v>40</v>
      </c>
    </row>
    <row r="323" spans="1:7">
      <c r="A323">
        <v>8414</v>
      </c>
      <c r="B323" t="s">
        <v>148</v>
      </c>
      <c r="C323" t="s">
        <v>79</v>
      </c>
      <c r="D323" t="s">
        <v>36</v>
      </c>
      <c r="E323" s="23" t="s">
        <v>776</v>
      </c>
      <c r="F323" t="s">
        <v>65</v>
      </c>
      <c r="G323" t="s">
        <v>93</v>
      </c>
    </row>
    <row r="324" spans="1:7">
      <c r="A324">
        <v>5688</v>
      </c>
      <c r="B324" t="s">
        <v>140</v>
      </c>
      <c r="C324" t="s">
        <v>69</v>
      </c>
      <c r="D324" t="s">
        <v>36</v>
      </c>
      <c r="E324" s="23" t="s">
        <v>765</v>
      </c>
      <c r="F324" t="s">
        <v>31</v>
      </c>
      <c r="G324" t="s">
        <v>60</v>
      </c>
    </row>
    <row r="325" spans="1:7">
      <c r="A325">
        <v>2062</v>
      </c>
      <c r="B325" t="s">
        <v>421</v>
      </c>
      <c r="C325" t="s">
        <v>69</v>
      </c>
      <c r="D325" t="s">
        <v>51</v>
      </c>
      <c r="E325" s="23" t="s">
        <v>774</v>
      </c>
      <c r="F325" t="s">
        <v>58</v>
      </c>
      <c r="G325" t="s">
        <v>33</v>
      </c>
    </row>
    <row r="326" spans="1:7">
      <c r="A326">
        <v>5031</v>
      </c>
      <c r="B326" t="s">
        <v>422</v>
      </c>
      <c r="C326" t="s">
        <v>59</v>
      </c>
      <c r="D326" t="s">
        <v>26</v>
      </c>
      <c r="E326" s="23" t="s">
        <v>744</v>
      </c>
      <c r="F326" t="s">
        <v>38</v>
      </c>
      <c r="G326" t="s">
        <v>33</v>
      </c>
    </row>
    <row r="327" spans="1:7">
      <c r="A327">
        <v>1162</v>
      </c>
      <c r="B327" t="s">
        <v>294</v>
      </c>
      <c r="C327" t="s">
        <v>69</v>
      </c>
      <c r="D327" t="s">
        <v>48</v>
      </c>
      <c r="E327" s="23" t="s">
        <v>778</v>
      </c>
      <c r="F327" t="s">
        <v>58</v>
      </c>
      <c r="G327" t="s">
        <v>93</v>
      </c>
    </row>
    <row r="328" spans="1:7">
      <c r="A328">
        <v>6564</v>
      </c>
      <c r="B328" t="s">
        <v>153</v>
      </c>
      <c r="C328" t="s">
        <v>39</v>
      </c>
      <c r="D328" t="s">
        <v>36</v>
      </c>
      <c r="E328" s="23" t="s">
        <v>754</v>
      </c>
      <c r="F328" t="s">
        <v>65</v>
      </c>
      <c r="G328" t="s">
        <v>93</v>
      </c>
    </row>
    <row r="329" spans="1:7">
      <c r="A329">
        <v>9298</v>
      </c>
      <c r="B329" t="s">
        <v>174</v>
      </c>
      <c r="C329" t="s">
        <v>79</v>
      </c>
      <c r="D329" t="s">
        <v>73</v>
      </c>
      <c r="E329" s="23" t="s">
        <v>763</v>
      </c>
      <c r="F329" t="s">
        <v>76</v>
      </c>
      <c r="G329" t="s">
        <v>40</v>
      </c>
    </row>
    <row r="330" spans="1:7">
      <c r="A330">
        <v>4216</v>
      </c>
      <c r="B330" t="s">
        <v>424</v>
      </c>
      <c r="C330" t="s">
        <v>39</v>
      </c>
      <c r="D330" t="s">
        <v>26</v>
      </c>
      <c r="E330" s="23" t="s">
        <v>751</v>
      </c>
      <c r="F330" t="s">
        <v>31</v>
      </c>
      <c r="G330" t="s">
        <v>33</v>
      </c>
    </row>
    <row r="331" spans="1:7">
      <c r="A331">
        <v>3677</v>
      </c>
      <c r="B331" t="s">
        <v>226</v>
      </c>
      <c r="C331" t="s">
        <v>39</v>
      </c>
      <c r="D331" t="s">
        <v>48</v>
      </c>
      <c r="E331" s="23" t="s">
        <v>757</v>
      </c>
      <c r="F331" t="s">
        <v>31</v>
      </c>
      <c r="G331" t="s">
        <v>93</v>
      </c>
    </row>
    <row r="332" spans="1:7">
      <c r="A332">
        <v>8453</v>
      </c>
      <c r="B332" t="s">
        <v>344</v>
      </c>
      <c r="C332" t="s">
        <v>59</v>
      </c>
      <c r="D332" t="s">
        <v>100</v>
      </c>
      <c r="E332" s="23" t="s">
        <v>749</v>
      </c>
      <c r="F332" t="s">
        <v>65</v>
      </c>
      <c r="G332" t="s">
        <v>60</v>
      </c>
    </row>
    <row r="333" spans="1:7">
      <c r="A333">
        <v>6231</v>
      </c>
      <c r="B333" t="s">
        <v>186</v>
      </c>
      <c r="C333" t="s">
        <v>69</v>
      </c>
      <c r="D333" t="s">
        <v>63</v>
      </c>
      <c r="E333" s="23" t="s">
        <v>777</v>
      </c>
      <c r="F333" t="s">
        <v>65</v>
      </c>
      <c r="G333" t="s">
        <v>33</v>
      </c>
    </row>
    <row r="334" spans="1:7">
      <c r="A334">
        <v>1481</v>
      </c>
      <c r="B334" t="s">
        <v>52</v>
      </c>
      <c r="C334" t="s">
        <v>69</v>
      </c>
      <c r="D334" t="s">
        <v>51</v>
      </c>
      <c r="E334" s="23" t="s">
        <v>774</v>
      </c>
      <c r="F334" t="s">
        <v>31</v>
      </c>
      <c r="G334" t="s">
        <v>60</v>
      </c>
    </row>
    <row r="335" spans="1:7">
      <c r="A335">
        <v>7400</v>
      </c>
      <c r="B335" t="s">
        <v>428</v>
      </c>
      <c r="C335" t="s">
        <v>69</v>
      </c>
      <c r="D335" t="s">
        <v>26</v>
      </c>
      <c r="E335" s="23" t="s">
        <v>759</v>
      </c>
      <c r="F335" t="s">
        <v>38</v>
      </c>
      <c r="G335" t="s">
        <v>33</v>
      </c>
    </row>
    <row r="336" spans="1:7">
      <c r="A336">
        <v>7447</v>
      </c>
      <c r="B336" t="s">
        <v>130</v>
      </c>
      <c r="C336" t="s">
        <v>32</v>
      </c>
      <c r="D336" t="s">
        <v>36</v>
      </c>
      <c r="E336" s="23" t="s">
        <v>764</v>
      </c>
      <c r="F336" t="s">
        <v>58</v>
      </c>
      <c r="G336" t="s">
        <v>33</v>
      </c>
    </row>
    <row r="337" spans="1:7">
      <c r="A337">
        <v>4597</v>
      </c>
      <c r="B337" t="s">
        <v>244</v>
      </c>
      <c r="C337" t="s">
        <v>32</v>
      </c>
      <c r="D337" t="s">
        <v>51</v>
      </c>
      <c r="E337" s="23" t="s">
        <v>773</v>
      </c>
      <c r="F337" t="s">
        <v>76</v>
      </c>
      <c r="G337" t="s">
        <v>40</v>
      </c>
    </row>
    <row r="338" spans="1:7">
      <c r="A338">
        <v>3173</v>
      </c>
      <c r="B338" t="s">
        <v>236</v>
      </c>
      <c r="C338" t="s">
        <v>39</v>
      </c>
      <c r="D338" t="s">
        <v>48</v>
      </c>
      <c r="E338" s="23" t="s">
        <v>757</v>
      </c>
      <c r="F338" t="s">
        <v>38</v>
      </c>
      <c r="G338" t="s">
        <v>40</v>
      </c>
    </row>
    <row r="339" spans="1:7">
      <c r="A339">
        <v>9514</v>
      </c>
      <c r="B339" t="s">
        <v>431</v>
      </c>
      <c r="C339" t="s">
        <v>39</v>
      </c>
      <c r="D339" t="s">
        <v>63</v>
      </c>
      <c r="E339" s="23" t="s">
        <v>755</v>
      </c>
      <c r="F339" t="s">
        <v>65</v>
      </c>
      <c r="G339" t="s">
        <v>40</v>
      </c>
    </row>
    <row r="340" spans="1:7">
      <c r="A340">
        <v>4985</v>
      </c>
      <c r="B340" t="s">
        <v>157</v>
      </c>
      <c r="C340" t="s">
        <v>59</v>
      </c>
      <c r="D340" t="s">
        <v>48</v>
      </c>
      <c r="E340" s="23" t="s">
        <v>750</v>
      </c>
      <c r="F340" t="s">
        <v>38</v>
      </c>
      <c r="G340" t="s">
        <v>33</v>
      </c>
    </row>
    <row r="341" spans="1:7">
      <c r="A341">
        <v>4486</v>
      </c>
      <c r="B341" t="s">
        <v>395</v>
      </c>
      <c r="C341" t="s">
        <v>79</v>
      </c>
      <c r="D341" t="s">
        <v>36</v>
      </c>
      <c r="E341" s="23" t="s">
        <v>776</v>
      </c>
      <c r="F341" t="s">
        <v>38</v>
      </c>
      <c r="G341" t="s">
        <v>33</v>
      </c>
    </row>
    <row r="342" spans="1:7">
      <c r="A342">
        <v>8756</v>
      </c>
      <c r="B342" t="s">
        <v>143</v>
      </c>
      <c r="C342" t="s">
        <v>32</v>
      </c>
      <c r="D342" t="s">
        <v>36</v>
      </c>
      <c r="E342" s="23" t="s">
        <v>764</v>
      </c>
      <c r="F342" t="s">
        <v>31</v>
      </c>
      <c r="G342" t="s">
        <v>40</v>
      </c>
    </row>
    <row r="343" spans="1:7">
      <c r="A343">
        <v>9121</v>
      </c>
      <c r="B343" t="s">
        <v>262</v>
      </c>
      <c r="C343" t="s">
        <v>69</v>
      </c>
      <c r="D343" t="s">
        <v>63</v>
      </c>
      <c r="E343" s="23" t="s">
        <v>777</v>
      </c>
      <c r="F343" t="s">
        <v>65</v>
      </c>
      <c r="G343" t="s">
        <v>40</v>
      </c>
    </row>
    <row r="344" spans="1:7">
      <c r="A344">
        <v>6471</v>
      </c>
      <c r="B344" t="s">
        <v>88</v>
      </c>
      <c r="C344" t="s">
        <v>69</v>
      </c>
      <c r="D344" t="s">
        <v>73</v>
      </c>
      <c r="E344" s="23" t="s">
        <v>771</v>
      </c>
      <c r="F344" t="s">
        <v>38</v>
      </c>
      <c r="G344" t="s">
        <v>93</v>
      </c>
    </row>
    <row r="345" spans="1:7">
      <c r="A345">
        <v>6601</v>
      </c>
      <c r="B345" t="s">
        <v>434</v>
      </c>
      <c r="C345" t="s">
        <v>79</v>
      </c>
      <c r="D345" t="s">
        <v>26</v>
      </c>
      <c r="E345" s="23" t="s">
        <v>760</v>
      </c>
      <c r="F345" t="s">
        <v>58</v>
      </c>
      <c r="G345" t="s">
        <v>93</v>
      </c>
    </row>
    <row r="346" spans="1:7">
      <c r="A346">
        <v>4340</v>
      </c>
      <c r="B346" t="s">
        <v>435</v>
      </c>
      <c r="C346" t="s">
        <v>79</v>
      </c>
      <c r="D346" t="s">
        <v>48</v>
      </c>
      <c r="E346" s="23" t="s">
        <v>768</v>
      </c>
      <c r="F346" t="s">
        <v>65</v>
      </c>
      <c r="G346" t="s">
        <v>33</v>
      </c>
    </row>
    <row r="347" spans="1:7">
      <c r="A347">
        <v>5112</v>
      </c>
      <c r="B347" t="s">
        <v>228</v>
      </c>
      <c r="C347" t="s">
        <v>39</v>
      </c>
      <c r="D347" t="s">
        <v>63</v>
      </c>
      <c r="E347" s="23" t="s">
        <v>755</v>
      </c>
      <c r="F347" t="s">
        <v>58</v>
      </c>
      <c r="G347" t="s">
        <v>40</v>
      </c>
    </row>
    <row r="348" spans="1:7">
      <c r="A348">
        <v>5700</v>
      </c>
      <c r="B348" t="s">
        <v>242</v>
      </c>
      <c r="C348" t="s">
        <v>59</v>
      </c>
      <c r="D348" t="s">
        <v>48</v>
      </c>
      <c r="E348" s="23" t="s">
        <v>750</v>
      </c>
      <c r="F348" t="s">
        <v>65</v>
      </c>
      <c r="G348" t="s">
        <v>93</v>
      </c>
    </row>
    <row r="349" spans="1:7">
      <c r="A349">
        <v>8617</v>
      </c>
      <c r="B349" t="s">
        <v>140</v>
      </c>
      <c r="C349" t="s">
        <v>79</v>
      </c>
      <c r="D349" t="s">
        <v>73</v>
      </c>
      <c r="E349" s="23" t="s">
        <v>763</v>
      </c>
      <c r="F349" t="s">
        <v>65</v>
      </c>
      <c r="G349" t="s">
        <v>40</v>
      </c>
    </row>
    <row r="350" spans="1:7">
      <c r="A350">
        <v>9149</v>
      </c>
      <c r="B350" t="s">
        <v>439</v>
      </c>
      <c r="C350" t="s">
        <v>59</v>
      </c>
      <c r="D350" t="s">
        <v>51</v>
      </c>
      <c r="E350" s="23" t="s">
        <v>746</v>
      </c>
      <c r="F350" t="s">
        <v>58</v>
      </c>
      <c r="G350" t="s">
        <v>93</v>
      </c>
    </row>
    <row r="351" spans="1:7">
      <c r="A351">
        <v>8651</v>
      </c>
      <c r="B351" t="s">
        <v>283</v>
      </c>
      <c r="C351" t="s">
        <v>79</v>
      </c>
      <c r="D351" t="s">
        <v>100</v>
      </c>
      <c r="E351" s="23" t="s">
        <v>769</v>
      </c>
      <c r="F351" t="s">
        <v>76</v>
      </c>
      <c r="G351" t="s">
        <v>33</v>
      </c>
    </row>
    <row r="352" spans="1:7">
      <c r="A352">
        <v>1495</v>
      </c>
      <c r="B352" t="s">
        <v>441</v>
      </c>
      <c r="C352" t="s">
        <v>39</v>
      </c>
      <c r="D352" t="s">
        <v>100</v>
      </c>
      <c r="E352" s="23" t="s">
        <v>756</v>
      </c>
      <c r="F352" t="s">
        <v>31</v>
      </c>
      <c r="G352" t="s">
        <v>33</v>
      </c>
    </row>
    <row r="353" spans="1:7">
      <c r="A353">
        <v>7359</v>
      </c>
      <c r="B353" t="s">
        <v>190</v>
      </c>
      <c r="C353" t="s">
        <v>69</v>
      </c>
      <c r="D353" t="s">
        <v>26</v>
      </c>
      <c r="E353" s="23" t="s">
        <v>759</v>
      </c>
      <c r="F353" t="s">
        <v>65</v>
      </c>
      <c r="G353" t="s">
        <v>60</v>
      </c>
    </row>
    <row r="354" spans="1:7">
      <c r="A354">
        <v>6525</v>
      </c>
      <c r="B354" t="s">
        <v>284</v>
      </c>
      <c r="C354" t="s">
        <v>32</v>
      </c>
      <c r="D354" t="s">
        <v>73</v>
      </c>
      <c r="E354" s="23" t="s">
        <v>775</v>
      </c>
      <c r="F354" t="s">
        <v>76</v>
      </c>
      <c r="G354" t="s">
        <v>93</v>
      </c>
    </row>
    <row r="355" spans="1:7">
      <c r="A355">
        <v>7207</v>
      </c>
      <c r="B355" t="s">
        <v>383</v>
      </c>
      <c r="C355" t="s">
        <v>32</v>
      </c>
      <c r="D355" t="s">
        <v>48</v>
      </c>
      <c r="E355" s="23" t="s">
        <v>770</v>
      </c>
      <c r="F355" t="s">
        <v>65</v>
      </c>
      <c r="G355" t="s">
        <v>33</v>
      </c>
    </row>
    <row r="356" spans="1:7">
      <c r="A356">
        <v>2361</v>
      </c>
      <c r="B356" t="s">
        <v>444</v>
      </c>
      <c r="C356" t="s">
        <v>39</v>
      </c>
      <c r="D356" t="s">
        <v>26</v>
      </c>
      <c r="E356" s="23" t="s">
        <v>751</v>
      </c>
      <c r="F356" t="s">
        <v>76</v>
      </c>
      <c r="G356" t="s">
        <v>40</v>
      </c>
    </row>
    <row r="357" spans="1:7">
      <c r="A357">
        <v>8766</v>
      </c>
      <c r="B357" t="s">
        <v>445</v>
      </c>
      <c r="C357" t="s">
        <v>69</v>
      </c>
      <c r="D357" t="s">
        <v>51</v>
      </c>
      <c r="E357" s="23" t="s">
        <v>774</v>
      </c>
      <c r="F357" t="s">
        <v>58</v>
      </c>
      <c r="G357" t="s">
        <v>33</v>
      </c>
    </row>
    <row r="358" spans="1:7">
      <c r="A358">
        <v>7236</v>
      </c>
      <c r="B358" t="s">
        <v>52</v>
      </c>
      <c r="C358" t="s">
        <v>39</v>
      </c>
      <c r="D358" t="s">
        <v>100</v>
      </c>
      <c r="E358" s="23" t="s">
        <v>756</v>
      </c>
      <c r="F358" t="s">
        <v>65</v>
      </c>
      <c r="G358" t="s">
        <v>40</v>
      </c>
    </row>
    <row r="359" spans="1:7">
      <c r="A359">
        <v>8605</v>
      </c>
      <c r="B359" t="s">
        <v>143</v>
      </c>
      <c r="C359" t="s">
        <v>39</v>
      </c>
      <c r="D359" t="s">
        <v>63</v>
      </c>
      <c r="E359" s="23" t="s">
        <v>755</v>
      </c>
      <c r="F359" t="s">
        <v>76</v>
      </c>
      <c r="G359" t="s">
        <v>93</v>
      </c>
    </row>
    <row r="360" spans="1:7">
      <c r="A360">
        <v>1055</v>
      </c>
      <c r="B360" t="s">
        <v>275</v>
      </c>
      <c r="C360" t="s">
        <v>32</v>
      </c>
      <c r="D360" t="s">
        <v>63</v>
      </c>
      <c r="E360" s="23" t="s">
        <v>761</v>
      </c>
      <c r="F360" t="s">
        <v>38</v>
      </c>
      <c r="G360" t="s">
        <v>40</v>
      </c>
    </row>
    <row r="361" spans="1:7">
      <c r="A361">
        <v>7986</v>
      </c>
      <c r="B361" t="s">
        <v>184</v>
      </c>
      <c r="C361" t="s">
        <v>69</v>
      </c>
      <c r="D361" t="s">
        <v>73</v>
      </c>
      <c r="E361" s="23" t="s">
        <v>771</v>
      </c>
      <c r="F361" t="s">
        <v>76</v>
      </c>
      <c r="G361" t="s">
        <v>93</v>
      </c>
    </row>
    <row r="362" spans="1:7">
      <c r="A362">
        <v>6170</v>
      </c>
      <c r="B362" t="s">
        <v>244</v>
      </c>
      <c r="C362" t="s">
        <v>69</v>
      </c>
      <c r="D362" t="s">
        <v>63</v>
      </c>
      <c r="E362" s="23" t="s">
        <v>777</v>
      </c>
      <c r="F362" t="s">
        <v>38</v>
      </c>
      <c r="G362" t="s">
        <v>33</v>
      </c>
    </row>
    <row r="363" spans="1:7">
      <c r="A363">
        <v>7172</v>
      </c>
      <c r="B363" t="s">
        <v>448</v>
      </c>
      <c r="C363" t="s">
        <v>69</v>
      </c>
      <c r="D363" t="s">
        <v>51</v>
      </c>
      <c r="E363" s="23" t="s">
        <v>774</v>
      </c>
      <c r="F363" t="s">
        <v>58</v>
      </c>
      <c r="G363" t="s">
        <v>60</v>
      </c>
    </row>
    <row r="364" spans="1:7">
      <c r="A364">
        <v>7408</v>
      </c>
      <c r="B364" t="s">
        <v>236</v>
      </c>
      <c r="C364" t="s">
        <v>39</v>
      </c>
      <c r="D364" t="s">
        <v>100</v>
      </c>
      <c r="E364" s="23" t="s">
        <v>756</v>
      </c>
      <c r="F364" t="s">
        <v>38</v>
      </c>
      <c r="G364" t="s">
        <v>60</v>
      </c>
    </row>
    <row r="365" spans="1:7">
      <c r="A365">
        <v>7274</v>
      </c>
      <c r="B365" t="s">
        <v>304</v>
      </c>
      <c r="C365" t="s">
        <v>79</v>
      </c>
      <c r="D365" t="s">
        <v>51</v>
      </c>
      <c r="E365" s="23" t="s">
        <v>762</v>
      </c>
      <c r="F365" t="s">
        <v>38</v>
      </c>
      <c r="G365" t="s">
        <v>93</v>
      </c>
    </row>
    <row r="366" spans="1:7">
      <c r="A366">
        <v>6001</v>
      </c>
      <c r="B366" t="s">
        <v>276</v>
      </c>
      <c r="C366" t="s">
        <v>69</v>
      </c>
      <c r="D366" t="s">
        <v>51</v>
      </c>
      <c r="E366" s="23" t="s">
        <v>774</v>
      </c>
      <c r="F366" t="s">
        <v>58</v>
      </c>
      <c r="G366" t="s">
        <v>40</v>
      </c>
    </row>
    <row r="367" spans="1:7">
      <c r="A367">
        <v>9418</v>
      </c>
      <c r="B367" t="s">
        <v>450</v>
      </c>
      <c r="C367" t="s">
        <v>59</v>
      </c>
      <c r="D367" t="s">
        <v>26</v>
      </c>
      <c r="E367" s="23" t="s">
        <v>744</v>
      </c>
      <c r="F367" t="s">
        <v>76</v>
      </c>
      <c r="G367" t="s">
        <v>60</v>
      </c>
    </row>
    <row r="368" spans="1:7">
      <c r="A368">
        <v>9354</v>
      </c>
      <c r="B368" t="s">
        <v>441</v>
      </c>
      <c r="C368" t="s">
        <v>32</v>
      </c>
      <c r="D368" t="s">
        <v>26</v>
      </c>
      <c r="E368" s="23" t="s">
        <v>758</v>
      </c>
      <c r="F368" t="s">
        <v>76</v>
      </c>
      <c r="G368" t="s">
        <v>93</v>
      </c>
    </row>
    <row r="369" spans="1:7">
      <c r="A369">
        <v>8122</v>
      </c>
      <c r="B369" t="s">
        <v>452</v>
      </c>
      <c r="C369" t="s">
        <v>79</v>
      </c>
      <c r="D369" t="s">
        <v>48</v>
      </c>
      <c r="E369" s="23" t="s">
        <v>768</v>
      </c>
      <c r="F369" t="s">
        <v>31</v>
      </c>
      <c r="G369" t="s">
        <v>40</v>
      </c>
    </row>
    <row r="370" spans="1:7">
      <c r="A370">
        <v>1765</v>
      </c>
      <c r="B370" t="s">
        <v>453</v>
      </c>
      <c r="C370" t="s">
        <v>32</v>
      </c>
      <c r="D370" t="s">
        <v>51</v>
      </c>
      <c r="E370" s="23" t="s">
        <v>773</v>
      </c>
      <c r="F370" t="s">
        <v>76</v>
      </c>
      <c r="G370" t="s">
        <v>33</v>
      </c>
    </row>
    <row r="371" spans="1:7">
      <c r="A371">
        <v>5352</v>
      </c>
      <c r="B371" t="s">
        <v>290</v>
      </c>
      <c r="C371" t="s">
        <v>79</v>
      </c>
      <c r="D371" t="s">
        <v>36</v>
      </c>
      <c r="E371" s="23" t="s">
        <v>776</v>
      </c>
      <c r="F371" t="s">
        <v>38</v>
      </c>
      <c r="G371" t="s">
        <v>60</v>
      </c>
    </row>
    <row r="372" spans="1:7">
      <c r="A372">
        <v>7578</v>
      </c>
      <c r="B372" t="s">
        <v>130</v>
      </c>
      <c r="C372" t="s">
        <v>59</v>
      </c>
      <c r="D372" t="s">
        <v>36</v>
      </c>
      <c r="E372" s="23" t="s">
        <v>747</v>
      </c>
      <c r="F372" t="s">
        <v>38</v>
      </c>
      <c r="G372" t="s">
        <v>60</v>
      </c>
    </row>
    <row r="373" spans="1:7">
      <c r="A373">
        <v>8912</v>
      </c>
      <c r="B373" t="s">
        <v>169</v>
      </c>
      <c r="C373" t="s">
        <v>69</v>
      </c>
      <c r="D373" t="s">
        <v>100</v>
      </c>
      <c r="E373" s="23" t="s">
        <v>772</v>
      </c>
      <c r="F373" t="s">
        <v>76</v>
      </c>
      <c r="G373" t="s">
        <v>60</v>
      </c>
    </row>
    <row r="374" spans="1:7">
      <c r="A374">
        <v>6641</v>
      </c>
      <c r="B374" t="s">
        <v>140</v>
      </c>
      <c r="C374" t="s">
        <v>79</v>
      </c>
      <c r="D374" t="s">
        <v>63</v>
      </c>
      <c r="E374" s="23" t="s">
        <v>767</v>
      </c>
      <c r="F374" t="s">
        <v>65</v>
      </c>
      <c r="G374" t="s">
        <v>40</v>
      </c>
    </row>
    <row r="375" spans="1:7">
      <c r="A375">
        <v>9664</v>
      </c>
      <c r="B375" t="s">
        <v>456</v>
      </c>
      <c r="C375" t="s">
        <v>59</v>
      </c>
      <c r="D375" t="s">
        <v>73</v>
      </c>
      <c r="E375" s="23" t="s">
        <v>745</v>
      </c>
      <c r="F375" t="s">
        <v>65</v>
      </c>
      <c r="G375" t="s">
        <v>40</v>
      </c>
    </row>
    <row r="376" spans="1:7">
      <c r="A376">
        <v>9134</v>
      </c>
      <c r="B376" t="s">
        <v>130</v>
      </c>
      <c r="C376" t="s">
        <v>79</v>
      </c>
      <c r="D376" t="s">
        <v>48</v>
      </c>
      <c r="E376" s="23" t="s">
        <v>768</v>
      </c>
      <c r="F376" t="s">
        <v>65</v>
      </c>
      <c r="G376" t="s">
        <v>60</v>
      </c>
    </row>
    <row r="377" spans="1:7">
      <c r="A377">
        <v>6663</v>
      </c>
      <c r="B377" t="s">
        <v>184</v>
      </c>
      <c r="C377" t="s">
        <v>79</v>
      </c>
      <c r="D377" t="s">
        <v>51</v>
      </c>
      <c r="E377" s="23" t="s">
        <v>762</v>
      </c>
      <c r="F377" t="s">
        <v>76</v>
      </c>
      <c r="G377" t="s">
        <v>40</v>
      </c>
    </row>
    <row r="378" spans="1:7">
      <c r="A378">
        <v>9800</v>
      </c>
      <c r="B378" t="s">
        <v>458</v>
      </c>
      <c r="C378" t="s">
        <v>32</v>
      </c>
      <c r="D378" t="s">
        <v>63</v>
      </c>
      <c r="E378" s="23" t="s">
        <v>761</v>
      </c>
      <c r="F378" t="s">
        <v>31</v>
      </c>
      <c r="G378" t="s">
        <v>33</v>
      </c>
    </row>
    <row r="379" spans="1:7">
      <c r="A379">
        <v>2363</v>
      </c>
      <c r="B379" t="s">
        <v>408</v>
      </c>
      <c r="C379" t="s">
        <v>39</v>
      </c>
      <c r="D379" t="s">
        <v>51</v>
      </c>
      <c r="E379" s="23" t="s">
        <v>753</v>
      </c>
      <c r="F379" t="s">
        <v>31</v>
      </c>
      <c r="G379" t="s">
        <v>40</v>
      </c>
    </row>
    <row r="380" spans="1:7">
      <c r="A380">
        <v>4875</v>
      </c>
      <c r="B380" t="s">
        <v>272</v>
      </c>
      <c r="C380" t="s">
        <v>39</v>
      </c>
      <c r="D380" t="s">
        <v>73</v>
      </c>
      <c r="E380" s="23" t="s">
        <v>752</v>
      </c>
      <c r="F380" t="s">
        <v>31</v>
      </c>
      <c r="G380" t="s">
        <v>33</v>
      </c>
    </row>
    <row r="381" spans="1:7">
      <c r="A381">
        <v>8961</v>
      </c>
      <c r="B381" t="s">
        <v>137</v>
      </c>
      <c r="C381" t="s">
        <v>39</v>
      </c>
      <c r="D381" t="s">
        <v>63</v>
      </c>
      <c r="E381" s="23" t="s">
        <v>755</v>
      </c>
      <c r="F381" t="s">
        <v>38</v>
      </c>
      <c r="G381" t="s">
        <v>60</v>
      </c>
    </row>
    <row r="382" spans="1:7">
      <c r="A382">
        <v>1539</v>
      </c>
      <c r="B382" t="s">
        <v>77</v>
      </c>
      <c r="C382" t="s">
        <v>69</v>
      </c>
      <c r="D382" t="s">
        <v>36</v>
      </c>
      <c r="E382" s="23" t="s">
        <v>765</v>
      </c>
      <c r="F382" t="s">
        <v>65</v>
      </c>
      <c r="G382" t="s">
        <v>60</v>
      </c>
    </row>
    <row r="383" spans="1:7">
      <c r="A383">
        <v>4037</v>
      </c>
      <c r="B383" t="s">
        <v>405</v>
      </c>
      <c r="C383" t="s">
        <v>59</v>
      </c>
      <c r="D383" t="s">
        <v>100</v>
      </c>
      <c r="E383" s="23" t="s">
        <v>749</v>
      </c>
      <c r="F383" t="s">
        <v>76</v>
      </c>
      <c r="G383" t="s">
        <v>93</v>
      </c>
    </row>
    <row r="384" spans="1:7">
      <c r="A384">
        <v>4239</v>
      </c>
      <c r="B384" t="s">
        <v>272</v>
      </c>
      <c r="C384" t="s">
        <v>59</v>
      </c>
      <c r="D384" t="s">
        <v>73</v>
      </c>
      <c r="E384" s="23" t="s">
        <v>745</v>
      </c>
      <c r="F384" t="s">
        <v>31</v>
      </c>
      <c r="G384" t="s">
        <v>60</v>
      </c>
    </row>
    <row r="385" spans="1:7">
      <c r="A385">
        <v>4364</v>
      </c>
      <c r="B385" t="s">
        <v>355</v>
      </c>
      <c r="C385" t="s">
        <v>32</v>
      </c>
      <c r="D385" t="s">
        <v>100</v>
      </c>
      <c r="E385" s="23" t="s">
        <v>766</v>
      </c>
      <c r="F385" t="s">
        <v>38</v>
      </c>
      <c r="G385" t="s">
        <v>60</v>
      </c>
    </row>
    <row r="386" spans="1:7">
      <c r="A386">
        <v>8946</v>
      </c>
      <c r="B386" t="s">
        <v>463</v>
      </c>
      <c r="C386" t="s">
        <v>39</v>
      </c>
      <c r="D386" t="s">
        <v>100</v>
      </c>
      <c r="E386" s="23" t="s">
        <v>756</v>
      </c>
      <c r="F386" t="s">
        <v>31</v>
      </c>
      <c r="G386" t="s">
        <v>33</v>
      </c>
    </row>
    <row r="387" spans="1:7">
      <c r="A387">
        <v>5911</v>
      </c>
      <c r="B387" t="s">
        <v>130</v>
      </c>
      <c r="C387" t="s">
        <v>79</v>
      </c>
      <c r="D387" t="s">
        <v>100</v>
      </c>
      <c r="E387" s="23" t="s">
        <v>769</v>
      </c>
      <c r="F387" t="s">
        <v>76</v>
      </c>
      <c r="G387" t="s">
        <v>60</v>
      </c>
    </row>
    <row r="388" spans="1:7">
      <c r="A388">
        <v>8033</v>
      </c>
      <c r="B388" t="s">
        <v>379</v>
      </c>
      <c r="C388" t="s">
        <v>39</v>
      </c>
      <c r="D388" t="s">
        <v>100</v>
      </c>
      <c r="E388" s="23" t="s">
        <v>756</v>
      </c>
      <c r="F388" t="s">
        <v>76</v>
      </c>
      <c r="G388" t="s">
        <v>40</v>
      </c>
    </row>
    <row r="389" spans="1:7">
      <c r="A389">
        <v>6603</v>
      </c>
      <c r="B389" t="s">
        <v>280</v>
      </c>
      <c r="C389" t="s">
        <v>39</v>
      </c>
      <c r="D389" t="s">
        <v>100</v>
      </c>
      <c r="E389" s="23" t="s">
        <v>756</v>
      </c>
      <c r="F389" t="s">
        <v>38</v>
      </c>
      <c r="G389" t="s">
        <v>93</v>
      </c>
    </row>
    <row r="390" spans="1:7">
      <c r="A390">
        <v>9630</v>
      </c>
      <c r="B390" t="s">
        <v>101</v>
      </c>
      <c r="C390" t="s">
        <v>69</v>
      </c>
      <c r="D390" t="s">
        <v>36</v>
      </c>
      <c r="E390" s="23" t="s">
        <v>765</v>
      </c>
      <c r="F390" t="s">
        <v>65</v>
      </c>
      <c r="G390" t="s">
        <v>33</v>
      </c>
    </row>
    <row r="391" spans="1:7">
      <c r="A391">
        <v>1691</v>
      </c>
      <c r="B391" t="s">
        <v>147</v>
      </c>
      <c r="C391" t="s">
        <v>79</v>
      </c>
      <c r="D391" t="s">
        <v>48</v>
      </c>
      <c r="E391" s="23" t="s">
        <v>768</v>
      </c>
      <c r="F391" t="s">
        <v>58</v>
      </c>
      <c r="G391" t="s">
        <v>60</v>
      </c>
    </row>
    <row r="392" spans="1:7">
      <c r="A392">
        <v>5590</v>
      </c>
      <c r="B392" t="s">
        <v>88</v>
      </c>
      <c r="C392" t="s">
        <v>59</v>
      </c>
      <c r="D392" t="s">
        <v>51</v>
      </c>
      <c r="E392" s="23" t="s">
        <v>746</v>
      </c>
      <c r="F392" t="s">
        <v>31</v>
      </c>
      <c r="G392" t="s">
        <v>93</v>
      </c>
    </row>
    <row r="393" spans="1:7">
      <c r="A393">
        <v>8645</v>
      </c>
      <c r="B393" t="s">
        <v>257</v>
      </c>
      <c r="C393" t="s">
        <v>79</v>
      </c>
      <c r="D393" t="s">
        <v>48</v>
      </c>
      <c r="E393" s="23" t="s">
        <v>768</v>
      </c>
      <c r="F393" t="s">
        <v>58</v>
      </c>
      <c r="G393" t="s">
        <v>33</v>
      </c>
    </row>
    <row r="394" spans="1:7">
      <c r="A394">
        <v>7663</v>
      </c>
      <c r="B394" t="s">
        <v>179</v>
      </c>
      <c r="C394" t="s">
        <v>69</v>
      </c>
      <c r="D394" t="s">
        <v>51</v>
      </c>
      <c r="E394" s="23" t="s">
        <v>774</v>
      </c>
      <c r="F394" t="s">
        <v>38</v>
      </c>
      <c r="G394" t="s">
        <v>60</v>
      </c>
    </row>
    <row r="395" spans="1:7">
      <c r="A395">
        <v>2647</v>
      </c>
      <c r="B395" t="s">
        <v>224</v>
      </c>
      <c r="C395" t="s">
        <v>32</v>
      </c>
      <c r="D395" t="s">
        <v>63</v>
      </c>
      <c r="E395" s="23" t="s">
        <v>761</v>
      </c>
      <c r="F395" t="s">
        <v>76</v>
      </c>
      <c r="G395" t="s">
        <v>60</v>
      </c>
    </row>
    <row r="396" spans="1:7">
      <c r="A396">
        <v>6539</v>
      </c>
      <c r="B396" t="s">
        <v>201</v>
      </c>
      <c r="C396" t="s">
        <v>79</v>
      </c>
      <c r="D396" t="s">
        <v>63</v>
      </c>
      <c r="E396" s="23" t="s">
        <v>767</v>
      </c>
      <c r="F396" t="s">
        <v>58</v>
      </c>
      <c r="G396" t="s">
        <v>33</v>
      </c>
    </row>
    <row r="397" spans="1:7">
      <c r="A397">
        <v>3472</v>
      </c>
      <c r="B397" t="s">
        <v>153</v>
      </c>
      <c r="C397" t="s">
        <v>79</v>
      </c>
      <c r="D397" t="s">
        <v>73</v>
      </c>
      <c r="E397" s="23" t="s">
        <v>763</v>
      </c>
      <c r="F397" t="s">
        <v>31</v>
      </c>
      <c r="G397" t="s">
        <v>60</v>
      </c>
    </row>
    <row r="398" spans="1:7">
      <c r="A398">
        <v>4314</v>
      </c>
      <c r="B398" t="s">
        <v>373</v>
      </c>
      <c r="C398" t="s">
        <v>32</v>
      </c>
      <c r="D398" t="s">
        <v>100</v>
      </c>
      <c r="E398" s="23" t="s">
        <v>766</v>
      </c>
      <c r="F398" t="s">
        <v>58</v>
      </c>
      <c r="G398" t="s">
        <v>60</v>
      </c>
    </row>
    <row r="399" spans="1:7">
      <c r="A399">
        <v>6739</v>
      </c>
      <c r="B399" t="s">
        <v>357</v>
      </c>
      <c r="C399" t="s">
        <v>59</v>
      </c>
      <c r="D399" t="s">
        <v>51</v>
      </c>
      <c r="E399" s="23" t="s">
        <v>746</v>
      </c>
      <c r="F399" t="s">
        <v>65</v>
      </c>
      <c r="G399" t="s">
        <v>33</v>
      </c>
    </row>
    <row r="400" spans="1:7">
      <c r="A400">
        <v>6368</v>
      </c>
      <c r="B400" t="s">
        <v>41</v>
      </c>
      <c r="C400" t="s">
        <v>69</v>
      </c>
      <c r="D400" t="s">
        <v>73</v>
      </c>
      <c r="E400" s="23" t="s">
        <v>771</v>
      </c>
      <c r="F400" t="s">
        <v>76</v>
      </c>
      <c r="G400" t="s">
        <v>93</v>
      </c>
    </row>
    <row r="401" spans="1:7">
      <c r="A401">
        <v>7309</v>
      </c>
      <c r="B401" t="s">
        <v>176</v>
      </c>
      <c r="C401" t="s">
        <v>69</v>
      </c>
      <c r="D401" t="s">
        <v>51</v>
      </c>
      <c r="E401" s="23" t="s">
        <v>774</v>
      </c>
      <c r="F401" t="s">
        <v>58</v>
      </c>
      <c r="G401" t="s">
        <v>60</v>
      </c>
    </row>
    <row r="402" spans="1:7">
      <c r="A402">
        <v>3976</v>
      </c>
      <c r="B402" t="s">
        <v>297</v>
      </c>
      <c r="C402" t="s">
        <v>69</v>
      </c>
      <c r="D402" t="s">
        <v>48</v>
      </c>
      <c r="E402" s="23" t="s">
        <v>778</v>
      </c>
      <c r="F402" t="s">
        <v>65</v>
      </c>
      <c r="G402" t="s">
        <v>93</v>
      </c>
    </row>
    <row r="403" spans="1:7">
      <c r="A403">
        <v>7230</v>
      </c>
      <c r="B403" t="s">
        <v>473</v>
      </c>
      <c r="C403" t="s">
        <v>32</v>
      </c>
      <c r="D403" t="s">
        <v>36</v>
      </c>
      <c r="E403" s="23" t="s">
        <v>764</v>
      </c>
      <c r="F403" t="s">
        <v>58</v>
      </c>
      <c r="G403" t="s">
        <v>33</v>
      </c>
    </row>
    <row r="404" spans="1:7">
      <c r="A404">
        <v>8888</v>
      </c>
      <c r="B404" t="s">
        <v>344</v>
      </c>
      <c r="C404" t="s">
        <v>32</v>
      </c>
      <c r="D404" t="s">
        <v>63</v>
      </c>
      <c r="E404" s="23" t="s">
        <v>761</v>
      </c>
      <c r="F404" t="s">
        <v>31</v>
      </c>
      <c r="G404" t="s">
        <v>40</v>
      </c>
    </row>
    <row r="405" spans="1:7">
      <c r="A405">
        <v>1194</v>
      </c>
      <c r="B405" t="s">
        <v>357</v>
      </c>
      <c r="C405" t="s">
        <v>79</v>
      </c>
      <c r="D405" t="s">
        <v>63</v>
      </c>
      <c r="E405" s="23" t="s">
        <v>767</v>
      </c>
      <c r="F405" t="s">
        <v>65</v>
      </c>
      <c r="G405" t="s">
        <v>60</v>
      </c>
    </row>
    <row r="406" spans="1:7">
      <c r="A406">
        <v>6983</v>
      </c>
      <c r="B406" t="s">
        <v>88</v>
      </c>
      <c r="C406" t="s">
        <v>69</v>
      </c>
      <c r="D406" t="s">
        <v>48</v>
      </c>
      <c r="E406" s="23" t="s">
        <v>778</v>
      </c>
      <c r="F406" t="s">
        <v>31</v>
      </c>
      <c r="G406" t="s">
        <v>40</v>
      </c>
    </row>
    <row r="407" spans="1:7">
      <c r="A407">
        <v>1413</v>
      </c>
      <c r="B407" t="s">
        <v>98</v>
      </c>
      <c r="C407" t="s">
        <v>59</v>
      </c>
      <c r="D407" t="s">
        <v>48</v>
      </c>
      <c r="E407" s="23" t="s">
        <v>750</v>
      </c>
      <c r="F407" t="s">
        <v>31</v>
      </c>
      <c r="G407" t="s">
        <v>93</v>
      </c>
    </row>
    <row r="408" spans="1:7">
      <c r="A408">
        <v>9509</v>
      </c>
      <c r="B408" t="s">
        <v>232</v>
      </c>
      <c r="C408" t="s">
        <v>69</v>
      </c>
      <c r="D408" t="s">
        <v>26</v>
      </c>
      <c r="E408" s="23" t="s">
        <v>759</v>
      </c>
      <c r="F408" t="s">
        <v>58</v>
      </c>
      <c r="G408" t="s">
        <v>60</v>
      </c>
    </row>
    <row r="409" spans="1:7">
      <c r="A409">
        <v>6330</v>
      </c>
      <c r="B409" t="s">
        <v>478</v>
      </c>
      <c r="C409" t="s">
        <v>59</v>
      </c>
      <c r="D409" t="s">
        <v>48</v>
      </c>
      <c r="E409" s="23" t="s">
        <v>750</v>
      </c>
      <c r="F409" t="s">
        <v>76</v>
      </c>
      <c r="G409" t="s">
        <v>40</v>
      </c>
    </row>
    <row r="410" spans="1:7">
      <c r="A410">
        <v>2504</v>
      </c>
      <c r="B410" t="s">
        <v>480</v>
      </c>
      <c r="C410" t="s">
        <v>69</v>
      </c>
      <c r="D410" t="s">
        <v>73</v>
      </c>
      <c r="E410" s="23" t="s">
        <v>771</v>
      </c>
      <c r="F410" t="s">
        <v>31</v>
      </c>
      <c r="G410" t="s">
        <v>93</v>
      </c>
    </row>
    <row r="411" spans="1:7">
      <c r="A411">
        <v>6593</v>
      </c>
      <c r="B411" t="s">
        <v>357</v>
      </c>
      <c r="C411" t="s">
        <v>69</v>
      </c>
      <c r="D411" t="s">
        <v>36</v>
      </c>
      <c r="E411" s="23" t="s">
        <v>765</v>
      </c>
      <c r="F411" t="s">
        <v>38</v>
      </c>
      <c r="G411" t="s">
        <v>33</v>
      </c>
    </row>
    <row r="412" spans="1:7">
      <c r="A412">
        <v>9537</v>
      </c>
      <c r="B412" t="s">
        <v>357</v>
      </c>
      <c r="C412" t="s">
        <v>32</v>
      </c>
      <c r="D412" t="s">
        <v>73</v>
      </c>
      <c r="E412" s="23" t="s">
        <v>775</v>
      </c>
      <c r="F412" t="s">
        <v>58</v>
      </c>
      <c r="G412" t="s">
        <v>93</v>
      </c>
    </row>
    <row r="413" spans="1:7">
      <c r="A413">
        <v>9628</v>
      </c>
      <c r="B413" t="s">
        <v>211</v>
      </c>
      <c r="C413" t="s">
        <v>32</v>
      </c>
      <c r="D413" t="s">
        <v>73</v>
      </c>
      <c r="E413" s="23" t="s">
        <v>775</v>
      </c>
      <c r="F413" t="s">
        <v>65</v>
      </c>
      <c r="G413" t="s">
        <v>60</v>
      </c>
    </row>
    <row r="414" spans="1:7">
      <c r="A414">
        <v>4024</v>
      </c>
      <c r="B414" t="s">
        <v>244</v>
      </c>
      <c r="C414" t="s">
        <v>79</v>
      </c>
      <c r="D414" t="s">
        <v>36</v>
      </c>
      <c r="E414" s="23" t="s">
        <v>776</v>
      </c>
      <c r="F414" t="s">
        <v>76</v>
      </c>
      <c r="G414" t="s">
        <v>60</v>
      </c>
    </row>
    <row r="415" spans="1:7">
      <c r="A415">
        <v>5321</v>
      </c>
      <c r="B415" t="s">
        <v>304</v>
      </c>
      <c r="C415" t="s">
        <v>79</v>
      </c>
      <c r="D415" t="s">
        <v>100</v>
      </c>
      <c r="E415" s="23" t="s">
        <v>769</v>
      </c>
      <c r="F415" t="s">
        <v>38</v>
      </c>
      <c r="G415" t="s">
        <v>93</v>
      </c>
    </row>
    <row r="416" spans="1:7">
      <c r="A416">
        <v>3926</v>
      </c>
      <c r="B416" t="s">
        <v>485</v>
      </c>
      <c r="C416" t="s">
        <v>32</v>
      </c>
      <c r="D416" t="s">
        <v>100</v>
      </c>
      <c r="E416" s="23" t="s">
        <v>766</v>
      </c>
      <c r="F416" t="s">
        <v>58</v>
      </c>
      <c r="G416" t="s">
        <v>40</v>
      </c>
    </row>
    <row r="417" spans="1:7">
      <c r="A417">
        <v>8738</v>
      </c>
      <c r="B417" t="s">
        <v>140</v>
      </c>
      <c r="C417" t="s">
        <v>69</v>
      </c>
      <c r="D417" t="s">
        <v>100</v>
      </c>
      <c r="E417" s="23" t="s">
        <v>772</v>
      </c>
      <c r="F417" t="s">
        <v>58</v>
      </c>
      <c r="G417" t="s">
        <v>93</v>
      </c>
    </row>
    <row r="418" spans="1:7">
      <c r="A418">
        <v>2701</v>
      </c>
      <c r="B418" t="s">
        <v>355</v>
      </c>
      <c r="C418" t="s">
        <v>79</v>
      </c>
      <c r="D418" t="s">
        <v>36</v>
      </c>
      <c r="E418" s="23" t="s">
        <v>776</v>
      </c>
      <c r="F418" t="s">
        <v>38</v>
      </c>
      <c r="G418" t="s">
        <v>60</v>
      </c>
    </row>
    <row r="419" spans="1:7">
      <c r="A419">
        <v>5339</v>
      </c>
      <c r="B419" t="s">
        <v>486</v>
      </c>
      <c r="C419" t="s">
        <v>69</v>
      </c>
      <c r="D419" t="s">
        <v>26</v>
      </c>
      <c r="E419" s="23" t="s">
        <v>759</v>
      </c>
      <c r="F419" t="s">
        <v>38</v>
      </c>
      <c r="G419" t="s">
        <v>93</v>
      </c>
    </row>
    <row r="420" spans="1:7">
      <c r="A420">
        <v>1612</v>
      </c>
      <c r="B420" t="s">
        <v>488</v>
      </c>
      <c r="C420" t="s">
        <v>32</v>
      </c>
      <c r="D420" t="s">
        <v>26</v>
      </c>
      <c r="E420" s="23" t="s">
        <v>758</v>
      </c>
      <c r="F420" t="s">
        <v>76</v>
      </c>
      <c r="G420" t="s">
        <v>60</v>
      </c>
    </row>
    <row r="421" spans="1:7">
      <c r="A421">
        <v>5407</v>
      </c>
      <c r="B421" t="s">
        <v>101</v>
      </c>
      <c r="C421" t="s">
        <v>39</v>
      </c>
      <c r="D421" t="s">
        <v>63</v>
      </c>
      <c r="E421" s="23" t="s">
        <v>755</v>
      </c>
      <c r="F421" t="s">
        <v>65</v>
      </c>
      <c r="G421" t="s">
        <v>33</v>
      </c>
    </row>
    <row r="422" spans="1:7">
      <c r="A422">
        <v>8225</v>
      </c>
      <c r="B422" t="s">
        <v>380</v>
      </c>
      <c r="C422" t="s">
        <v>79</v>
      </c>
      <c r="D422" t="s">
        <v>63</v>
      </c>
      <c r="E422" s="23" t="s">
        <v>767</v>
      </c>
      <c r="F422" t="s">
        <v>65</v>
      </c>
      <c r="G422" t="s">
        <v>93</v>
      </c>
    </row>
    <row r="423" spans="1:7">
      <c r="A423">
        <v>4714</v>
      </c>
      <c r="B423" t="s">
        <v>489</v>
      </c>
      <c r="C423" t="s">
        <v>39</v>
      </c>
      <c r="D423" t="s">
        <v>48</v>
      </c>
      <c r="E423" s="23" t="s">
        <v>757</v>
      </c>
      <c r="F423" t="s">
        <v>38</v>
      </c>
      <c r="G423" t="s">
        <v>40</v>
      </c>
    </row>
    <row r="424" spans="1:7">
      <c r="A424">
        <v>3826</v>
      </c>
      <c r="B424" t="s">
        <v>357</v>
      </c>
      <c r="C424" t="s">
        <v>79</v>
      </c>
      <c r="D424" t="s">
        <v>51</v>
      </c>
      <c r="E424" s="23" t="s">
        <v>762</v>
      </c>
      <c r="F424" t="s">
        <v>76</v>
      </c>
      <c r="G424" t="s">
        <v>33</v>
      </c>
    </row>
    <row r="425" spans="1:7">
      <c r="A425">
        <v>3781</v>
      </c>
      <c r="B425" t="s">
        <v>491</v>
      </c>
      <c r="C425" t="s">
        <v>59</v>
      </c>
      <c r="D425" t="s">
        <v>100</v>
      </c>
      <c r="E425" s="23" t="s">
        <v>749</v>
      </c>
      <c r="F425" t="s">
        <v>65</v>
      </c>
      <c r="G425" t="s">
        <v>60</v>
      </c>
    </row>
    <row r="426" spans="1:7">
      <c r="A426">
        <v>5635</v>
      </c>
      <c r="B426" t="s">
        <v>492</v>
      </c>
      <c r="C426" t="s">
        <v>39</v>
      </c>
      <c r="D426" t="s">
        <v>63</v>
      </c>
      <c r="E426" s="23" t="s">
        <v>755</v>
      </c>
      <c r="F426" t="s">
        <v>76</v>
      </c>
      <c r="G426" t="s">
        <v>33</v>
      </c>
    </row>
    <row r="427" spans="1:7">
      <c r="A427">
        <v>2291</v>
      </c>
      <c r="B427" t="s">
        <v>197</v>
      </c>
      <c r="C427" t="s">
        <v>59</v>
      </c>
      <c r="D427" t="s">
        <v>26</v>
      </c>
      <c r="E427" s="23" t="s">
        <v>744</v>
      </c>
      <c r="F427" t="s">
        <v>38</v>
      </c>
      <c r="G427" t="s">
        <v>93</v>
      </c>
    </row>
    <row r="428" spans="1:7">
      <c r="A428">
        <v>3119</v>
      </c>
      <c r="B428" t="s">
        <v>450</v>
      </c>
      <c r="C428" t="s">
        <v>69</v>
      </c>
      <c r="D428" t="s">
        <v>100</v>
      </c>
      <c r="E428" s="23" t="s">
        <v>772</v>
      </c>
      <c r="F428" t="s">
        <v>58</v>
      </c>
      <c r="G428" t="s">
        <v>40</v>
      </c>
    </row>
    <row r="429" spans="1:7">
      <c r="A429">
        <v>5280</v>
      </c>
      <c r="B429" t="s">
        <v>494</v>
      </c>
      <c r="C429" t="s">
        <v>79</v>
      </c>
      <c r="D429" t="s">
        <v>63</v>
      </c>
      <c r="E429" s="23" t="s">
        <v>767</v>
      </c>
      <c r="F429" t="s">
        <v>31</v>
      </c>
      <c r="G429" t="s">
        <v>33</v>
      </c>
    </row>
    <row r="430" spans="1:7">
      <c r="A430">
        <v>2546</v>
      </c>
      <c r="B430" t="s">
        <v>495</v>
      </c>
      <c r="C430" t="s">
        <v>39</v>
      </c>
      <c r="D430" t="s">
        <v>73</v>
      </c>
      <c r="E430" s="23" t="s">
        <v>752</v>
      </c>
      <c r="F430" t="s">
        <v>31</v>
      </c>
      <c r="G430" t="s">
        <v>40</v>
      </c>
    </row>
    <row r="431" spans="1:7">
      <c r="A431">
        <v>5975</v>
      </c>
      <c r="B431" t="s">
        <v>143</v>
      </c>
      <c r="C431" t="s">
        <v>79</v>
      </c>
      <c r="D431" t="s">
        <v>51</v>
      </c>
      <c r="E431" s="23" t="s">
        <v>762</v>
      </c>
      <c r="F431" t="s">
        <v>58</v>
      </c>
      <c r="G431" t="s">
        <v>93</v>
      </c>
    </row>
    <row r="432" spans="1:7">
      <c r="A432">
        <v>9113</v>
      </c>
      <c r="B432" t="s">
        <v>236</v>
      </c>
      <c r="C432" t="s">
        <v>79</v>
      </c>
      <c r="D432" t="s">
        <v>73</v>
      </c>
      <c r="E432" s="23" t="s">
        <v>763</v>
      </c>
      <c r="F432" t="s">
        <v>38</v>
      </c>
      <c r="G432" t="s">
        <v>40</v>
      </c>
    </row>
    <row r="433" spans="1:7">
      <c r="A433">
        <v>6250</v>
      </c>
      <c r="B433" t="s">
        <v>498</v>
      </c>
      <c r="C433" t="s">
        <v>69</v>
      </c>
      <c r="D433" t="s">
        <v>48</v>
      </c>
      <c r="E433" s="23" t="s">
        <v>778</v>
      </c>
      <c r="F433" t="s">
        <v>65</v>
      </c>
      <c r="G433" t="s">
        <v>93</v>
      </c>
    </row>
    <row r="434" spans="1:7">
      <c r="A434">
        <v>6190</v>
      </c>
      <c r="B434" t="s">
        <v>499</v>
      </c>
      <c r="C434" t="s">
        <v>79</v>
      </c>
      <c r="D434" t="s">
        <v>36</v>
      </c>
      <c r="E434" s="23" t="s">
        <v>776</v>
      </c>
      <c r="F434" t="s">
        <v>76</v>
      </c>
      <c r="G434" t="s">
        <v>33</v>
      </c>
    </row>
    <row r="435" spans="1:7">
      <c r="A435">
        <v>5713</v>
      </c>
      <c r="B435" t="s">
        <v>500</v>
      </c>
      <c r="C435" t="s">
        <v>69</v>
      </c>
      <c r="D435" t="s">
        <v>36</v>
      </c>
      <c r="E435" s="23" t="s">
        <v>765</v>
      </c>
      <c r="F435" t="s">
        <v>38</v>
      </c>
      <c r="G435" t="s">
        <v>60</v>
      </c>
    </row>
    <row r="436" spans="1:7">
      <c r="A436">
        <v>1932</v>
      </c>
      <c r="B436" t="s">
        <v>169</v>
      </c>
      <c r="C436" t="s">
        <v>69</v>
      </c>
      <c r="D436" t="s">
        <v>51</v>
      </c>
      <c r="E436" s="23" t="s">
        <v>774</v>
      </c>
      <c r="F436" t="s">
        <v>31</v>
      </c>
      <c r="G436" t="s">
        <v>33</v>
      </c>
    </row>
    <row r="437" spans="1:7">
      <c r="A437">
        <v>6527</v>
      </c>
      <c r="B437" t="s">
        <v>502</v>
      </c>
      <c r="C437" t="s">
        <v>79</v>
      </c>
      <c r="D437" t="s">
        <v>100</v>
      </c>
      <c r="E437" s="23" t="s">
        <v>769</v>
      </c>
      <c r="F437" t="s">
        <v>38</v>
      </c>
      <c r="G437" t="s">
        <v>33</v>
      </c>
    </row>
    <row r="438" spans="1:7">
      <c r="A438">
        <v>9363</v>
      </c>
      <c r="B438" t="s">
        <v>140</v>
      </c>
      <c r="C438" t="s">
        <v>69</v>
      </c>
      <c r="D438" t="s">
        <v>63</v>
      </c>
      <c r="E438" s="23" t="s">
        <v>777</v>
      </c>
      <c r="F438" t="s">
        <v>31</v>
      </c>
      <c r="G438" t="s">
        <v>93</v>
      </c>
    </row>
    <row r="439" spans="1:7">
      <c r="A439">
        <v>5019</v>
      </c>
      <c r="B439" t="s">
        <v>147</v>
      </c>
      <c r="C439" t="s">
        <v>39</v>
      </c>
      <c r="D439" t="s">
        <v>51</v>
      </c>
      <c r="E439" s="23" t="s">
        <v>753</v>
      </c>
      <c r="F439" t="s">
        <v>65</v>
      </c>
      <c r="G439" t="s">
        <v>40</v>
      </c>
    </row>
    <row r="440" spans="1:7">
      <c r="A440">
        <v>9258</v>
      </c>
      <c r="B440" t="s">
        <v>504</v>
      </c>
      <c r="C440" t="s">
        <v>59</v>
      </c>
      <c r="D440" t="s">
        <v>51</v>
      </c>
      <c r="E440" s="23" t="s">
        <v>746</v>
      </c>
      <c r="F440" t="s">
        <v>31</v>
      </c>
      <c r="G440" t="s">
        <v>40</v>
      </c>
    </row>
    <row r="441" spans="1:7">
      <c r="A441">
        <v>7512</v>
      </c>
      <c r="B441" t="s">
        <v>505</v>
      </c>
      <c r="C441" t="s">
        <v>79</v>
      </c>
      <c r="D441" t="s">
        <v>73</v>
      </c>
      <c r="E441" s="23" t="s">
        <v>763</v>
      </c>
      <c r="F441" t="s">
        <v>65</v>
      </c>
      <c r="G441" t="s">
        <v>93</v>
      </c>
    </row>
    <row r="442" spans="1:7">
      <c r="A442">
        <v>8195</v>
      </c>
      <c r="B442" t="s">
        <v>507</v>
      </c>
      <c r="C442" t="s">
        <v>79</v>
      </c>
      <c r="D442" t="s">
        <v>36</v>
      </c>
      <c r="E442" s="23" t="s">
        <v>776</v>
      </c>
      <c r="F442" t="s">
        <v>76</v>
      </c>
      <c r="G442" t="s">
        <v>60</v>
      </c>
    </row>
    <row r="443" spans="1:7">
      <c r="A443">
        <v>8242</v>
      </c>
      <c r="B443" t="s">
        <v>257</v>
      </c>
      <c r="C443" t="s">
        <v>79</v>
      </c>
      <c r="D443" t="s">
        <v>100</v>
      </c>
      <c r="E443" s="23" t="s">
        <v>769</v>
      </c>
      <c r="F443" t="s">
        <v>31</v>
      </c>
      <c r="G443" t="s">
        <v>33</v>
      </c>
    </row>
    <row r="444" spans="1:7">
      <c r="A444">
        <v>2220</v>
      </c>
      <c r="B444" t="s">
        <v>448</v>
      </c>
      <c r="C444" t="s">
        <v>79</v>
      </c>
      <c r="D444" t="s">
        <v>73</v>
      </c>
      <c r="E444" s="23" t="s">
        <v>763</v>
      </c>
      <c r="F444" t="s">
        <v>65</v>
      </c>
      <c r="G444" t="s">
        <v>40</v>
      </c>
    </row>
    <row r="445" spans="1:7">
      <c r="A445">
        <v>9308</v>
      </c>
      <c r="B445" t="s">
        <v>88</v>
      </c>
      <c r="C445" t="s">
        <v>59</v>
      </c>
      <c r="D445" t="s">
        <v>51</v>
      </c>
      <c r="E445" s="23" t="s">
        <v>746</v>
      </c>
      <c r="F445" t="s">
        <v>76</v>
      </c>
      <c r="G445" t="s">
        <v>93</v>
      </c>
    </row>
    <row r="446" spans="1:7">
      <c r="A446">
        <v>3437</v>
      </c>
      <c r="B446" t="s">
        <v>215</v>
      </c>
      <c r="C446" t="s">
        <v>32</v>
      </c>
      <c r="D446" t="s">
        <v>48</v>
      </c>
      <c r="E446" s="23" t="s">
        <v>770</v>
      </c>
      <c r="F446" t="s">
        <v>65</v>
      </c>
      <c r="G446" t="s">
        <v>33</v>
      </c>
    </row>
    <row r="447" spans="1:7">
      <c r="A447">
        <v>8305</v>
      </c>
      <c r="B447" t="s">
        <v>140</v>
      </c>
      <c r="C447" t="s">
        <v>32</v>
      </c>
      <c r="D447" t="s">
        <v>73</v>
      </c>
      <c r="E447" s="23" t="s">
        <v>775</v>
      </c>
      <c r="F447" t="s">
        <v>31</v>
      </c>
      <c r="G447" t="s">
        <v>33</v>
      </c>
    </row>
    <row r="448" spans="1:7">
      <c r="A448">
        <v>6773</v>
      </c>
      <c r="B448" t="s">
        <v>473</v>
      </c>
      <c r="C448" t="s">
        <v>69</v>
      </c>
      <c r="D448" t="s">
        <v>36</v>
      </c>
      <c r="E448" s="23" t="s">
        <v>765</v>
      </c>
      <c r="F448" t="s">
        <v>38</v>
      </c>
      <c r="G448" t="s">
        <v>33</v>
      </c>
    </row>
    <row r="449" spans="1:7">
      <c r="A449">
        <v>3010</v>
      </c>
      <c r="B449" t="s">
        <v>280</v>
      </c>
      <c r="C449" t="s">
        <v>39</v>
      </c>
      <c r="D449" t="s">
        <v>48</v>
      </c>
      <c r="E449" s="23" t="s">
        <v>757</v>
      </c>
      <c r="F449" t="s">
        <v>76</v>
      </c>
      <c r="G449" t="s">
        <v>93</v>
      </c>
    </row>
    <row r="450" spans="1:7">
      <c r="A450">
        <v>3622</v>
      </c>
      <c r="B450" t="s">
        <v>284</v>
      </c>
      <c r="C450" t="s">
        <v>39</v>
      </c>
      <c r="D450" t="s">
        <v>36</v>
      </c>
      <c r="E450" s="23" t="s">
        <v>754</v>
      </c>
      <c r="F450" t="s">
        <v>58</v>
      </c>
      <c r="G450" t="s">
        <v>60</v>
      </c>
    </row>
    <row r="451" spans="1:7">
      <c r="A451">
        <v>6006</v>
      </c>
      <c r="B451" t="s">
        <v>106</v>
      </c>
      <c r="C451" t="s">
        <v>69</v>
      </c>
      <c r="D451" t="s">
        <v>63</v>
      </c>
      <c r="E451" s="23" t="s">
        <v>777</v>
      </c>
      <c r="F451" t="s">
        <v>31</v>
      </c>
      <c r="G451" t="s">
        <v>33</v>
      </c>
    </row>
    <row r="452" spans="1:7">
      <c r="A452">
        <v>1338</v>
      </c>
      <c r="B452" t="s">
        <v>148</v>
      </c>
      <c r="C452" t="s">
        <v>79</v>
      </c>
      <c r="D452" t="s">
        <v>100</v>
      </c>
      <c r="E452" s="23" t="s">
        <v>769</v>
      </c>
      <c r="F452" t="s">
        <v>58</v>
      </c>
      <c r="G452" t="s">
        <v>60</v>
      </c>
    </row>
    <row r="453" spans="1:7">
      <c r="A453">
        <v>6722</v>
      </c>
      <c r="B453" t="s">
        <v>138</v>
      </c>
      <c r="C453" t="s">
        <v>39</v>
      </c>
      <c r="D453" t="s">
        <v>73</v>
      </c>
      <c r="E453" s="23" t="s">
        <v>752</v>
      </c>
      <c r="F453" t="s">
        <v>58</v>
      </c>
      <c r="G453" t="s">
        <v>40</v>
      </c>
    </row>
    <row r="454" spans="1:7">
      <c r="A454">
        <v>5871</v>
      </c>
      <c r="B454" t="s">
        <v>508</v>
      </c>
      <c r="C454" t="s">
        <v>79</v>
      </c>
      <c r="D454" t="s">
        <v>100</v>
      </c>
      <c r="E454" s="23" t="s">
        <v>769</v>
      </c>
      <c r="F454" t="s">
        <v>65</v>
      </c>
      <c r="G454" t="s">
        <v>93</v>
      </c>
    </row>
    <row r="455" spans="1:7">
      <c r="A455">
        <v>9290</v>
      </c>
      <c r="B455" t="s">
        <v>510</v>
      </c>
      <c r="C455" t="s">
        <v>32</v>
      </c>
      <c r="D455" t="s">
        <v>26</v>
      </c>
      <c r="E455" s="23" t="s">
        <v>758</v>
      </c>
      <c r="F455" t="s">
        <v>58</v>
      </c>
      <c r="G455" t="s">
        <v>93</v>
      </c>
    </row>
    <row r="456" spans="1:7">
      <c r="A456">
        <v>8567</v>
      </c>
      <c r="B456" t="s">
        <v>88</v>
      </c>
      <c r="C456" t="s">
        <v>59</v>
      </c>
      <c r="D456" t="s">
        <v>48</v>
      </c>
      <c r="E456" s="23" t="s">
        <v>750</v>
      </c>
      <c r="F456" t="s">
        <v>65</v>
      </c>
      <c r="G456" t="s">
        <v>93</v>
      </c>
    </row>
    <row r="457" spans="1:7">
      <c r="A457">
        <v>5253</v>
      </c>
      <c r="B457" t="s">
        <v>502</v>
      </c>
      <c r="C457" t="s">
        <v>32</v>
      </c>
      <c r="D457" t="s">
        <v>73</v>
      </c>
      <c r="E457" s="23" t="s">
        <v>775</v>
      </c>
      <c r="F457" t="s">
        <v>38</v>
      </c>
      <c r="G457" t="s">
        <v>60</v>
      </c>
    </row>
    <row r="458" spans="1:7">
      <c r="A458">
        <v>8172</v>
      </c>
      <c r="B458" t="s">
        <v>511</v>
      </c>
      <c r="C458" t="s">
        <v>69</v>
      </c>
      <c r="D458" t="s">
        <v>100</v>
      </c>
      <c r="E458" s="23" t="s">
        <v>772</v>
      </c>
      <c r="F458" t="s">
        <v>76</v>
      </c>
      <c r="G458" t="s">
        <v>40</v>
      </c>
    </row>
    <row r="459" spans="1:7">
      <c r="A459">
        <v>2154</v>
      </c>
      <c r="B459" t="s">
        <v>96</v>
      </c>
      <c r="C459" t="s">
        <v>32</v>
      </c>
      <c r="D459" t="s">
        <v>36</v>
      </c>
      <c r="E459" s="23" t="s">
        <v>764</v>
      </c>
      <c r="F459" t="s">
        <v>76</v>
      </c>
      <c r="G459" t="s">
        <v>40</v>
      </c>
    </row>
    <row r="460" spans="1:7">
      <c r="A460">
        <v>5013</v>
      </c>
      <c r="B460" t="s">
        <v>513</v>
      </c>
      <c r="C460" t="s">
        <v>79</v>
      </c>
      <c r="D460" t="s">
        <v>36</v>
      </c>
      <c r="E460" s="23" t="s">
        <v>776</v>
      </c>
      <c r="F460" t="s">
        <v>31</v>
      </c>
      <c r="G460" t="s">
        <v>33</v>
      </c>
    </row>
    <row r="461" spans="1:7">
      <c r="A461">
        <v>4211</v>
      </c>
      <c r="B461" t="s">
        <v>515</v>
      </c>
      <c r="C461" t="s">
        <v>59</v>
      </c>
      <c r="D461" t="s">
        <v>100</v>
      </c>
      <c r="E461" s="23" t="s">
        <v>749</v>
      </c>
      <c r="F461" t="s">
        <v>65</v>
      </c>
      <c r="G461" t="s">
        <v>93</v>
      </c>
    </row>
    <row r="462" spans="1:7">
      <c r="A462">
        <v>4408</v>
      </c>
      <c r="B462" t="s">
        <v>238</v>
      </c>
      <c r="C462" t="s">
        <v>59</v>
      </c>
      <c r="D462" t="s">
        <v>100</v>
      </c>
      <c r="E462" s="23" t="s">
        <v>749</v>
      </c>
      <c r="F462" t="s">
        <v>38</v>
      </c>
      <c r="G462" t="s">
        <v>60</v>
      </c>
    </row>
    <row r="463" spans="1:7">
      <c r="A463">
        <v>8473</v>
      </c>
      <c r="B463" t="s">
        <v>517</v>
      </c>
      <c r="C463" t="s">
        <v>59</v>
      </c>
      <c r="D463" t="s">
        <v>51</v>
      </c>
      <c r="E463" s="23" t="s">
        <v>746</v>
      </c>
      <c r="F463" t="s">
        <v>31</v>
      </c>
      <c r="G463" t="s">
        <v>60</v>
      </c>
    </row>
    <row r="464" spans="1:7">
      <c r="A464">
        <v>7510</v>
      </c>
      <c r="B464" t="s">
        <v>518</v>
      </c>
      <c r="C464" t="s">
        <v>32</v>
      </c>
      <c r="D464" t="s">
        <v>100</v>
      </c>
      <c r="E464" s="23" t="s">
        <v>766</v>
      </c>
      <c r="F464" t="s">
        <v>65</v>
      </c>
      <c r="G464" t="s">
        <v>93</v>
      </c>
    </row>
    <row r="465" spans="1:7">
      <c r="A465">
        <v>5376</v>
      </c>
      <c r="B465" t="s">
        <v>224</v>
      </c>
      <c r="C465" t="s">
        <v>32</v>
      </c>
      <c r="D465" t="s">
        <v>100</v>
      </c>
      <c r="E465" s="23" t="s">
        <v>766</v>
      </c>
      <c r="F465" t="s">
        <v>65</v>
      </c>
      <c r="G465" t="s">
        <v>60</v>
      </c>
    </row>
    <row r="466" spans="1:7">
      <c r="A466">
        <v>8005</v>
      </c>
      <c r="B466" t="s">
        <v>254</v>
      </c>
      <c r="C466" t="s">
        <v>69</v>
      </c>
      <c r="D466" t="s">
        <v>51</v>
      </c>
      <c r="E466" s="23" t="s">
        <v>774</v>
      </c>
      <c r="F466" t="s">
        <v>58</v>
      </c>
      <c r="G466" t="s">
        <v>33</v>
      </c>
    </row>
    <row r="467" spans="1:7">
      <c r="A467">
        <v>7439</v>
      </c>
      <c r="B467" t="s">
        <v>199</v>
      </c>
      <c r="C467" t="s">
        <v>79</v>
      </c>
      <c r="D467" t="s">
        <v>73</v>
      </c>
      <c r="E467" s="23" t="s">
        <v>763</v>
      </c>
      <c r="F467" t="s">
        <v>76</v>
      </c>
      <c r="G467" t="s">
        <v>33</v>
      </c>
    </row>
    <row r="468" spans="1:7">
      <c r="A468">
        <v>3699</v>
      </c>
      <c r="B468" t="s">
        <v>411</v>
      </c>
      <c r="C468" t="s">
        <v>32</v>
      </c>
      <c r="D468" t="s">
        <v>100</v>
      </c>
      <c r="E468" s="23" t="s">
        <v>766</v>
      </c>
      <c r="F468" t="s">
        <v>76</v>
      </c>
      <c r="G468" t="s">
        <v>93</v>
      </c>
    </row>
    <row r="469" spans="1:7">
      <c r="A469">
        <v>3162</v>
      </c>
      <c r="B469" t="s">
        <v>157</v>
      </c>
      <c r="C469" t="s">
        <v>32</v>
      </c>
      <c r="D469" t="s">
        <v>63</v>
      </c>
      <c r="E469" s="23" t="s">
        <v>761</v>
      </c>
      <c r="F469" t="s">
        <v>31</v>
      </c>
      <c r="G469" t="s">
        <v>40</v>
      </c>
    </row>
    <row r="470" spans="1:7">
      <c r="A470">
        <v>8798</v>
      </c>
      <c r="B470" t="s">
        <v>521</v>
      </c>
      <c r="C470" t="s">
        <v>39</v>
      </c>
      <c r="D470" t="s">
        <v>63</v>
      </c>
      <c r="E470" s="23" t="s">
        <v>755</v>
      </c>
      <c r="F470" t="s">
        <v>76</v>
      </c>
      <c r="G470" t="s">
        <v>40</v>
      </c>
    </row>
    <row r="471" spans="1:7">
      <c r="A471">
        <v>6400</v>
      </c>
      <c r="B471" t="s">
        <v>177</v>
      </c>
      <c r="C471" t="s">
        <v>32</v>
      </c>
      <c r="D471" t="s">
        <v>63</v>
      </c>
      <c r="E471" s="23" t="s">
        <v>761</v>
      </c>
      <c r="F471" t="s">
        <v>76</v>
      </c>
      <c r="G471" t="s">
        <v>40</v>
      </c>
    </row>
    <row r="472" spans="1:7">
      <c r="A472">
        <v>9404</v>
      </c>
      <c r="B472" t="s">
        <v>157</v>
      </c>
      <c r="C472" t="s">
        <v>69</v>
      </c>
      <c r="D472" t="s">
        <v>48</v>
      </c>
      <c r="E472" s="23" t="s">
        <v>778</v>
      </c>
      <c r="F472" t="s">
        <v>58</v>
      </c>
      <c r="G472" t="s">
        <v>93</v>
      </c>
    </row>
    <row r="473" spans="1:7">
      <c r="A473">
        <v>8151</v>
      </c>
      <c r="B473" t="s">
        <v>106</v>
      </c>
      <c r="C473" t="s">
        <v>32</v>
      </c>
      <c r="D473" t="s">
        <v>100</v>
      </c>
      <c r="E473" s="23" t="s">
        <v>766</v>
      </c>
      <c r="F473" t="s">
        <v>38</v>
      </c>
      <c r="G473" t="s">
        <v>40</v>
      </c>
    </row>
    <row r="474" spans="1:7">
      <c r="A474">
        <v>7742</v>
      </c>
      <c r="B474" t="s">
        <v>153</v>
      </c>
      <c r="C474" t="s">
        <v>59</v>
      </c>
      <c r="D474" t="s">
        <v>73</v>
      </c>
      <c r="E474" s="23" t="s">
        <v>745</v>
      </c>
      <c r="F474" t="s">
        <v>76</v>
      </c>
      <c r="G474" t="s">
        <v>60</v>
      </c>
    </row>
    <row r="475" spans="1:7">
      <c r="A475">
        <v>4553</v>
      </c>
      <c r="B475" t="s">
        <v>387</v>
      </c>
      <c r="C475" t="s">
        <v>39</v>
      </c>
      <c r="D475" t="s">
        <v>51</v>
      </c>
      <c r="E475" s="23" t="s">
        <v>753</v>
      </c>
      <c r="F475" t="s">
        <v>58</v>
      </c>
      <c r="G475" t="s">
        <v>60</v>
      </c>
    </row>
    <row r="476" spans="1:7">
      <c r="A476">
        <v>6919</v>
      </c>
      <c r="B476" t="s">
        <v>525</v>
      </c>
      <c r="C476" t="s">
        <v>59</v>
      </c>
      <c r="D476" t="s">
        <v>26</v>
      </c>
      <c r="E476" s="23" t="s">
        <v>744</v>
      </c>
      <c r="F476" t="s">
        <v>58</v>
      </c>
      <c r="G476" t="s">
        <v>60</v>
      </c>
    </row>
    <row r="477" spans="1:7">
      <c r="A477">
        <v>7168</v>
      </c>
      <c r="B477" t="s">
        <v>367</v>
      </c>
      <c r="C477" t="s">
        <v>59</v>
      </c>
      <c r="D477" t="s">
        <v>48</v>
      </c>
      <c r="E477" s="23" t="s">
        <v>750</v>
      </c>
      <c r="F477" t="s">
        <v>31</v>
      </c>
      <c r="G477" t="s">
        <v>40</v>
      </c>
    </row>
    <row r="478" spans="1:7">
      <c r="A478">
        <v>6474</v>
      </c>
      <c r="B478" t="s">
        <v>272</v>
      </c>
      <c r="C478" t="s">
        <v>79</v>
      </c>
      <c r="D478" t="s">
        <v>51</v>
      </c>
      <c r="E478" s="23" t="s">
        <v>762</v>
      </c>
      <c r="F478" t="s">
        <v>38</v>
      </c>
      <c r="G478" t="s">
        <v>33</v>
      </c>
    </row>
    <row r="479" spans="1:7">
      <c r="A479">
        <v>4242</v>
      </c>
      <c r="B479" t="s">
        <v>41</v>
      </c>
      <c r="C479" t="s">
        <v>39</v>
      </c>
      <c r="D479" t="s">
        <v>63</v>
      </c>
      <c r="E479" s="23" t="s">
        <v>755</v>
      </c>
      <c r="F479" t="s">
        <v>76</v>
      </c>
      <c r="G479" t="s">
        <v>33</v>
      </c>
    </row>
    <row r="480" spans="1:7">
      <c r="A480">
        <v>3395</v>
      </c>
      <c r="B480" t="s">
        <v>157</v>
      </c>
      <c r="C480" t="s">
        <v>59</v>
      </c>
      <c r="D480" t="s">
        <v>100</v>
      </c>
      <c r="E480" s="23" t="s">
        <v>749</v>
      </c>
      <c r="F480" t="s">
        <v>58</v>
      </c>
      <c r="G480" t="s">
        <v>40</v>
      </c>
    </row>
    <row r="481" spans="1:7">
      <c r="A481">
        <v>8694</v>
      </c>
      <c r="B481" t="s">
        <v>527</v>
      </c>
      <c r="C481" t="s">
        <v>59</v>
      </c>
      <c r="D481" t="s">
        <v>73</v>
      </c>
      <c r="E481" s="23" t="s">
        <v>745</v>
      </c>
      <c r="F481" t="s">
        <v>58</v>
      </c>
      <c r="G481" t="s">
        <v>60</v>
      </c>
    </row>
    <row r="482" spans="1:7">
      <c r="A482">
        <v>7150</v>
      </c>
      <c r="B482" t="s">
        <v>138</v>
      </c>
      <c r="C482" t="s">
        <v>69</v>
      </c>
      <c r="D482" t="s">
        <v>26</v>
      </c>
      <c r="E482" s="23" t="s">
        <v>759</v>
      </c>
      <c r="F482" t="s">
        <v>65</v>
      </c>
      <c r="G482" t="s">
        <v>33</v>
      </c>
    </row>
    <row r="483" spans="1:7">
      <c r="A483">
        <v>4111</v>
      </c>
      <c r="B483" t="s">
        <v>359</v>
      </c>
      <c r="C483" t="s">
        <v>79</v>
      </c>
      <c r="D483" t="s">
        <v>48</v>
      </c>
      <c r="E483" s="23" t="s">
        <v>768</v>
      </c>
      <c r="F483" t="s">
        <v>58</v>
      </c>
      <c r="G483" t="s">
        <v>60</v>
      </c>
    </row>
    <row r="484" spans="1:7">
      <c r="A484">
        <v>3532</v>
      </c>
      <c r="B484" t="s">
        <v>357</v>
      </c>
      <c r="C484" t="s">
        <v>69</v>
      </c>
      <c r="D484" t="s">
        <v>26</v>
      </c>
      <c r="E484" s="23" t="s">
        <v>759</v>
      </c>
      <c r="F484" t="s">
        <v>58</v>
      </c>
      <c r="G484" t="s">
        <v>40</v>
      </c>
    </row>
    <row r="485" spans="1:7">
      <c r="A485">
        <v>5375</v>
      </c>
      <c r="B485" t="s">
        <v>531</v>
      </c>
      <c r="C485" t="s">
        <v>69</v>
      </c>
      <c r="D485" t="s">
        <v>48</v>
      </c>
      <c r="E485" s="23" t="s">
        <v>778</v>
      </c>
      <c r="F485" t="s">
        <v>65</v>
      </c>
      <c r="G485" t="s">
        <v>60</v>
      </c>
    </row>
    <row r="486" spans="1:7">
      <c r="A486">
        <v>8881</v>
      </c>
      <c r="B486" t="s">
        <v>275</v>
      </c>
      <c r="C486" t="s">
        <v>69</v>
      </c>
      <c r="D486" t="s">
        <v>36</v>
      </c>
      <c r="E486" s="23" t="s">
        <v>765</v>
      </c>
      <c r="F486" t="s">
        <v>38</v>
      </c>
      <c r="G486" t="s">
        <v>60</v>
      </c>
    </row>
    <row r="487" spans="1:7">
      <c r="A487">
        <v>1235</v>
      </c>
      <c r="B487" t="s">
        <v>101</v>
      </c>
      <c r="C487" t="s">
        <v>79</v>
      </c>
      <c r="D487" t="s">
        <v>51</v>
      </c>
      <c r="E487" s="23" t="s">
        <v>762</v>
      </c>
      <c r="F487" t="s">
        <v>76</v>
      </c>
      <c r="G487" t="s">
        <v>33</v>
      </c>
    </row>
    <row r="488" spans="1:7">
      <c r="A488">
        <v>2533</v>
      </c>
      <c r="B488" t="s">
        <v>311</v>
      </c>
      <c r="C488" t="s">
        <v>59</v>
      </c>
      <c r="D488" t="s">
        <v>26</v>
      </c>
      <c r="E488" s="23" t="s">
        <v>744</v>
      </c>
      <c r="F488" t="s">
        <v>58</v>
      </c>
      <c r="G488" t="s">
        <v>93</v>
      </c>
    </row>
    <row r="489" spans="1:7">
      <c r="A489">
        <v>2734</v>
      </c>
      <c r="B489" t="s">
        <v>288</v>
      </c>
      <c r="C489" t="s">
        <v>32</v>
      </c>
      <c r="D489" t="s">
        <v>51</v>
      </c>
      <c r="E489" s="23" t="s">
        <v>773</v>
      </c>
      <c r="F489" t="s">
        <v>76</v>
      </c>
      <c r="G489" t="s">
        <v>93</v>
      </c>
    </row>
    <row r="490" spans="1:7">
      <c r="A490">
        <v>4129</v>
      </c>
      <c r="B490" t="s">
        <v>240</v>
      </c>
      <c r="C490" t="s">
        <v>59</v>
      </c>
      <c r="D490" t="s">
        <v>63</v>
      </c>
      <c r="E490" s="23" t="s">
        <v>748</v>
      </c>
      <c r="F490" t="s">
        <v>65</v>
      </c>
      <c r="G490" t="s">
        <v>40</v>
      </c>
    </row>
    <row r="491" spans="1:7">
      <c r="A491">
        <v>3762</v>
      </c>
      <c r="B491" t="s">
        <v>318</v>
      </c>
      <c r="C491" t="s">
        <v>69</v>
      </c>
      <c r="D491" t="s">
        <v>26</v>
      </c>
      <c r="E491" s="23" t="s">
        <v>759</v>
      </c>
      <c r="F491" t="s">
        <v>38</v>
      </c>
      <c r="G491" t="s">
        <v>33</v>
      </c>
    </row>
    <row r="492" spans="1:7">
      <c r="A492">
        <v>4341</v>
      </c>
      <c r="B492" t="s">
        <v>532</v>
      </c>
      <c r="C492" t="s">
        <v>32</v>
      </c>
      <c r="D492" t="s">
        <v>63</v>
      </c>
      <c r="E492" s="23" t="s">
        <v>761</v>
      </c>
      <c r="F492" t="s">
        <v>31</v>
      </c>
      <c r="G492" t="s">
        <v>40</v>
      </c>
    </row>
    <row r="493" spans="1:7">
      <c r="A493">
        <v>6638</v>
      </c>
      <c r="B493" t="s">
        <v>533</v>
      </c>
      <c r="C493" t="s">
        <v>79</v>
      </c>
      <c r="D493" t="s">
        <v>73</v>
      </c>
      <c r="E493" s="23" t="s">
        <v>763</v>
      </c>
      <c r="F493" t="s">
        <v>31</v>
      </c>
      <c r="G493" t="s">
        <v>93</v>
      </c>
    </row>
    <row r="494" spans="1:7">
      <c r="A494">
        <v>5861</v>
      </c>
      <c r="B494" t="s">
        <v>325</v>
      </c>
      <c r="C494" t="s">
        <v>32</v>
      </c>
      <c r="D494" t="s">
        <v>100</v>
      </c>
      <c r="E494" s="23" t="s">
        <v>766</v>
      </c>
      <c r="F494" t="s">
        <v>65</v>
      </c>
      <c r="G494" t="s">
        <v>33</v>
      </c>
    </row>
    <row r="495" spans="1:7">
      <c r="A495">
        <v>8815</v>
      </c>
      <c r="B495" t="s">
        <v>345</v>
      </c>
      <c r="C495" t="s">
        <v>69</v>
      </c>
      <c r="D495" t="s">
        <v>51</v>
      </c>
      <c r="E495" s="23" t="s">
        <v>774</v>
      </c>
      <c r="F495" t="s">
        <v>58</v>
      </c>
      <c r="G495" t="s">
        <v>40</v>
      </c>
    </row>
    <row r="496" spans="1:7">
      <c r="A496">
        <v>8793</v>
      </c>
      <c r="B496" t="s">
        <v>148</v>
      </c>
      <c r="C496" t="s">
        <v>59</v>
      </c>
      <c r="D496" t="s">
        <v>48</v>
      </c>
      <c r="E496" s="23" t="s">
        <v>750</v>
      </c>
      <c r="F496" t="s">
        <v>65</v>
      </c>
      <c r="G496" t="s">
        <v>93</v>
      </c>
    </row>
    <row r="497" spans="1:7">
      <c r="A497">
        <v>3469</v>
      </c>
      <c r="B497" t="s">
        <v>122</v>
      </c>
      <c r="C497" t="s">
        <v>59</v>
      </c>
      <c r="D497" t="s">
        <v>36</v>
      </c>
      <c r="E497" s="23" t="s">
        <v>747</v>
      </c>
      <c r="F497" t="s">
        <v>31</v>
      </c>
      <c r="G497" t="s">
        <v>93</v>
      </c>
    </row>
    <row r="498" spans="1:7">
      <c r="A498">
        <v>3654</v>
      </c>
      <c r="B498" t="s">
        <v>153</v>
      </c>
      <c r="C498" t="s">
        <v>69</v>
      </c>
      <c r="D498" t="s">
        <v>73</v>
      </c>
      <c r="E498" s="23" t="s">
        <v>771</v>
      </c>
      <c r="F498" t="s">
        <v>38</v>
      </c>
      <c r="G498" t="s">
        <v>40</v>
      </c>
    </row>
    <row r="499" spans="1:7">
      <c r="A499">
        <v>9555</v>
      </c>
      <c r="B499" t="s">
        <v>345</v>
      </c>
      <c r="C499" t="s">
        <v>79</v>
      </c>
      <c r="D499" t="s">
        <v>51</v>
      </c>
      <c r="E499" s="23" t="s">
        <v>762</v>
      </c>
      <c r="F499" t="s">
        <v>76</v>
      </c>
      <c r="G499" t="s">
        <v>40</v>
      </c>
    </row>
    <row r="500" spans="1:7">
      <c r="A500">
        <v>4028</v>
      </c>
      <c r="B500" t="s">
        <v>228</v>
      </c>
      <c r="C500" t="s">
        <v>39</v>
      </c>
      <c r="D500" t="s">
        <v>63</v>
      </c>
      <c r="E500" s="23" t="s">
        <v>755</v>
      </c>
      <c r="F500" t="s">
        <v>65</v>
      </c>
      <c r="G500" t="s">
        <v>60</v>
      </c>
    </row>
    <row r="501" spans="1:7">
      <c r="A501">
        <v>9499</v>
      </c>
      <c r="B501" t="s">
        <v>190</v>
      </c>
      <c r="C501" t="s">
        <v>69</v>
      </c>
      <c r="D501" t="s">
        <v>26</v>
      </c>
      <c r="E501" s="23" t="s">
        <v>759</v>
      </c>
      <c r="F501" t="s">
        <v>38</v>
      </c>
      <c r="G501" t="s">
        <v>60</v>
      </c>
    </row>
    <row r="502" spans="1:7">
      <c r="A502">
        <v>8628</v>
      </c>
      <c r="B502" t="s">
        <v>164</v>
      </c>
      <c r="C502" t="s">
        <v>79</v>
      </c>
      <c r="D502" t="s">
        <v>63</v>
      </c>
      <c r="E502" s="23" t="s">
        <v>767</v>
      </c>
      <c r="F502" t="s">
        <v>65</v>
      </c>
      <c r="G502" t="s">
        <v>33</v>
      </c>
    </row>
    <row r="503" spans="1:7">
      <c r="A503">
        <v>9942</v>
      </c>
      <c r="B503" t="s">
        <v>157</v>
      </c>
      <c r="C503" t="s">
        <v>39</v>
      </c>
      <c r="D503" t="s">
        <v>51</v>
      </c>
      <c r="E503" s="23" t="s">
        <v>753</v>
      </c>
      <c r="F503" t="s">
        <v>58</v>
      </c>
      <c r="G503" t="s">
        <v>33</v>
      </c>
    </row>
    <row r="504" spans="1:7">
      <c r="A504">
        <v>4044</v>
      </c>
      <c r="B504" t="s">
        <v>536</v>
      </c>
      <c r="C504" t="s">
        <v>69</v>
      </c>
      <c r="D504" t="s">
        <v>100</v>
      </c>
      <c r="E504" s="23" t="s">
        <v>772</v>
      </c>
      <c r="F504" t="s">
        <v>65</v>
      </c>
      <c r="G504" t="s">
        <v>93</v>
      </c>
    </row>
    <row r="505" spans="1:7">
      <c r="A505">
        <v>8143</v>
      </c>
      <c r="B505" t="s">
        <v>106</v>
      </c>
      <c r="C505" t="s">
        <v>39</v>
      </c>
      <c r="D505" t="s">
        <v>36</v>
      </c>
      <c r="E505" s="23" t="s">
        <v>754</v>
      </c>
      <c r="F505" t="s">
        <v>65</v>
      </c>
      <c r="G505" t="s">
        <v>60</v>
      </c>
    </row>
    <row r="506" spans="1:7">
      <c r="A506">
        <v>3984</v>
      </c>
      <c r="B506" t="s">
        <v>257</v>
      </c>
      <c r="C506" t="s">
        <v>59</v>
      </c>
      <c r="D506" t="s">
        <v>73</v>
      </c>
      <c r="E506" s="23" t="s">
        <v>745</v>
      </c>
      <c r="F506" t="s">
        <v>76</v>
      </c>
      <c r="G506" t="s">
        <v>33</v>
      </c>
    </row>
    <row r="507" spans="1:7">
      <c r="A507">
        <v>9294</v>
      </c>
      <c r="B507" t="s">
        <v>539</v>
      </c>
      <c r="C507" t="s">
        <v>39</v>
      </c>
      <c r="D507" t="s">
        <v>63</v>
      </c>
      <c r="E507" s="23" t="s">
        <v>755</v>
      </c>
      <c r="F507" t="s">
        <v>31</v>
      </c>
      <c r="G507" t="s">
        <v>40</v>
      </c>
    </row>
    <row r="508" spans="1:7">
      <c r="A508">
        <v>4769</v>
      </c>
      <c r="B508" t="s">
        <v>157</v>
      </c>
      <c r="C508" t="s">
        <v>59</v>
      </c>
      <c r="D508" t="s">
        <v>100</v>
      </c>
      <c r="E508" s="23" t="s">
        <v>749</v>
      </c>
      <c r="F508" t="s">
        <v>31</v>
      </c>
      <c r="G508" t="s">
        <v>33</v>
      </c>
    </row>
    <row r="509" spans="1:7">
      <c r="A509">
        <v>8864</v>
      </c>
      <c r="B509" t="s">
        <v>157</v>
      </c>
      <c r="C509" t="s">
        <v>32</v>
      </c>
      <c r="D509" t="s">
        <v>36</v>
      </c>
      <c r="E509" s="23" t="s">
        <v>764</v>
      </c>
      <c r="F509" t="s">
        <v>76</v>
      </c>
      <c r="G509" t="s">
        <v>33</v>
      </c>
    </row>
    <row r="510" spans="1:7">
      <c r="A510">
        <v>1857</v>
      </c>
      <c r="B510" t="s">
        <v>541</v>
      </c>
      <c r="C510" t="s">
        <v>79</v>
      </c>
      <c r="D510" t="s">
        <v>100</v>
      </c>
      <c r="E510" s="23" t="s">
        <v>769</v>
      </c>
      <c r="F510" t="s">
        <v>65</v>
      </c>
      <c r="G510" t="s">
        <v>33</v>
      </c>
    </row>
    <row r="511" spans="1:7">
      <c r="A511">
        <v>5566</v>
      </c>
      <c r="B511" t="s">
        <v>345</v>
      </c>
      <c r="C511" t="s">
        <v>32</v>
      </c>
      <c r="D511" t="s">
        <v>26</v>
      </c>
      <c r="E511" s="23" t="s">
        <v>758</v>
      </c>
      <c r="F511" t="s">
        <v>65</v>
      </c>
      <c r="G511" t="s">
        <v>40</v>
      </c>
    </row>
    <row r="512" spans="1:7">
      <c r="A512">
        <v>1373</v>
      </c>
      <c r="B512" t="s">
        <v>147</v>
      </c>
      <c r="C512" t="s">
        <v>79</v>
      </c>
      <c r="D512" t="s">
        <v>26</v>
      </c>
      <c r="E512" s="23" t="s">
        <v>760</v>
      </c>
      <c r="F512" t="s">
        <v>65</v>
      </c>
      <c r="G512" t="s">
        <v>33</v>
      </c>
    </row>
    <row r="513" spans="1:7">
      <c r="A513">
        <v>6345</v>
      </c>
      <c r="B513" t="s">
        <v>542</v>
      </c>
      <c r="C513" t="s">
        <v>39</v>
      </c>
      <c r="D513" t="s">
        <v>51</v>
      </c>
      <c r="E513" s="23" t="s">
        <v>753</v>
      </c>
      <c r="F513" t="s">
        <v>58</v>
      </c>
      <c r="G513" t="s">
        <v>40</v>
      </c>
    </row>
    <row r="514" spans="1:7">
      <c r="A514">
        <v>3234</v>
      </c>
      <c r="B514" t="s">
        <v>143</v>
      </c>
      <c r="C514" t="s">
        <v>59</v>
      </c>
      <c r="D514" t="s">
        <v>63</v>
      </c>
      <c r="E514" s="23" t="s">
        <v>748</v>
      </c>
      <c r="F514" t="s">
        <v>58</v>
      </c>
      <c r="G514" t="s">
        <v>60</v>
      </c>
    </row>
    <row r="515" spans="1:7">
      <c r="A515">
        <v>6998</v>
      </c>
      <c r="B515" t="s">
        <v>126</v>
      </c>
      <c r="C515" t="s">
        <v>69</v>
      </c>
      <c r="D515" t="s">
        <v>48</v>
      </c>
      <c r="E515" s="23" t="s">
        <v>778</v>
      </c>
      <c r="F515" t="s">
        <v>76</v>
      </c>
      <c r="G515" t="s">
        <v>33</v>
      </c>
    </row>
    <row r="516" spans="1:7">
      <c r="A516">
        <v>5809</v>
      </c>
      <c r="B516" t="s">
        <v>238</v>
      </c>
      <c r="C516" t="s">
        <v>79</v>
      </c>
      <c r="D516" t="s">
        <v>63</v>
      </c>
      <c r="E516" s="23" t="s">
        <v>767</v>
      </c>
      <c r="F516" t="s">
        <v>38</v>
      </c>
      <c r="G516" t="s">
        <v>40</v>
      </c>
    </row>
    <row r="517" spans="1:7">
      <c r="A517">
        <v>6522</v>
      </c>
      <c r="B517" t="s">
        <v>544</v>
      </c>
      <c r="C517" t="s">
        <v>59</v>
      </c>
      <c r="D517" t="s">
        <v>73</v>
      </c>
      <c r="E517" s="23" t="s">
        <v>745</v>
      </c>
      <c r="F517" t="s">
        <v>58</v>
      </c>
      <c r="G517" t="s">
        <v>33</v>
      </c>
    </row>
    <row r="518" spans="1:7">
      <c r="A518">
        <v>3892</v>
      </c>
      <c r="B518" t="s">
        <v>280</v>
      </c>
      <c r="C518" t="s">
        <v>32</v>
      </c>
      <c r="D518" t="s">
        <v>26</v>
      </c>
      <c r="E518" s="23" t="s">
        <v>758</v>
      </c>
      <c r="F518" t="s">
        <v>38</v>
      </c>
      <c r="G518" t="s">
        <v>40</v>
      </c>
    </row>
    <row r="519" spans="1:7">
      <c r="A519">
        <v>4427</v>
      </c>
      <c r="B519" t="s">
        <v>545</v>
      </c>
      <c r="C519" t="s">
        <v>69</v>
      </c>
      <c r="D519" t="s">
        <v>63</v>
      </c>
      <c r="E519" s="23" t="s">
        <v>777</v>
      </c>
      <c r="F519" t="s">
        <v>31</v>
      </c>
      <c r="G519" t="s">
        <v>40</v>
      </c>
    </row>
    <row r="520" spans="1:7">
      <c r="A520">
        <v>8145</v>
      </c>
      <c r="B520" t="s">
        <v>546</v>
      </c>
      <c r="C520" t="s">
        <v>39</v>
      </c>
      <c r="D520" t="s">
        <v>73</v>
      </c>
      <c r="E520" s="23" t="s">
        <v>752</v>
      </c>
      <c r="F520" t="s">
        <v>38</v>
      </c>
      <c r="G520" t="s">
        <v>93</v>
      </c>
    </row>
    <row r="521" spans="1:7">
      <c r="A521">
        <v>1150</v>
      </c>
      <c r="B521" t="s">
        <v>224</v>
      </c>
      <c r="C521" t="s">
        <v>39</v>
      </c>
      <c r="D521" t="s">
        <v>63</v>
      </c>
      <c r="E521" s="23" t="s">
        <v>755</v>
      </c>
      <c r="F521" t="s">
        <v>76</v>
      </c>
      <c r="G521" t="s">
        <v>93</v>
      </c>
    </row>
    <row r="522" spans="1:7">
      <c r="A522">
        <v>7366</v>
      </c>
      <c r="B522" t="s">
        <v>547</v>
      </c>
      <c r="C522" t="s">
        <v>69</v>
      </c>
      <c r="D522" t="s">
        <v>73</v>
      </c>
      <c r="E522" s="23" t="s">
        <v>771</v>
      </c>
      <c r="F522" t="s">
        <v>76</v>
      </c>
      <c r="G522" t="s">
        <v>40</v>
      </c>
    </row>
    <row r="523" spans="1:7">
      <c r="A523">
        <v>3004</v>
      </c>
      <c r="B523" t="s">
        <v>304</v>
      </c>
      <c r="C523" t="s">
        <v>69</v>
      </c>
      <c r="D523" t="s">
        <v>51</v>
      </c>
      <c r="E523" s="23" t="s">
        <v>774</v>
      </c>
      <c r="F523" t="s">
        <v>58</v>
      </c>
      <c r="G523" t="s">
        <v>33</v>
      </c>
    </row>
    <row r="524" spans="1:7">
      <c r="A524">
        <v>9934</v>
      </c>
      <c r="B524" t="s">
        <v>549</v>
      </c>
      <c r="C524" t="s">
        <v>39</v>
      </c>
      <c r="D524" t="s">
        <v>36</v>
      </c>
      <c r="E524" s="23" t="s">
        <v>754</v>
      </c>
      <c r="F524" t="s">
        <v>38</v>
      </c>
      <c r="G524" t="s">
        <v>93</v>
      </c>
    </row>
    <row r="525" spans="1:7">
      <c r="A525">
        <v>1228</v>
      </c>
      <c r="B525" t="s">
        <v>263</v>
      </c>
      <c r="C525" t="s">
        <v>69</v>
      </c>
      <c r="D525" t="s">
        <v>63</v>
      </c>
      <c r="E525" s="23" t="s">
        <v>777</v>
      </c>
      <c r="F525" t="s">
        <v>38</v>
      </c>
      <c r="G525" t="s">
        <v>93</v>
      </c>
    </row>
    <row r="526" spans="1:7">
      <c r="A526">
        <v>5806</v>
      </c>
      <c r="B526" t="s">
        <v>551</v>
      </c>
      <c r="C526" t="s">
        <v>79</v>
      </c>
      <c r="D526" t="s">
        <v>36</v>
      </c>
      <c r="E526" s="23" t="s">
        <v>776</v>
      </c>
      <c r="F526" t="s">
        <v>76</v>
      </c>
      <c r="G526" t="s">
        <v>93</v>
      </c>
    </row>
    <row r="527" spans="1:7">
      <c r="A527">
        <v>7538</v>
      </c>
      <c r="B527" t="s">
        <v>232</v>
      </c>
      <c r="C527" t="s">
        <v>69</v>
      </c>
      <c r="D527" t="s">
        <v>63</v>
      </c>
      <c r="E527" s="23" t="s">
        <v>777</v>
      </c>
      <c r="F527" t="s">
        <v>58</v>
      </c>
      <c r="G527" t="s">
        <v>40</v>
      </c>
    </row>
    <row r="528" spans="1:7">
      <c r="A528">
        <v>1035</v>
      </c>
      <c r="B528" t="s">
        <v>201</v>
      </c>
      <c r="C528" t="s">
        <v>69</v>
      </c>
      <c r="D528" t="s">
        <v>100</v>
      </c>
      <c r="E528" s="23" t="s">
        <v>772</v>
      </c>
      <c r="F528" t="s">
        <v>76</v>
      </c>
      <c r="G528" t="s">
        <v>60</v>
      </c>
    </row>
    <row r="529" spans="1:7">
      <c r="A529">
        <v>8399</v>
      </c>
      <c r="B529" t="s">
        <v>382</v>
      </c>
      <c r="C529" t="s">
        <v>32</v>
      </c>
      <c r="D529" t="s">
        <v>26</v>
      </c>
      <c r="E529" s="23" t="s">
        <v>758</v>
      </c>
      <c r="F529" t="s">
        <v>65</v>
      </c>
      <c r="G529" t="s">
        <v>33</v>
      </c>
    </row>
    <row r="530" spans="1:7">
      <c r="A530">
        <v>1912</v>
      </c>
      <c r="B530" t="s">
        <v>281</v>
      </c>
      <c r="C530" t="s">
        <v>32</v>
      </c>
      <c r="D530" t="s">
        <v>100</v>
      </c>
      <c r="E530" s="23" t="s">
        <v>766</v>
      </c>
      <c r="F530" t="s">
        <v>38</v>
      </c>
      <c r="G530" t="s">
        <v>33</v>
      </c>
    </row>
    <row r="531" spans="1:7">
      <c r="A531">
        <v>6604</v>
      </c>
      <c r="B531" t="s">
        <v>148</v>
      </c>
      <c r="C531" t="s">
        <v>69</v>
      </c>
      <c r="D531" t="s">
        <v>100</v>
      </c>
      <c r="E531" s="23" t="s">
        <v>772</v>
      </c>
      <c r="F531" t="s">
        <v>76</v>
      </c>
      <c r="G531" t="s">
        <v>40</v>
      </c>
    </row>
    <row r="532" spans="1:7">
      <c r="A532">
        <v>8952</v>
      </c>
      <c r="B532" t="s">
        <v>183</v>
      </c>
      <c r="C532" t="s">
        <v>59</v>
      </c>
      <c r="D532" t="s">
        <v>100</v>
      </c>
      <c r="E532" s="23" t="s">
        <v>749</v>
      </c>
      <c r="F532" t="s">
        <v>76</v>
      </c>
      <c r="G532" t="s">
        <v>33</v>
      </c>
    </row>
    <row r="533" spans="1:7">
      <c r="A533">
        <v>2549</v>
      </c>
      <c r="B533" t="s">
        <v>152</v>
      </c>
      <c r="C533" t="s">
        <v>69</v>
      </c>
      <c r="D533" t="s">
        <v>73</v>
      </c>
      <c r="E533" s="23" t="s">
        <v>771</v>
      </c>
      <c r="F533" t="s">
        <v>38</v>
      </c>
      <c r="G533" t="s">
        <v>93</v>
      </c>
    </row>
    <row r="534" spans="1:7">
      <c r="A534">
        <v>8954</v>
      </c>
      <c r="B534" t="s">
        <v>238</v>
      </c>
      <c r="C534" t="s">
        <v>32</v>
      </c>
      <c r="D534" t="s">
        <v>73</v>
      </c>
      <c r="E534" s="23" t="s">
        <v>775</v>
      </c>
      <c r="F534" t="s">
        <v>31</v>
      </c>
      <c r="G534" t="s">
        <v>40</v>
      </c>
    </row>
    <row r="535" spans="1:7">
      <c r="A535">
        <v>1922</v>
      </c>
      <c r="B535" t="s">
        <v>104</v>
      </c>
      <c r="C535" t="s">
        <v>32</v>
      </c>
      <c r="D535" t="s">
        <v>51</v>
      </c>
      <c r="E535" s="23" t="s">
        <v>773</v>
      </c>
      <c r="F535" t="s">
        <v>58</v>
      </c>
      <c r="G535" t="s">
        <v>93</v>
      </c>
    </row>
    <row r="536" spans="1:7">
      <c r="A536">
        <v>9861</v>
      </c>
      <c r="B536" t="s">
        <v>140</v>
      </c>
      <c r="C536" t="s">
        <v>39</v>
      </c>
      <c r="D536" t="s">
        <v>73</v>
      </c>
      <c r="E536" s="23" t="s">
        <v>752</v>
      </c>
      <c r="F536" t="s">
        <v>31</v>
      </c>
      <c r="G536" t="s">
        <v>60</v>
      </c>
    </row>
    <row r="537" spans="1:7">
      <c r="A537">
        <v>4383</v>
      </c>
      <c r="B537" t="s">
        <v>553</v>
      </c>
      <c r="C537" t="s">
        <v>59</v>
      </c>
      <c r="D537" t="s">
        <v>26</v>
      </c>
      <c r="E537" s="23" t="s">
        <v>744</v>
      </c>
      <c r="F537" t="s">
        <v>58</v>
      </c>
      <c r="G537" t="s">
        <v>60</v>
      </c>
    </row>
    <row r="538" spans="1:7">
      <c r="A538">
        <v>4328</v>
      </c>
      <c r="B538" t="s">
        <v>120</v>
      </c>
      <c r="C538" t="s">
        <v>39</v>
      </c>
      <c r="D538" t="s">
        <v>26</v>
      </c>
      <c r="E538" s="23" t="s">
        <v>751</v>
      </c>
      <c r="F538" t="s">
        <v>31</v>
      </c>
      <c r="G538" t="s">
        <v>40</v>
      </c>
    </row>
    <row r="539" spans="1:7">
      <c r="A539">
        <v>4622</v>
      </c>
      <c r="B539" t="s">
        <v>191</v>
      </c>
      <c r="C539" t="s">
        <v>69</v>
      </c>
      <c r="D539" t="s">
        <v>26</v>
      </c>
      <c r="E539" s="23" t="s">
        <v>759</v>
      </c>
      <c r="F539" t="s">
        <v>38</v>
      </c>
      <c r="G539" t="s">
        <v>93</v>
      </c>
    </row>
    <row r="540" spans="1:7">
      <c r="A540">
        <v>7828</v>
      </c>
      <c r="B540" t="s">
        <v>555</v>
      </c>
      <c r="C540" t="s">
        <v>39</v>
      </c>
      <c r="D540" t="s">
        <v>63</v>
      </c>
      <c r="E540" s="23" t="s">
        <v>755</v>
      </c>
      <c r="F540" t="s">
        <v>76</v>
      </c>
      <c r="G540" t="s">
        <v>33</v>
      </c>
    </row>
    <row r="541" spans="1:7">
      <c r="A541">
        <v>1393</v>
      </c>
      <c r="B541" t="s">
        <v>254</v>
      </c>
      <c r="C541" t="s">
        <v>39</v>
      </c>
      <c r="D541" t="s">
        <v>26</v>
      </c>
      <c r="E541" s="23" t="s">
        <v>751</v>
      </c>
      <c r="F541" t="s">
        <v>76</v>
      </c>
      <c r="G541" t="s">
        <v>40</v>
      </c>
    </row>
    <row r="542" spans="1:7">
      <c r="A542">
        <v>9239</v>
      </c>
      <c r="B542" t="s">
        <v>257</v>
      </c>
      <c r="C542" t="s">
        <v>69</v>
      </c>
      <c r="D542" t="s">
        <v>36</v>
      </c>
      <c r="E542" s="23" t="s">
        <v>765</v>
      </c>
      <c r="F542" t="s">
        <v>58</v>
      </c>
      <c r="G542" t="s">
        <v>40</v>
      </c>
    </row>
    <row r="543" spans="1:7">
      <c r="A543">
        <v>1636</v>
      </c>
      <c r="B543" t="s">
        <v>147</v>
      </c>
      <c r="C543" t="s">
        <v>32</v>
      </c>
      <c r="D543" t="s">
        <v>100</v>
      </c>
      <c r="E543" s="23" t="s">
        <v>766</v>
      </c>
      <c r="F543" t="s">
        <v>38</v>
      </c>
      <c r="G543" t="s">
        <v>33</v>
      </c>
    </row>
    <row r="544" spans="1:7">
      <c r="A544">
        <v>4401</v>
      </c>
      <c r="B544" t="s">
        <v>558</v>
      </c>
      <c r="C544" t="s">
        <v>79</v>
      </c>
      <c r="D544" t="s">
        <v>51</v>
      </c>
      <c r="E544" s="23" t="s">
        <v>762</v>
      </c>
      <c r="F544" t="s">
        <v>76</v>
      </c>
      <c r="G544" t="s">
        <v>40</v>
      </c>
    </row>
    <row r="545" spans="1:7">
      <c r="A545">
        <v>7135</v>
      </c>
      <c r="B545" t="s">
        <v>560</v>
      </c>
      <c r="C545" t="s">
        <v>69</v>
      </c>
      <c r="D545" t="s">
        <v>36</v>
      </c>
      <c r="E545" s="23" t="s">
        <v>765</v>
      </c>
      <c r="F545" t="s">
        <v>58</v>
      </c>
      <c r="G545" t="s">
        <v>60</v>
      </c>
    </row>
    <row r="546" spans="1:7">
      <c r="A546">
        <v>8923</v>
      </c>
      <c r="B546" t="s">
        <v>184</v>
      </c>
      <c r="C546" t="s">
        <v>32</v>
      </c>
      <c r="D546" t="s">
        <v>100</v>
      </c>
      <c r="E546" s="23" t="s">
        <v>766</v>
      </c>
      <c r="F546" t="s">
        <v>58</v>
      </c>
      <c r="G546" t="s">
        <v>93</v>
      </c>
    </row>
    <row r="547" spans="1:7">
      <c r="A547">
        <v>9748</v>
      </c>
      <c r="B547" t="s">
        <v>323</v>
      </c>
      <c r="C547" t="s">
        <v>32</v>
      </c>
      <c r="D547" t="s">
        <v>100</v>
      </c>
      <c r="E547" s="23" t="s">
        <v>766</v>
      </c>
      <c r="F547" t="s">
        <v>31</v>
      </c>
      <c r="G547" t="s">
        <v>60</v>
      </c>
    </row>
    <row r="548" spans="1:7">
      <c r="A548">
        <v>7046</v>
      </c>
      <c r="B548" t="s">
        <v>344</v>
      </c>
      <c r="C548" t="s">
        <v>79</v>
      </c>
      <c r="D548" t="s">
        <v>63</v>
      </c>
      <c r="E548" s="23" t="s">
        <v>767</v>
      </c>
      <c r="F548" t="s">
        <v>31</v>
      </c>
      <c r="G548" t="s">
        <v>93</v>
      </c>
    </row>
    <row r="549" spans="1:7">
      <c r="A549">
        <v>9688</v>
      </c>
      <c r="B549" t="s">
        <v>562</v>
      </c>
      <c r="C549" t="s">
        <v>39</v>
      </c>
      <c r="D549" t="s">
        <v>73</v>
      </c>
      <c r="E549" s="23" t="s">
        <v>752</v>
      </c>
      <c r="F549" t="s">
        <v>31</v>
      </c>
      <c r="G549" t="s">
        <v>60</v>
      </c>
    </row>
    <row r="550" spans="1:7">
      <c r="A550">
        <v>6720</v>
      </c>
      <c r="B550" t="s">
        <v>157</v>
      </c>
      <c r="C550" t="s">
        <v>79</v>
      </c>
      <c r="D550" t="s">
        <v>63</v>
      </c>
      <c r="E550" s="23" t="s">
        <v>767</v>
      </c>
      <c r="F550" t="s">
        <v>38</v>
      </c>
      <c r="G550" t="s">
        <v>33</v>
      </c>
    </row>
    <row r="551" spans="1:7">
      <c r="A551">
        <v>2766</v>
      </c>
      <c r="B551" t="s">
        <v>563</v>
      </c>
      <c r="C551" t="s">
        <v>59</v>
      </c>
      <c r="D551" t="s">
        <v>51</v>
      </c>
      <c r="E551" s="23" t="s">
        <v>746</v>
      </c>
      <c r="F551" t="s">
        <v>58</v>
      </c>
      <c r="G551" t="s">
        <v>60</v>
      </c>
    </row>
    <row r="552" spans="1:7">
      <c r="A552">
        <v>3847</v>
      </c>
      <c r="B552" t="s">
        <v>114</v>
      </c>
      <c r="C552" t="s">
        <v>39</v>
      </c>
      <c r="D552" t="s">
        <v>26</v>
      </c>
      <c r="E552" s="23" t="s">
        <v>751</v>
      </c>
      <c r="F552" t="s">
        <v>65</v>
      </c>
      <c r="G552" t="s">
        <v>33</v>
      </c>
    </row>
    <row r="553" spans="1:7">
      <c r="A553">
        <v>8554</v>
      </c>
      <c r="B553" t="s">
        <v>153</v>
      </c>
      <c r="C553" t="s">
        <v>69</v>
      </c>
      <c r="D553" t="s">
        <v>100</v>
      </c>
      <c r="E553" s="23" t="s">
        <v>772</v>
      </c>
      <c r="F553" t="s">
        <v>38</v>
      </c>
      <c r="G553" t="s">
        <v>40</v>
      </c>
    </row>
    <row r="554" spans="1:7">
      <c r="A554">
        <v>6569</v>
      </c>
      <c r="B554" t="s">
        <v>34</v>
      </c>
      <c r="C554" t="s">
        <v>39</v>
      </c>
      <c r="D554" t="s">
        <v>100</v>
      </c>
      <c r="E554" s="23" t="s">
        <v>756</v>
      </c>
      <c r="F554" t="s">
        <v>31</v>
      </c>
      <c r="G554" t="s">
        <v>93</v>
      </c>
    </row>
    <row r="555" spans="1:7">
      <c r="A555">
        <v>6391</v>
      </c>
      <c r="B555" t="s">
        <v>257</v>
      </c>
      <c r="C555" t="s">
        <v>59</v>
      </c>
      <c r="D555" t="s">
        <v>36</v>
      </c>
      <c r="E555" s="23" t="s">
        <v>747</v>
      </c>
      <c r="F555" t="s">
        <v>38</v>
      </c>
      <c r="G555" t="s">
        <v>60</v>
      </c>
    </row>
    <row r="556" spans="1:7">
      <c r="A556">
        <v>4883</v>
      </c>
      <c r="B556" t="s">
        <v>564</v>
      </c>
      <c r="C556" t="s">
        <v>32</v>
      </c>
      <c r="D556" t="s">
        <v>26</v>
      </c>
      <c r="E556" s="23" t="s">
        <v>758</v>
      </c>
      <c r="F556" t="s">
        <v>76</v>
      </c>
      <c r="G556" t="s">
        <v>33</v>
      </c>
    </row>
    <row r="557" spans="1:7">
      <c r="A557">
        <v>4530</v>
      </c>
      <c r="B557" t="s">
        <v>226</v>
      </c>
      <c r="C557" t="s">
        <v>79</v>
      </c>
      <c r="D557" t="s">
        <v>26</v>
      </c>
      <c r="E557" s="23" t="s">
        <v>760</v>
      </c>
      <c r="F557" t="s">
        <v>38</v>
      </c>
      <c r="G557" t="s">
        <v>33</v>
      </c>
    </row>
    <row r="558" spans="1:7">
      <c r="A558">
        <v>6531</v>
      </c>
      <c r="B558" t="s">
        <v>280</v>
      </c>
      <c r="C558" t="s">
        <v>32</v>
      </c>
      <c r="D558" t="s">
        <v>48</v>
      </c>
      <c r="E558" s="23" t="s">
        <v>770</v>
      </c>
      <c r="F558" t="s">
        <v>65</v>
      </c>
      <c r="G558" t="s">
        <v>60</v>
      </c>
    </row>
    <row r="559" spans="1:7">
      <c r="A559">
        <v>9701</v>
      </c>
      <c r="B559" t="s">
        <v>566</v>
      </c>
      <c r="C559" t="s">
        <v>39</v>
      </c>
      <c r="D559" t="s">
        <v>48</v>
      </c>
      <c r="E559" s="23" t="s">
        <v>757</v>
      </c>
      <c r="F559" t="s">
        <v>38</v>
      </c>
      <c r="G559" t="s">
        <v>60</v>
      </c>
    </row>
    <row r="560" spans="1:7">
      <c r="A560">
        <v>4702</v>
      </c>
      <c r="B560" t="s">
        <v>383</v>
      </c>
      <c r="C560" t="s">
        <v>69</v>
      </c>
      <c r="D560" t="s">
        <v>63</v>
      </c>
      <c r="E560" s="23" t="s">
        <v>777</v>
      </c>
      <c r="F560" t="s">
        <v>38</v>
      </c>
      <c r="G560" t="s">
        <v>93</v>
      </c>
    </row>
    <row r="561" spans="1:7">
      <c r="A561">
        <v>3163</v>
      </c>
      <c r="B561" t="s">
        <v>409</v>
      </c>
      <c r="C561" t="s">
        <v>39</v>
      </c>
      <c r="D561" t="s">
        <v>73</v>
      </c>
      <c r="E561" s="23" t="s">
        <v>752</v>
      </c>
      <c r="F561" t="s">
        <v>58</v>
      </c>
      <c r="G561" t="s">
        <v>60</v>
      </c>
    </row>
    <row r="562" spans="1:7">
      <c r="A562">
        <v>8719</v>
      </c>
      <c r="B562" t="s">
        <v>126</v>
      </c>
      <c r="C562" t="s">
        <v>59</v>
      </c>
      <c r="D562" t="s">
        <v>51</v>
      </c>
      <c r="E562" s="23" t="s">
        <v>746</v>
      </c>
      <c r="F562" t="s">
        <v>31</v>
      </c>
      <c r="G562" t="s">
        <v>33</v>
      </c>
    </row>
    <row r="563" spans="1:7">
      <c r="A563">
        <v>1282</v>
      </c>
      <c r="B563" t="s">
        <v>120</v>
      </c>
      <c r="C563" t="s">
        <v>69</v>
      </c>
      <c r="D563" t="s">
        <v>63</v>
      </c>
      <c r="E563" s="23" t="s">
        <v>777</v>
      </c>
      <c r="F563" t="s">
        <v>76</v>
      </c>
      <c r="G563" t="s">
        <v>33</v>
      </c>
    </row>
    <row r="564" spans="1:7">
      <c r="A564">
        <v>4538</v>
      </c>
      <c r="B564" t="s">
        <v>290</v>
      </c>
      <c r="C564" t="s">
        <v>79</v>
      </c>
      <c r="D564" t="s">
        <v>36</v>
      </c>
      <c r="E564" s="23" t="s">
        <v>776</v>
      </c>
      <c r="F564" t="s">
        <v>58</v>
      </c>
      <c r="G564" t="s">
        <v>33</v>
      </c>
    </row>
    <row r="565" spans="1:7">
      <c r="A565">
        <v>9538</v>
      </c>
      <c r="B565" t="s">
        <v>280</v>
      </c>
      <c r="C565" t="s">
        <v>32</v>
      </c>
      <c r="D565" t="s">
        <v>36</v>
      </c>
      <c r="E565" s="23" t="s">
        <v>764</v>
      </c>
      <c r="F565" t="s">
        <v>31</v>
      </c>
      <c r="G565" t="s">
        <v>60</v>
      </c>
    </row>
    <row r="566" spans="1:7">
      <c r="A566">
        <v>5109</v>
      </c>
      <c r="B566" t="s">
        <v>179</v>
      </c>
      <c r="C566" t="s">
        <v>59</v>
      </c>
      <c r="D566" t="s">
        <v>51</v>
      </c>
      <c r="E566" s="23" t="s">
        <v>746</v>
      </c>
      <c r="F566" t="s">
        <v>38</v>
      </c>
      <c r="G566" t="s">
        <v>93</v>
      </c>
    </row>
    <row r="567" spans="1:7">
      <c r="A567">
        <v>7947</v>
      </c>
      <c r="B567" t="s">
        <v>572</v>
      </c>
      <c r="C567" t="s">
        <v>32</v>
      </c>
      <c r="D567" t="s">
        <v>73</v>
      </c>
      <c r="E567" s="23" t="s">
        <v>775</v>
      </c>
      <c r="F567" t="s">
        <v>65</v>
      </c>
      <c r="G567" t="s">
        <v>33</v>
      </c>
    </row>
    <row r="568" spans="1:7">
      <c r="A568">
        <v>7546</v>
      </c>
      <c r="B568" t="s">
        <v>147</v>
      </c>
      <c r="C568" t="s">
        <v>59</v>
      </c>
      <c r="D568" t="s">
        <v>48</v>
      </c>
      <c r="E568" s="23" t="s">
        <v>750</v>
      </c>
      <c r="F568" t="s">
        <v>58</v>
      </c>
      <c r="G568" t="s">
        <v>93</v>
      </c>
    </row>
    <row r="569" spans="1:7">
      <c r="A569">
        <v>4213</v>
      </c>
      <c r="B569" t="s">
        <v>574</v>
      </c>
      <c r="C569" t="s">
        <v>69</v>
      </c>
      <c r="D569" t="s">
        <v>26</v>
      </c>
      <c r="E569" s="23" t="s">
        <v>759</v>
      </c>
      <c r="F569" t="s">
        <v>76</v>
      </c>
      <c r="G569" t="s">
        <v>33</v>
      </c>
    </row>
    <row r="570" spans="1:7">
      <c r="A570">
        <v>3135</v>
      </c>
      <c r="B570" t="s">
        <v>325</v>
      </c>
      <c r="C570" t="s">
        <v>39</v>
      </c>
      <c r="D570" t="s">
        <v>63</v>
      </c>
      <c r="E570" s="23" t="s">
        <v>755</v>
      </c>
      <c r="F570" t="s">
        <v>38</v>
      </c>
      <c r="G570" t="s">
        <v>40</v>
      </c>
    </row>
    <row r="571" spans="1:7">
      <c r="A571">
        <v>9916</v>
      </c>
      <c r="B571" t="s">
        <v>531</v>
      </c>
      <c r="C571" t="s">
        <v>32</v>
      </c>
      <c r="D571" t="s">
        <v>73</v>
      </c>
      <c r="E571" s="23" t="s">
        <v>775</v>
      </c>
      <c r="F571" t="s">
        <v>58</v>
      </c>
      <c r="G571" t="s">
        <v>40</v>
      </c>
    </row>
    <row r="572" spans="1:7">
      <c r="A572">
        <v>2784</v>
      </c>
      <c r="B572" t="s">
        <v>138</v>
      </c>
      <c r="C572" t="s">
        <v>59</v>
      </c>
      <c r="D572" t="s">
        <v>51</v>
      </c>
      <c r="E572" s="23" t="s">
        <v>746</v>
      </c>
      <c r="F572" t="s">
        <v>76</v>
      </c>
      <c r="G572" t="s">
        <v>33</v>
      </c>
    </row>
    <row r="573" spans="1:7">
      <c r="A573">
        <v>5916</v>
      </c>
      <c r="B573" t="s">
        <v>148</v>
      </c>
      <c r="C573" t="s">
        <v>59</v>
      </c>
      <c r="D573" t="s">
        <v>36</v>
      </c>
      <c r="E573" s="23" t="s">
        <v>747</v>
      </c>
      <c r="F573" t="s">
        <v>65</v>
      </c>
      <c r="G573" t="s">
        <v>40</v>
      </c>
    </row>
    <row r="574" spans="1:7">
      <c r="A574">
        <v>1674</v>
      </c>
      <c r="B574" t="s">
        <v>177</v>
      </c>
      <c r="C574" t="s">
        <v>32</v>
      </c>
      <c r="D574" t="s">
        <v>73</v>
      </c>
      <c r="E574" s="23" t="s">
        <v>775</v>
      </c>
      <c r="F574" t="s">
        <v>31</v>
      </c>
      <c r="G574" t="s">
        <v>60</v>
      </c>
    </row>
    <row r="575" spans="1:7">
      <c r="A575">
        <v>2095</v>
      </c>
      <c r="B575" t="s">
        <v>357</v>
      </c>
      <c r="C575" t="s">
        <v>79</v>
      </c>
      <c r="D575" t="s">
        <v>100</v>
      </c>
      <c r="E575" s="23" t="s">
        <v>769</v>
      </c>
      <c r="F575" t="s">
        <v>65</v>
      </c>
      <c r="G575" t="s">
        <v>33</v>
      </c>
    </row>
    <row r="576" spans="1:7">
      <c r="A576">
        <v>9594</v>
      </c>
      <c r="B576" t="s">
        <v>138</v>
      </c>
      <c r="C576" t="s">
        <v>59</v>
      </c>
      <c r="D576" t="s">
        <v>26</v>
      </c>
      <c r="E576" s="23" t="s">
        <v>744</v>
      </c>
      <c r="F576" t="s">
        <v>65</v>
      </c>
      <c r="G576" t="s">
        <v>33</v>
      </c>
    </row>
    <row r="577" spans="1:7">
      <c r="A577">
        <v>6750</v>
      </c>
      <c r="B577" t="s">
        <v>23</v>
      </c>
      <c r="C577" t="s">
        <v>59</v>
      </c>
      <c r="D577" t="s">
        <v>48</v>
      </c>
      <c r="E577" s="23" t="s">
        <v>750</v>
      </c>
      <c r="F577" t="s">
        <v>31</v>
      </c>
      <c r="G577" t="s">
        <v>93</v>
      </c>
    </row>
    <row r="578" spans="1:7">
      <c r="A578">
        <v>7235</v>
      </c>
      <c r="B578" t="s">
        <v>171</v>
      </c>
      <c r="C578" t="s">
        <v>69</v>
      </c>
      <c r="D578" t="s">
        <v>63</v>
      </c>
      <c r="E578" s="23" t="s">
        <v>777</v>
      </c>
      <c r="F578" t="s">
        <v>58</v>
      </c>
      <c r="G578" t="s">
        <v>40</v>
      </c>
    </row>
    <row r="579" spans="1:7">
      <c r="A579">
        <v>3910</v>
      </c>
      <c r="B579" t="s">
        <v>260</v>
      </c>
      <c r="C579" t="s">
        <v>59</v>
      </c>
      <c r="D579" t="s">
        <v>100</v>
      </c>
      <c r="E579" s="23" t="s">
        <v>749</v>
      </c>
      <c r="F579" t="s">
        <v>76</v>
      </c>
      <c r="G579" t="s">
        <v>93</v>
      </c>
    </row>
    <row r="580" spans="1:7">
      <c r="A580">
        <v>8190</v>
      </c>
      <c r="B580" t="s">
        <v>579</v>
      </c>
      <c r="C580" t="s">
        <v>32</v>
      </c>
      <c r="D580" t="s">
        <v>51</v>
      </c>
      <c r="E580" s="23" t="s">
        <v>773</v>
      </c>
      <c r="F580" t="s">
        <v>58</v>
      </c>
      <c r="G580" t="s">
        <v>40</v>
      </c>
    </row>
    <row r="581" spans="1:7">
      <c r="A581">
        <v>5315</v>
      </c>
      <c r="B581" t="s">
        <v>580</v>
      </c>
      <c r="C581" t="s">
        <v>39</v>
      </c>
      <c r="D581" t="s">
        <v>63</v>
      </c>
      <c r="E581" s="23" t="s">
        <v>755</v>
      </c>
      <c r="F581" t="s">
        <v>65</v>
      </c>
      <c r="G581" t="s">
        <v>93</v>
      </c>
    </row>
    <row r="582" spans="1:7">
      <c r="A582">
        <v>7503</v>
      </c>
      <c r="B582" t="s">
        <v>153</v>
      </c>
      <c r="C582" t="s">
        <v>39</v>
      </c>
      <c r="D582" t="s">
        <v>63</v>
      </c>
      <c r="E582" s="23" t="s">
        <v>755</v>
      </c>
      <c r="F582" t="s">
        <v>76</v>
      </c>
      <c r="G582" t="s">
        <v>60</v>
      </c>
    </row>
    <row r="583" spans="1:7">
      <c r="A583">
        <v>5788</v>
      </c>
      <c r="B583" t="s">
        <v>186</v>
      </c>
      <c r="C583" t="s">
        <v>39</v>
      </c>
      <c r="D583" t="s">
        <v>63</v>
      </c>
      <c r="E583" s="23" t="s">
        <v>755</v>
      </c>
      <c r="F583" t="s">
        <v>65</v>
      </c>
      <c r="G583" t="s">
        <v>60</v>
      </c>
    </row>
    <row r="584" spans="1:7">
      <c r="A584">
        <v>7030</v>
      </c>
      <c r="B584" t="s">
        <v>583</v>
      </c>
      <c r="C584" t="s">
        <v>79</v>
      </c>
      <c r="D584" t="s">
        <v>51</v>
      </c>
      <c r="E584" s="23" t="s">
        <v>762</v>
      </c>
      <c r="F584" t="s">
        <v>58</v>
      </c>
      <c r="G584" t="s">
        <v>33</v>
      </c>
    </row>
    <row r="585" spans="1:7">
      <c r="A585">
        <v>6619</v>
      </c>
      <c r="B585" t="s">
        <v>408</v>
      </c>
      <c r="C585" t="s">
        <v>32</v>
      </c>
      <c r="D585" t="s">
        <v>51</v>
      </c>
      <c r="E585" s="23" t="s">
        <v>773</v>
      </c>
      <c r="F585" t="s">
        <v>31</v>
      </c>
      <c r="G585" t="s">
        <v>33</v>
      </c>
    </row>
    <row r="586" spans="1:7">
      <c r="A586">
        <v>6319</v>
      </c>
      <c r="B586" t="s">
        <v>584</v>
      </c>
      <c r="C586" t="s">
        <v>69</v>
      </c>
      <c r="D586" t="s">
        <v>100</v>
      </c>
      <c r="E586" s="23" t="s">
        <v>772</v>
      </c>
      <c r="F586" t="s">
        <v>38</v>
      </c>
      <c r="G586" t="s">
        <v>60</v>
      </c>
    </row>
    <row r="587" spans="1:7">
      <c r="A587">
        <v>6268</v>
      </c>
      <c r="B587" t="s">
        <v>313</v>
      </c>
      <c r="C587" t="s">
        <v>79</v>
      </c>
      <c r="D587" t="s">
        <v>63</v>
      </c>
      <c r="E587" s="23" t="s">
        <v>767</v>
      </c>
      <c r="F587" t="s">
        <v>31</v>
      </c>
      <c r="G587" t="s">
        <v>93</v>
      </c>
    </row>
    <row r="588" spans="1:7">
      <c r="A588">
        <v>5016</v>
      </c>
      <c r="B588" t="s">
        <v>424</v>
      </c>
      <c r="C588" t="s">
        <v>79</v>
      </c>
      <c r="D588" t="s">
        <v>73</v>
      </c>
      <c r="E588" s="23" t="s">
        <v>763</v>
      </c>
      <c r="F588" t="s">
        <v>58</v>
      </c>
      <c r="G588" t="s">
        <v>93</v>
      </c>
    </row>
    <row r="589" spans="1:7">
      <c r="A589">
        <v>3888</v>
      </c>
      <c r="B589" t="s">
        <v>176</v>
      </c>
      <c r="C589" t="s">
        <v>79</v>
      </c>
      <c r="D589" t="s">
        <v>26</v>
      </c>
      <c r="E589" s="23" t="s">
        <v>760</v>
      </c>
      <c r="F589" t="s">
        <v>76</v>
      </c>
      <c r="G589" t="s">
        <v>40</v>
      </c>
    </row>
    <row r="590" spans="1:7">
      <c r="A590">
        <v>9918</v>
      </c>
      <c r="B590" t="s">
        <v>238</v>
      </c>
      <c r="C590" t="s">
        <v>59</v>
      </c>
      <c r="D590" t="s">
        <v>51</v>
      </c>
      <c r="E590" s="23" t="s">
        <v>746</v>
      </c>
      <c r="F590" t="s">
        <v>65</v>
      </c>
      <c r="G590" t="s">
        <v>60</v>
      </c>
    </row>
    <row r="591" spans="1:7">
      <c r="A591">
        <v>7305</v>
      </c>
      <c r="B591" t="s">
        <v>224</v>
      </c>
      <c r="C591" t="s">
        <v>39</v>
      </c>
      <c r="D591" t="s">
        <v>100</v>
      </c>
      <c r="E591" s="23" t="s">
        <v>756</v>
      </c>
      <c r="F591" t="s">
        <v>76</v>
      </c>
      <c r="G591" t="s">
        <v>40</v>
      </c>
    </row>
    <row r="592" spans="1:7">
      <c r="A592">
        <v>5719</v>
      </c>
      <c r="B592" t="s">
        <v>531</v>
      </c>
      <c r="C592" t="s">
        <v>69</v>
      </c>
      <c r="D592" t="s">
        <v>51</v>
      </c>
      <c r="E592" s="23" t="s">
        <v>774</v>
      </c>
      <c r="F592" t="s">
        <v>76</v>
      </c>
      <c r="G592" t="s">
        <v>93</v>
      </c>
    </row>
    <row r="593" spans="1:7">
      <c r="A593">
        <v>2334</v>
      </c>
      <c r="B593" t="s">
        <v>473</v>
      </c>
      <c r="C593" t="s">
        <v>69</v>
      </c>
      <c r="D593" t="s">
        <v>73</v>
      </c>
      <c r="E593" s="23" t="s">
        <v>771</v>
      </c>
      <c r="F593" t="s">
        <v>31</v>
      </c>
      <c r="G593" t="s">
        <v>60</v>
      </c>
    </row>
    <row r="594" spans="1:7">
      <c r="A594">
        <v>1006</v>
      </c>
      <c r="B594" t="s">
        <v>589</v>
      </c>
      <c r="C594" t="s">
        <v>79</v>
      </c>
      <c r="D594" t="s">
        <v>36</v>
      </c>
      <c r="E594" s="23" t="s">
        <v>776</v>
      </c>
      <c r="F594" t="s">
        <v>58</v>
      </c>
      <c r="G594" t="s">
        <v>60</v>
      </c>
    </row>
    <row r="595" spans="1:7">
      <c r="A595">
        <v>6719</v>
      </c>
      <c r="B595" t="s">
        <v>114</v>
      </c>
      <c r="C595" t="s">
        <v>39</v>
      </c>
      <c r="D595" t="s">
        <v>63</v>
      </c>
      <c r="E595" s="23" t="s">
        <v>755</v>
      </c>
      <c r="F595" t="s">
        <v>38</v>
      </c>
      <c r="G595" t="s">
        <v>40</v>
      </c>
    </row>
    <row r="596" spans="1:7">
      <c r="A596">
        <v>6138</v>
      </c>
      <c r="B596" t="s">
        <v>70</v>
      </c>
      <c r="C596" t="s">
        <v>69</v>
      </c>
      <c r="D596" t="s">
        <v>51</v>
      </c>
      <c r="E596" s="23" t="s">
        <v>774</v>
      </c>
      <c r="F596" t="s">
        <v>31</v>
      </c>
      <c r="G596" t="s">
        <v>33</v>
      </c>
    </row>
    <row r="597" spans="1:7">
      <c r="A597">
        <v>1255</v>
      </c>
      <c r="B597" t="s">
        <v>122</v>
      </c>
      <c r="C597" t="s">
        <v>59</v>
      </c>
      <c r="D597" t="s">
        <v>51</v>
      </c>
      <c r="E597" s="23" t="s">
        <v>746</v>
      </c>
      <c r="F597" t="s">
        <v>58</v>
      </c>
      <c r="G597" t="s">
        <v>93</v>
      </c>
    </row>
    <row r="598" spans="1:7">
      <c r="A598">
        <v>5528</v>
      </c>
      <c r="B598" t="s">
        <v>179</v>
      </c>
      <c r="C598" t="s">
        <v>69</v>
      </c>
      <c r="D598" t="s">
        <v>26</v>
      </c>
      <c r="E598" s="23" t="s">
        <v>759</v>
      </c>
      <c r="F598" t="s">
        <v>58</v>
      </c>
      <c r="G598" t="s">
        <v>93</v>
      </c>
    </row>
    <row r="599" spans="1:7">
      <c r="A599">
        <v>2517</v>
      </c>
      <c r="B599" t="s">
        <v>157</v>
      </c>
      <c r="C599" t="s">
        <v>32</v>
      </c>
      <c r="D599" t="s">
        <v>48</v>
      </c>
      <c r="E599" s="23" t="s">
        <v>770</v>
      </c>
      <c r="F599" t="s">
        <v>31</v>
      </c>
      <c r="G599" t="s">
        <v>93</v>
      </c>
    </row>
    <row r="600" spans="1:7">
      <c r="A600">
        <v>9593</v>
      </c>
      <c r="B600" t="s">
        <v>592</v>
      </c>
      <c r="C600" t="s">
        <v>79</v>
      </c>
      <c r="D600" t="s">
        <v>63</v>
      </c>
      <c r="E600" s="23" t="s">
        <v>767</v>
      </c>
      <c r="F600" t="s">
        <v>38</v>
      </c>
      <c r="G600" t="s">
        <v>40</v>
      </c>
    </row>
    <row r="601" spans="1:7">
      <c r="A601">
        <v>7507</v>
      </c>
      <c r="B601" t="s">
        <v>404</v>
      </c>
      <c r="C601" t="s">
        <v>32</v>
      </c>
      <c r="D601" t="s">
        <v>51</v>
      </c>
      <c r="E601" s="23" t="s">
        <v>773</v>
      </c>
      <c r="F601" t="s">
        <v>58</v>
      </c>
      <c r="G601" t="s">
        <v>40</v>
      </c>
    </row>
    <row r="602" spans="1:7">
      <c r="A602">
        <v>2884</v>
      </c>
      <c r="B602" t="s">
        <v>549</v>
      </c>
      <c r="C602" t="s">
        <v>59</v>
      </c>
      <c r="D602" t="s">
        <v>26</v>
      </c>
      <c r="E602" s="23" t="s">
        <v>744</v>
      </c>
      <c r="F602" t="s">
        <v>76</v>
      </c>
      <c r="G602" t="s">
        <v>40</v>
      </c>
    </row>
    <row r="603" spans="1:7">
      <c r="A603">
        <v>6374</v>
      </c>
      <c r="B603" t="s">
        <v>495</v>
      </c>
      <c r="C603" t="s">
        <v>69</v>
      </c>
      <c r="D603" t="s">
        <v>26</v>
      </c>
      <c r="E603" s="23" t="s">
        <v>759</v>
      </c>
      <c r="F603" t="s">
        <v>31</v>
      </c>
      <c r="G603" t="s">
        <v>93</v>
      </c>
    </row>
    <row r="604" spans="1:7">
      <c r="A604">
        <v>6888</v>
      </c>
      <c r="B604" t="s">
        <v>196</v>
      </c>
      <c r="C604" t="s">
        <v>32</v>
      </c>
      <c r="D604" t="s">
        <v>73</v>
      </c>
      <c r="E604" s="23" t="s">
        <v>775</v>
      </c>
      <c r="F604" t="s">
        <v>31</v>
      </c>
      <c r="G604" t="s">
        <v>33</v>
      </c>
    </row>
    <row r="605" spans="1:7">
      <c r="A605">
        <v>2788</v>
      </c>
      <c r="B605" t="s">
        <v>593</v>
      </c>
      <c r="C605" t="s">
        <v>32</v>
      </c>
      <c r="D605" t="s">
        <v>73</v>
      </c>
      <c r="E605" s="23" t="s">
        <v>775</v>
      </c>
      <c r="F605" t="s">
        <v>58</v>
      </c>
      <c r="G605" t="s">
        <v>33</v>
      </c>
    </row>
    <row r="606" spans="1:7">
      <c r="A606">
        <v>7892</v>
      </c>
      <c r="B606" t="s">
        <v>137</v>
      </c>
      <c r="C606" t="s">
        <v>79</v>
      </c>
      <c r="D606" t="s">
        <v>100</v>
      </c>
      <c r="E606" s="23" t="s">
        <v>769</v>
      </c>
      <c r="F606" t="s">
        <v>31</v>
      </c>
      <c r="G606" t="s">
        <v>60</v>
      </c>
    </row>
    <row r="607" spans="1:7">
      <c r="A607">
        <v>4576</v>
      </c>
      <c r="B607" t="s">
        <v>138</v>
      </c>
      <c r="C607" t="s">
        <v>39</v>
      </c>
      <c r="D607" t="s">
        <v>36</v>
      </c>
      <c r="E607" s="23" t="s">
        <v>754</v>
      </c>
      <c r="F607" t="s">
        <v>76</v>
      </c>
      <c r="G607" t="s">
        <v>60</v>
      </c>
    </row>
    <row r="608" spans="1:7">
      <c r="A608">
        <v>8901</v>
      </c>
      <c r="B608" t="s">
        <v>595</v>
      </c>
      <c r="C608" t="s">
        <v>79</v>
      </c>
      <c r="D608" t="s">
        <v>26</v>
      </c>
      <c r="E608" s="23" t="s">
        <v>760</v>
      </c>
      <c r="F608" t="s">
        <v>76</v>
      </c>
      <c r="G608" t="s">
        <v>60</v>
      </c>
    </row>
    <row r="609" spans="1:7">
      <c r="A609">
        <v>5147</v>
      </c>
      <c r="B609" t="s">
        <v>140</v>
      </c>
      <c r="C609" t="s">
        <v>32</v>
      </c>
      <c r="D609" t="s">
        <v>73</v>
      </c>
      <c r="E609" s="23" t="s">
        <v>775</v>
      </c>
      <c r="F609" t="s">
        <v>31</v>
      </c>
      <c r="G609" t="s">
        <v>33</v>
      </c>
    </row>
    <row r="610" spans="1:7">
      <c r="A610">
        <v>8646</v>
      </c>
      <c r="B610" t="s">
        <v>294</v>
      </c>
      <c r="C610" t="s">
        <v>79</v>
      </c>
      <c r="D610" t="s">
        <v>26</v>
      </c>
      <c r="E610" s="23" t="s">
        <v>760</v>
      </c>
      <c r="F610" t="s">
        <v>65</v>
      </c>
      <c r="G610" t="s">
        <v>33</v>
      </c>
    </row>
    <row r="611" spans="1:7">
      <c r="A611">
        <v>8343</v>
      </c>
      <c r="B611" t="s">
        <v>140</v>
      </c>
      <c r="C611" t="s">
        <v>79</v>
      </c>
      <c r="D611" t="s">
        <v>26</v>
      </c>
      <c r="E611" s="23" t="s">
        <v>760</v>
      </c>
      <c r="F611" t="s">
        <v>31</v>
      </c>
      <c r="G611" t="s">
        <v>93</v>
      </c>
    </row>
    <row r="612" spans="1:7">
      <c r="A612">
        <v>9332</v>
      </c>
      <c r="B612" t="s">
        <v>41</v>
      </c>
      <c r="C612" t="s">
        <v>59</v>
      </c>
      <c r="D612" t="s">
        <v>51</v>
      </c>
      <c r="E612" s="23" t="s">
        <v>746</v>
      </c>
      <c r="F612" t="s">
        <v>58</v>
      </c>
      <c r="G612" t="s">
        <v>60</v>
      </c>
    </row>
    <row r="613" spans="1:7">
      <c r="A613">
        <v>7398</v>
      </c>
      <c r="B613" t="s">
        <v>349</v>
      </c>
      <c r="C613" t="s">
        <v>39</v>
      </c>
      <c r="D613" t="s">
        <v>36</v>
      </c>
      <c r="E613" s="23" t="s">
        <v>754</v>
      </c>
      <c r="F613" t="s">
        <v>31</v>
      </c>
      <c r="G613" t="s">
        <v>40</v>
      </c>
    </row>
    <row r="614" spans="1:7">
      <c r="A614">
        <v>3572</v>
      </c>
      <c r="B614" t="s">
        <v>598</v>
      </c>
      <c r="C614" t="s">
        <v>59</v>
      </c>
      <c r="D614" t="s">
        <v>51</v>
      </c>
      <c r="E614" s="23" t="s">
        <v>746</v>
      </c>
      <c r="F614" t="s">
        <v>76</v>
      </c>
      <c r="G614" t="s">
        <v>40</v>
      </c>
    </row>
    <row r="615" spans="1:7">
      <c r="A615">
        <v>4590</v>
      </c>
      <c r="B615" t="s">
        <v>553</v>
      </c>
      <c r="C615" t="s">
        <v>79</v>
      </c>
      <c r="D615" t="s">
        <v>100</v>
      </c>
      <c r="E615" s="23" t="s">
        <v>769</v>
      </c>
      <c r="F615" t="s">
        <v>38</v>
      </c>
      <c r="G615" t="s">
        <v>33</v>
      </c>
    </row>
    <row r="616" spans="1:7">
      <c r="A616">
        <v>1831</v>
      </c>
      <c r="B616" t="s">
        <v>88</v>
      </c>
      <c r="C616" t="s">
        <v>69</v>
      </c>
      <c r="D616" t="s">
        <v>48</v>
      </c>
      <c r="E616" s="23" t="s">
        <v>778</v>
      </c>
      <c r="F616" t="s">
        <v>58</v>
      </c>
      <c r="G616" t="s">
        <v>33</v>
      </c>
    </row>
    <row r="617" spans="1:7">
      <c r="A617">
        <v>6899</v>
      </c>
      <c r="B617" t="s">
        <v>284</v>
      </c>
      <c r="C617" t="s">
        <v>39</v>
      </c>
      <c r="D617" t="s">
        <v>63</v>
      </c>
      <c r="E617" s="23" t="s">
        <v>755</v>
      </c>
      <c r="F617" t="s">
        <v>76</v>
      </c>
      <c r="G617" t="s">
        <v>33</v>
      </c>
    </row>
    <row r="618" spans="1:7">
      <c r="A618">
        <v>1148</v>
      </c>
      <c r="B618" t="s">
        <v>88</v>
      </c>
      <c r="C618" t="s">
        <v>39</v>
      </c>
      <c r="D618" t="s">
        <v>26</v>
      </c>
      <c r="E618" s="23" t="s">
        <v>751</v>
      </c>
      <c r="F618" t="s">
        <v>76</v>
      </c>
      <c r="G618" t="s">
        <v>60</v>
      </c>
    </row>
    <row r="619" spans="1:7">
      <c r="A619">
        <v>3745</v>
      </c>
      <c r="B619" t="s">
        <v>325</v>
      </c>
      <c r="C619" t="s">
        <v>32</v>
      </c>
      <c r="D619" t="s">
        <v>100</v>
      </c>
      <c r="E619" s="23" t="s">
        <v>766</v>
      </c>
      <c r="F619" t="s">
        <v>76</v>
      </c>
      <c r="G619" t="s">
        <v>33</v>
      </c>
    </row>
    <row r="620" spans="1:7">
      <c r="A620">
        <v>5084</v>
      </c>
      <c r="B620" t="s">
        <v>599</v>
      </c>
      <c r="C620" t="s">
        <v>79</v>
      </c>
      <c r="D620" t="s">
        <v>26</v>
      </c>
      <c r="E620" s="23" t="s">
        <v>760</v>
      </c>
      <c r="F620" t="s">
        <v>58</v>
      </c>
      <c r="G620" t="s">
        <v>33</v>
      </c>
    </row>
    <row r="621" spans="1:7">
      <c r="A621">
        <v>7179</v>
      </c>
      <c r="B621" t="s">
        <v>157</v>
      </c>
      <c r="C621" t="s">
        <v>32</v>
      </c>
      <c r="D621" t="s">
        <v>73</v>
      </c>
      <c r="E621" s="23" t="s">
        <v>775</v>
      </c>
      <c r="F621" t="s">
        <v>31</v>
      </c>
      <c r="G621" t="s">
        <v>60</v>
      </c>
    </row>
    <row r="622" spans="1:7">
      <c r="A622">
        <v>1005</v>
      </c>
      <c r="B622" t="s">
        <v>304</v>
      </c>
      <c r="C622" t="s">
        <v>79</v>
      </c>
      <c r="D622" t="s">
        <v>63</v>
      </c>
      <c r="E622" s="23" t="s">
        <v>767</v>
      </c>
      <c r="F622" t="s">
        <v>65</v>
      </c>
      <c r="G622" t="s">
        <v>93</v>
      </c>
    </row>
    <row r="623" spans="1:7">
      <c r="A623">
        <v>6405</v>
      </c>
      <c r="B623" t="s">
        <v>598</v>
      </c>
      <c r="C623" t="s">
        <v>59</v>
      </c>
      <c r="D623" t="s">
        <v>73</v>
      </c>
      <c r="E623" s="23" t="s">
        <v>745</v>
      </c>
      <c r="F623" t="s">
        <v>76</v>
      </c>
      <c r="G623" t="s">
        <v>33</v>
      </c>
    </row>
    <row r="624" spans="1:7">
      <c r="A624">
        <v>5215</v>
      </c>
      <c r="B624" t="s">
        <v>41</v>
      </c>
      <c r="C624" t="s">
        <v>59</v>
      </c>
      <c r="D624" t="s">
        <v>100</v>
      </c>
      <c r="E624" s="23" t="s">
        <v>749</v>
      </c>
      <c r="F624" t="s">
        <v>58</v>
      </c>
      <c r="G624" t="s">
        <v>93</v>
      </c>
    </row>
    <row r="625" spans="1:7">
      <c r="A625">
        <v>7525</v>
      </c>
      <c r="B625" t="s">
        <v>318</v>
      </c>
      <c r="C625" t="s">
        <v>39</v>
      </c>
      <c r="D625" t="s">
        <v>26</v>
      </c>
      <c r="E625" s="23" t="s">
        <v>751</v>
      </c>
      <c r="F625" t="s">
        <v>58</v>
      </c>
      <c r="G625" t="s">
        <v>60</v>
      </c>
    </row>
    <row r="626" spans="1:7">
      <c r="A626">
        <v>9115</v>
      </c>
      <c r="B626" t="s">
        <v>88</v>
      </c>
      <c r="C626" t="s">
        <v>69</v>
      </c>
      <c r="D626" t="s">
        <v>73</v>
      </c>
      <c r="E626" s="23" t="s">
        <v>771</v>
      </c>
      <c r="F626" t="s">
        <v>65</v>
      </c>
      <c r="G626" t="s">
        <v>33</v>
      </c>
    </row>
    <row r="627" spans="1:7">
      <c r="A627">
        <v>6454</v>
      </c>
      <c r="B627" t="s">
        <v>191</v>
      </c>
      <c r="C627" t="s">
        <v>32</v>
      </c>
      <c r="D627" t="s">
        <v>73</v>
      </c>
      <c r="E627" s="23" t="s">
        <v>775</v>
      </c>
      <c r="F627" t="s">
        <v>76</v>
      </c>
      <c r="G627" t="s">
        <v>93</v>
      </c>
    </row>
    <row r="628" spans="1:7">
      <c r="A628">
        <v>4781</v>
      </c>
      <c r="B628" t="s">
        <v>602</v>
      </c>
      <c r="C628" t="s">
        <v>79</v>
      </c>
      <c r="D628" t="s">
        <v>73</v>
      </c>
      <c r="E628" s="23" t="s">
        <v>763</v>
      </c>
      <c r="F628" t="s">
        <v>76</v>
      </c>
      <c r="G628" t="s">
        <v>40</v>
      </c>
    </row>
    <row r="629" spans="1:7">
      <c r="A629">
        <v>5040</v>
      </c>
      <c r="B629" t="s">
        <v>603</v>
      </c>
      <c r="C629" t="s">
        <v>59</v>
      </c>
      <c r="D629" t="s">
        <v>48</v>
      </c>
      <c r="E629" s="23" t="s">
        <v>750</v>
      </c>
      <c r="F629" t="s">
        <v>31</v>
      </c>
      <c r="G629" t="s">
        <v>33</v>
      </c>
    </row>
    <row r="630" spans="1:7">
      <c r="A630">
        <v>3209</v>
      </c>
      <c r="B630" t="s">
        <v>347</v>
      </c>
      <c r="C630" t="s">
        <v>59</v>
      </c>
      <c r="D630" t="s">
        <v>51</v>
      </c>
      <c r="E630" s="23" t="s">
        <v>746</v>
      </c>
      <c r="F630" t="s">
        <v>31</v>
      </c>
      <c r="G630" t="s">
        <v>40</v>
      </c>
    </row>
    <row r="631" spans="1:7">
      <c r="A631">
        <v>8703</v>
      </c>
      <c r="B631" t="s">
        <v>254</v>
      </c>
      <c r="C631" t="s">
        <v>39</v>
      </c>
      <c r="D631" t="s">
        <v>36</v>
      </c>
      <c r="E631" s="23" t="s">
        <v>754</v>
      </c>
      <c r="F631" t="s">
        <v>76</v>
      </c>
      <c r="G631" t="s">
        <v>33</v>
      </c>
    </row>
    <row r="632" spans="1:7">
      <c r="A632">
        <v>2536</v>
      </c>
      <c r="B632" t="s">
        <v>272</v>
      </c>
      <c r="C632" t="s">
        <v>79</v>
      </c>
      <c r="D632" t="s">
        <v>63</v>
      </c>
      <c r="E632" s="23" t="s">
        <v>767</v>
      </c>
      <c r="F632" t="s">
        <v>58</v>
      </c>
      <c r="G632" t="s">
        <v>93</v>
      </c>
    </row>
    <row r="633" spans="1:7">
      <c r="A633">
        <v>2057</v>
      </c>
      <c r="B633" t="s">
        <v>604</v>
      </c>
      <c r="C633" t="s">
        <v>32</v>
      </c>
      <c r="D633" t="s">
        <v>63</v>
      </c>
      <c r="E633" s="23" t="s">
        <v>761</v>
      </c>
      <c r="F633" t="s">
        <v>31</v>
      </c>
      <c r="G633" t="s">
        <v>60</v>
      </c>
    </row>
    <row r="634" spans="1:7">
      <c r="A634">
        <v>5627</v>
      </c>
      <c r="B634" t="s">
        <v>606</v>
      </c>
      <c r="C634" t="s">
        <v>69</v>
      </c>
      <c r="D634" t="s">
        <v>48</v>
      </c>
      <c r="E634" s="23" t="s">
        <v>778</v>
      </c>
      <c r="F634" t="s">
        <v>65</v>
      </c>
      <c r="G634" t="s">
        <v>40</v>
      </c>
    </row>
    <row r="635" spans="1:7">
      <c r="A635">
        <v>4763</v>
      </c>
      <c r="B635" t="s">
        <v>266</v>
      </c>
      <c r="C635" t="s">
        <v>69</v>
      </c>
      <c r="D635" t="s">
        <v>26</v>
      </c>
      <c r="E635" s="23" t="s">
        <v>759</v>
      </c>
      <c r="F635" t="s">
        <v>38</v>
      </c>
      <c r="G635" t="s">
        <v>40</v>
      </c>
    </row>
    <row r="636" spans="1:7">
      <c r="A636">
        <v>4577</v>
      </c>
      <c r="B636" t="s">
        <v>190</v>
      </c>
      <c r="C636" t="s">
        <v>79</v>
      </c>
      <c r="D636" t="s">
        <v>73</v>
      </c>
      <c r="E636" s="23" t="s">
        <v>763</v>
      </c>
      <c r="F636" t="s">
        <v>76</v>
      </c>
      <c r="G636" t="s">
        <v>93</v>
      </c>
    </row>
    <row r="637" spans="1:7">
      <c r="A637">
        <v>5216</v>
      </c>
      <c r="B637" t="s">
        <v>367</v>
      </c>
      <c r="C637" t="s">
        <v>39</v>
      </c>
      <c r="D637" t="s">
        <v>73</v>
      </c>
      <c r="E637" s="23" t="s">
        <v>752</v>
      </c>
      <c r="F637" t="s">
        <v>65</v>
      </c>
      <c r="G637" t="s">
        <v>33</v>
      </c>
    </row>
    <row r="638" spans="1:7">
      <c r="A638">
        <v>3941</v>
      </c>
      <c r="B638" t="s">
        <v>608</v>
      </c>
      <c r="C638" t="s">
        <v>39</v>
      </c>
      <c r="D638" t="s">
        <v>100</v>
      </c>
      <c r="E638" s="23" t="s">
        <v>756</v>
      </c>
      <c r="F638" t="s">
        <v>65</v>
      </c>
      <c r="G638" t="s">
        <v>40</v>
      </c>
    </row>
    <row r="639" spans="1:7">
      <c r="A639">
        <v>4396</v>
      </c>
      <c r="B639" t="s">
        <v>234</v>
      </c>
      <c r="C639" t="s">
        <v>59</v>
      </c>
      <c r="D639" t="s">
        <v>36</v>
      </c>
      <c r="E639" s="23" t="s">
        <v>747</v>
      </c>
      <c r="F639" t="s">
        <v>58</v>
      </c>
      <c r="G639" t="s">
        <v>40</v>
      </c>
    </row>
    <row r="640" spans="1:7">
      <c r="A640">
        <v>4865</v>
      </c>
      <c r="B640" t="s">
        <v>98</v>
      </c>
      <c r="C640" t="s">
        <v>79</v>
      </c>
      <c r="D640" t="s">
        <v>48</v>
      </c>
      <c r="E640" s="23" t="s">
        <v>768</v>
      </c>
      <c r="F640" t="s">
        <v>31</v>
      </c>
      <c r="G640" t="s">
        <v>60</v>
      </c>
    </row>
    <row r="641" spans="1:7">
      <c r="A641">
        <v>2497</v>
      </c>
      <c r="B641" t="s">
        <v>382</v>
      </c>
      <c r="C641" t="s">
        <v>59</v>
      </c>
      <c r="D641" t="s">
        <v>51</v>
      </c>
      <c r="E641" s="23" t="s">
        <v>746</v>
      </c>
      <c r="F641" t="s">
        <v>58</v>
      </c>
      <c r="G641" t="s">
        <v>40</v>
      </c>
    </row>
    <row r="642" spans="1:7">
      <c r="A642">
        <v>4945</v>
      </c>
      <c r="B642" t="s">
        <v>313</v>
      </c>
      <c r="C642" t="s">
        <v>69</v>
      </c>
      <c r="D642" t="s">
        <v>100</v>
      </c>
      <c r="E642" s="23" t="s">
        <v>772</v>
      </c>
      <c r="F642" t="s">
        <v>31</v>
      </c>
      <c r="G642" t="s">
        <v>93</v>
      </c>
    </row>
    <row r="643" spans="1:7">
      <c r="A643">
        <v>5227</v>
      </c>
      <c r="B643" t="s">
        <v>610</v>
      </c>
      <c r="C643" t="s">
        <v>39</v>
      </c>
      <c r="D643" t="s">
        <v>36</v>
      </c>
      <c r="E643" s="23" t="s">
        <v>754</v>
      </c>
      <c r="F643" t="s">
        <v>76</v>
      </c>
      <c r="G643" t="s">
        <v>60</v>
      </c>
    </row>
    <row r="644" spans="1:7">
      <c r="A644">
        <v>2150</v>
      </c>
      <c r="B644" t="s">
        <v>311</v>
      </c>
      <c r="C644" t="s">
        <v>79</v>
      </c>
      <c r="D644" t="s">
        <v>63</v>
      </c>
      <c r="E644" s="23" t="s">
        <v>767</v>
      </c>
      <c r="F644" t="s">
        <v>31</v>
      </c>
      <c r="G644" t="s">
        <v>40</v>
      </c>
    </row>
    <row r="645" spans="1:7">
      <c r="A645">
        <v>7145</v>
      </c>
      <c r="B645" t="s">
        <v>612</v>
      </c>
      <c r="C645" t="s">
        <v>69</v>
      </c>
      <c r="D645" t="s">
        <v>36</v>
      </c>
      <c r="E645" s="23" t="s">
        <v>765</v>
      </c>
      <c r="F645" t="s">
        <v>76</v>
      </c>
      <c r="G645" t="s">
        <v>33</v>
      </c>
    </row>
    <row r="646" spans="1:7">
      <c r="A646">
        <v>2040</v>
      </c>
      <c r="B646" t="s">
        <v>613</v>
      </c>
      <c r="C646" t="s">
        <v>59</v>
      </c>
      <c r="D646" t="s">
        <v>63</v>
      </c>
      <c r="E646" s="23" t="s">
        <v>748</v>
      </c>
      <c r="F646" t="s">
        <v>65</v>
      </c>
      <c r="G646" t="s">
        <v>33</v>
      </c>
    </row>
    <row r="647" spans="1:7">
      <c r="A647">
        <v>4191</v>
      </c>
      <c r="B647" t="s">
        <v>270</v>
      </c>
      <c r="C647" t="s">
        <v>32</v>
      </c>
      <c r="D647" t="s">
        <v>63</v>
      </c>
      <c r="E647" s="23" t="s">
        <v>761</v>
      </c>
      <c r="F647" t="s">
        <v>76</v>
      </c>
      <c r="G647" t="s">
        <v>40</v>
      </c>
    </row>
    <row r="648" spans="1:7">
      <c r="A648">
        <v>4336</v>
      </c>
      <c r="B648" t="s">
        <v>88</v>
      </c>
      <c r="C648" t="s">
        <v>59</v>
      </c>
      <c r="D648" t="s">
        <v>51</v>
      </c>
      <c r="E648" s="23" t="s">
        <v>746</v>
      </c>
      <c r="F648" t="s">
        <v>31</v>
      </c>
      <c r="G648" t="s">
        <v>33</v>
      </c>
    </row>
    <row r="649" spans="1:7">
      <c r="A649">
        <v>5438</v>
      </c>
      <c r="B649" t="s">
        <v>411</v>
      </c>
      <c r="C649" t="s">
        <v>69</v>
      </c>
      <c r="D649" t="s">
        <v>36</v>
      </c>
      <c r="E649" s="23" t="s">
        <v>765</v>
      </c>
      <c r="F649" t="s">
        <v>58</v>
      </c>
      <c r="G649" t="s">
        <v>33</v>
      </c>
    </row>
    <row r="650" spans="1:7">
      <c r="A650">
        <v>9857</v>
      </c>
      <c r="B650" t="s">
        <v>247</v>
      </c>
      <c r="C650" t="s">
        <v>69</v>
      </c>
      <c r="D650" t="s">
        <v>26</v>
      </c>
      <c r="E650" s="23" t="s">
        <v>759</v>
      </c>
      <c r="F650" t="s">
        <v>58</v>
      </c>
      <c r="G650" t="s">
        <v>60</v>
      </c>
    </row>
    <row r="651" spans="1:7">
      <c r="A651">
        <v>4767</v>
      </c>
      <c r="B651" t="s">
        <v>98</v>
      </c>
      <c r="C651" t="s">
        <v>39</v>
      </c>
      <c r="D651" t="s">
        <v>51</v>
      </c>
      <c r="E651" s="23" t="s">
        <v>753</v>
      </c>
      <c r="F651" t="s">
        <v>31</v>
      </c>
      <c r="G651" t="s">
        <v>33</v>
      </c>
    </row>
    <row r="652" spans="1:7">
      <c r="A652">
        <v>9374</v>
      </c>
      <c r="B652" t="s">
        <v>224</v>
      </c>
      <c r="C652" t="s">
        <v>69</v>
      </c>
      <c r="D652" t="s">
        <v>26</v>
      </c>
      <c r="E652" s="23" t="s">
        <v>759</v>
      </c>
      <c r="F652" t="s">
        <v>76</v>
      </c>
      <c r="G652" t="s">
        <v>40</v>
      </c>
    </row>
    <row r="653" spans="1:7">
      <c r="A653">
        <v>3918</v>
      </c>
      <c r="B653" t="s">
        <v>88</v>
      </c>
      <c r="C653" t="s">
        <v>32</v>
      </c>
      <c r="D653" t="s">
        <v>26</v>
      </c>
      <c r="E653" s="23" t="s">
        <v>758</v>
      </c>
      <c r="F653" t="s">
        <v>58</v>
      </c>
      <c r="G653" t="s">
        <v>40</v>
      </c>
    </row>
    <row r="654" spans="1:7">
      <c r="A654">
        <v>9866</v>
      </c>
      <c r="B654" t="s">
        <v>138</v>
      </c>
      <c r="C654" t="s">
        <v>32</v>
      </c>
      <c r="D654" t="s">
        <v>36</v>
      </c>
      <c r="E654" s="23" t="s">
        <v>764</v>
      </c>
      <c r="F654" t="s">
        <v>31</v>
      </c>
      <c r="G654" t="s">
        <v>40</v>
      </c>
    </row>
    <row r="655" spans="1:7">
      <c r="A655">
        <v>6389</v>
      </c>
      <c r="B655" t="s">
        <v>541</v>
      </c>
      <c r="C655" t="s">
        <v>32</v>
      </c>
      <c r="D655" t="s">
        <v>51</v>
      </c>
      <c r="E655" s="23" t="s">
        <v>773</v>
      </c>
      <c r="F655" t="s">
        <v>65</v>
      </c>
      <c r="G655" t="s">
        <v>93</v>
      </c>
    </row>
    <row r="656" spans="1:7">
      <c r="A656">
        <v>8733</v>
      </c>
      <c r="B656" t="s">
        <v>294</v>
      </c>
      <c r="C656" t="s">
        <v>32</v>
      </c>
      <c r="D656" t="s">
        <v>63</v>
      </c>
      <c r="E656" s="23" t="s">
        <v>761</v>
      </c>
      <c r="F656" t="s">
        <v>58</v>
      </c>
      <c r="G656" t="s">
        <v>93</v>
      </c>
    </row>
    <row r="657" spans="1:7">
      <c r="A657">
        <v>8105</v>
      </c>
      <c r="B657" t="s">
        <v>52</v>
      </c>
      <c r="C657" t="s">
        <v>32</v>
      </c>
      <c r="D657" t="s">
        <v>36</v>
      </c>
      <c r="E657" s="23" t="s">
        <v>764</v>
      </c>
      <c r="F657" t="s">
        <v>31</v>
      </c>
      <c r="G657" t="s">
        <v>33</v>
      </c>
    </row>
    <row r="658" spans="1:7">
      <c r="A658">
        <v>3443</v>
      </c>
      <c r="B658" t="s">
        <v>190</v>
      </c>
      <c r="C658" t="s">
        <v>59</v>
      </c>
      <c r="D658" t="s">
        <v>51</v>
      </c>
      <c r="E658" s="23" t="s">
        <v>746</v>
      </c>
      <c r="F658" t="s">
        <v>31</v>
      </c>
      <c r="G658" t="s">
        <v>93</v>
      </c>
    </row>
    <row r="659" spans="1:7">
      <c r="A659">
        <v>2664</v>
      </c>
      <c r="B659" t="s">
        <v>98</v>
      </c>
      <c r="C659" t="s">
        <v>59</v>
      </c>
      <c r="D659" t="s">
        <v>73</v>
      </c>
      <c r="E659" s="23" t="s">
        <v>745</v>
      </c>
      <c r="F659" t="s">
        <v>38</v>
      </c>
      <c r="G659" t="s">
        <v>40</v>
      </c>
    </row>
    <row r="660" spans="1:7">
      <c r="A660">
        <v>1782</v>
      </c>
      <c r="B660" t="s">
        <v>617</v>
      </c>
      <c r="C660" t="s">
        <v>69</v>
      </c>
      <c r="D660" t="s">
        <v>100</v>
      </c>
      <c r="E660" s="23" t="s">
        <v>772</v>
      </c>
      <c r="F660" t="s">
        <v>38</v>
      </c>
      <c r="G660" t="s">
        <v>40</v>
      </c>
    </row>
    <row r="661" spans="1:7">
      <c r="A661">
        <v>1337</v>
      </c>
      <c r="B661" t="s">
        <v>618</v>
      </c>
      <c r="C661" t="s">
        <v>59</v>
      </c>
      <c r="D661" t="s">
        <v>100</v>
      </c>
      <c r="E661" s="23" t="s">
        <v>749</v>
      </c>
      <c r="F661" t="s">
        <v>58</v>
      </c>
      <c r="G661" t="s">
        <v>93</v>
      </c>
    </row>
    <row r="662" spans="1:7">
      <c r="A662">
        <v>5901</v>
      </c>
      <c r="B662" t="s">
        <v>41</v>
      </c>
      <c r="C662" t="s">
        <v>79</v>
      </c>
      <c r="D662" t="s">
        <v>63</v>
      </c>
      <c r="E662" s="23" t="s">
        <v>767</v>
      </c>
      <c r="F662" t="s">
        <v>76</v>
      </c>
      <c r="G662" t="s">
        <v>40</v>
      </c>
    </row>
    <row r="663" spans="1:7">
      <c r="A663">
        <v>2731</v>
      </c>
      <c r="B663" t="s">
        <v>619</v>
      </c>
      <c r="C663" t="s">
        <v>69</v>
      </c>
      <c r="D663" t="s">
        <v>100</v>
      </c>
      <c r="E663" s="23" t="s">
        <v>772</v>
      </c>
      <c r="F663" t="s">
        <v>65</v>
      </c>
      <c r="G663" t="s">
        <v>60</v>
      </c>
    </row>
    <row r="664" spans="1:7">
      <c r="A664">
        <v>8307</v>
      </c>
      <c r="B664" t="s">
        <v>245</v>
      </c>
      <c r="C664" t="s">
        <v>32</v>
      </c>
      <c r="D664" t="s">
        <v>63</v>
      </c>
      <c r="E664" s="23" t="s">
        <v>761</v>
      </c>
      <c r="F664" t="s">
        <v>76</v>
      </c>
      <c r="G664" t="s">
        <v>60</v>
      </c>
    </row>
    <row r="665" spans="1:7">
      <c r="A665">
        <v>8019</v>
      </c>
      <c r="B665" t="s">
        <v>620</v>
      </c>
      <c r="C665" t="s">
        <v>59</v>
      </c>
      <c r="D665" t="s">
        <v>73</v>
      </c>
      <c r="E665" s="23" t="s">
        <v>745</v>
      </c>
      <c r="F665" t="s">
        <v>58</v>
      </c>
      <c r="G665" t="s">
        <v>40</v>
      </c>
    </row>
    <row r="666" spans="1:7">
      <c r="A666">
        <v>4847</v>
      </c>
      <c r="B666" t="s">
        <v>238</v>
      </c>
      <c r="C666" t="s">
        <v>79</v>
      </c>
      <c r="D666" t="s">
        <v>63</v>
      </c>
      <c r="E666" s="23" t="s">
        <v>767</v>
      </c>
      <c r="F666" t="s">
        <v>76</v>
      </c>
      <c r="G666" t="s">
        <v>33</v>
      </c>
    </row>
    <row r="667" spans="1:7">
      <c r="A667">
        <v>9822</v>
      </c>
      <c r="B667" t="s">
        <v>212</v>
      </c>
      <c r="C667" t="s">
        <v>79</v>
      </c>
      <c r="D667" t="s">
        <v>73</v>
      </c>
      <c r="E667" s="23" t="s">
        <v>763</v>
      </c>
      <c r="F667" t="s">
        <v>58</v>
      </c>
      <c r="G667" t="s">
        <v>93</v>
      </c>
    </row>
    <row r="668" spans="1:7">
      <c r="A668">
        <v>9141</v>
      </c>
      <c r="B668" t="s">
        <v>621</v>
      </c>
      <c r="C668" t="s">
        <v>59</v>
      </c>
      <c r="D668" t="s">
        <v>36</v>
      </c>
      <c r="E668" s="23" t="s">
        <v>747</v>
      </c>
      <c r="F668" t="s">
        <v>38</v>
      </c>
      <c r="G668" t="s">
        <v>33</v>
      </c>
    </row>
    <row r="669" spans="1:7">
      <c r="A669">
        <v>7539</v>
      </c>
      <c r="B669" t="s">
        <v>606</v>
      </c>
      <c r="C669" t="s">
        <v>39</v>
      </c>
      <c r="D669" t="s">
        <v>63</v>
      </c>
      <c r="E669" s="23" t="s">
        <v>755</v>
      </c>
      <c r="F669" t="s">
        <v>76</v>
      </c>
      <c r="G669" t="s">
        <v>93</v>
      </c>
    </row>
    <row r="670" spans="1:7">
      <c r="A670">
        <v>1390</v>
      </c>
      <c r="B670" t="s">
        <v>623</v>
      </c>
      <c r="C670" t="s">
        <v>39</v>
      </c>
      <c r="D670" t="s">
        <v>63</v>
      </c>
      <c r="E670" s="23" t="s">
        <v>755</v>
      </c>
      <c r="F670" t="s">
        <v>58</v>
      </c>
      <c r="G670" t="s">
        <v>93</v>
      </c>
    </row>
    <row r="671" spans="1:7">
      <c r="A671">
        <v>9505</v>
      </c>
      <c r="B671" t="s">
        <v>284</v>
      </c>
      <c r="C671" t="s">
        <v>32</v>
      </c>
      <c r="D671" t="s">
        <v>73</v>
      </c>
      <c r="E671" s="23" t="s">
        <v>775</v>
      </c>
      <c r="F671" t="s">
        <v>76</v>
      </c>
      <c r="G671" t="s">
        <v>93</v>
      </c>
    </row>
    <row r="672" spans="1:7">
      <c r="A672">
        <v>6741</v>
      </c>
      <c r="B672" t="s">
        <v>259</v>
      </c>
      <c r="C672" t="s">
        <v>79</v>
      </c>
      <c r="D672" t="s">
        <v>48</v>
      </c>
      <c r="E672" s="23" t="s">
        <v>768</v>
      </c>
      <c r="F672" t="s">
        <v>31</v>
      </c>
      <c r="G672" t="s">
        <v>93</v>
      </c>
    </row>
    <row r="673" spans="1:7">
      <c r="A673">
        <v>1790</v>
      </c>
      <c r="B673" t="s">
        <v>624</v>
      </c>
      <c r="C673" t="s">
        <v>59</v>
      </c>
      <c r="D673" t="s">
        <v>48</v>
      </c>
      <c r="E673" s="23" t="s">
        <v>750</v>
      </c>
      <c r="F673" t="s">
        <v>76</v>
      </c>
      <c r="G673" t="s">
        <v>33</v>
      </c>
    </row>
    <row r="674" spans="1:7">
      <c r="A674">
        <v>6491</v>
      </c>
      <c r="B674" t="s">
        <v>625</v>
      </c>
      <c r="C674" t="s">
        <v>79</v>
      </c>
      <c r="D674" t="s">
        <v>26</v>
      </c>
      <c r="E674" s="23" t="s">
        <v>760</v>
      </c>
      <c r="F674" t="s">
        <v>38</v>
      </c>
      <c r="G674" t="s">
        <v>33</v>
      </c>
    </row>
    <row r="675" spans="1:7">
      <c r="A675">
        <v>3102</v>
      </c>
      <c r="B675" t="s">
        <v>260</v>
      </c>
      <c r="C675" t="s">
        <v>59</v>
      </c>
      <c r="D675" t="s">
        <v>36</v>
      </c>
      <c r="E675" s="23" t="s">
        <v>747</v>
      </c>
      <c r="F675" t="s">
        <v>31</v>
      </c>
      <c r="G675" t="s">
        <v>40</v>
      </c>
    </row>
    <row r="676" spans="1:7">
      <c r="A676">
        <v>1300</v>
      </c>
      <c r="B676" t="s">
        <v>626</v>
      </c>
      <c r="C676" t="s">
        <v>32</v>
      </c>
      <c r="D676" t="s">
        <v>100</v>
      </c>
      <c r="E676" s="23" t="s">
        <v>766</v>
      </c>
      <c r="F676" t="s">
        <v>38</v>
      </c>
      <c r="G676" t="s">
        <v>60</v>
      </c>
    </row>
    <row r="677" spans="1:7">
      <c r="A677">
        <v>5410</v>
      </c>
      <c r="B677" t="s">
        <v>628</v>
      </c>
      <c r="C677" t="s">
        <v>69</v>
      </c>
      <c r="D677" t="s">
        <v>63</v>
      </c>
      <c r="E677" s="23" t="s">
        <v>777</v>
      </c>
      <c r="F677" t="s">
        <v>65</v>
      </c>
      <c r="G677" t="s">
        <v>60</v>
      </c>
    </row>
    <row r="678" spans="1:7">
      <c r="A678">
        <v>2714</v>
      </c>
      <c r="B678" t="s">
        <v>629</v>
      </c>
      <c r="C678" t="s">
        <v>32</v>
      </c>
      <c r="D678" t="s">
        <v>48</v>
      </c>
      <c r="E678" s="23" t="s">
        <v>770</v>
      </c>
      <c r="F678" t="s">
        <v>76</v>
      </c>
      <c r="G678" t="s">
        <v>93</v>
      </c>
    </row>
    <row r="679" spans="1:7">
      <c r="A679">
        <v>4700</v>
      </c>
      <c r="B679" t="s">
        <v>179</v>
      </c>
      <c r="C679" t="s">
        <v>79</v>
      </c>
      <c r="D679" t="s">
        <v>26</v>
      </c>
      <c r="E679" s="23" t="s">
        <v>760</v>
      </c>
      <c r="F679" t="s">
        <v>65</v>
      </c>
      <c r="G679" t="s">
        <v>93</v>
      </c>
    </row>
    <row r="680" spans="1:7">
      <c r="A680">
        <v>7589</v>
      </c>
      <c r="B680" t="s">
        <v>280</v>
      </c>
      <c r="C680" t="s">
        <v>69</v>
      </c>
      <c r="D680" t="s">
        <v>63</v>
      </c>
      <c r="E680" s="23" t="s">
        <v>777</v>
      </c>
      <c r="F680" t="s">
        <v>31</v>
      </c>
      <c r="G680" t="s">
        <v>93</v>
      </c>
    </row>
    <row r="681" spans="1:7">
      <c r="A681">
        <v>6866</v>
      </c>
      <c r="B681" t="s">
        <v>199</v>
      </c>
      <c r="C681" t="s">
        <v>79</v>
      </c>
      <c r="D681" t="s">
        <v>63</v>
      </c>
      <c r="E681" s="23" t="s">
        <v>767</v>
      </c>
      <c r="F681" t="s">
        <v>38</v>
      </c>
      <c r="G681" t="s">
        <v>40</v>
      </c>
    </row>
    <row r="682" spans="1:7">
      <c r="A682">
        <v>6960</v>
      </c>
      <c r="B682" t="s">
        <v>630</v>
      </c>
      <c r="C682" t="s">
        <v>79</v>
      </c>
      <c r="D682" t="s">
        <v>51</v>
      </c>
      <c r="E682" s="23" t="s">
        <v>762</v>
      </c>
      <c r="F682" t="s">
        <v>58</v>
      </c>
      <c r="G682" t="s">
        <v>40</v>
      </c>
    </row>
    <row r="683" spans="1:7">
      <c r="A683">
        <v>5808</v>
      </c>
      <c r="B683" t="s">
        <v>491</v>
      </c>
      <c r="C683" t="s">
        <v>69</v>
      </c>
      <c r="D683" t="s">
        <v>26</v>
      </c>
      <c r="E683" s="23" t="s">
        <v>759</v>
      </c>
      <c r="F683" t="s">
        <v>76</v>
      </c>
      <c r="G683" t="s">
        <v>40</v>
      </c>
    </row>
    <row r="684" spans="1:7">
      <c r="A684">
        <v>5525</v>
      </c>
      <c r="B684" t="s">
        <v>224</v>
      </c>
      <c r="C684" t="s">
        <v>32</v>
      </c>
      <c r="D684" t="s">
        <v>26</v>
      </c>
      <c r="E684" s="23" t="s">
        <v>758</v>
      </c>
      <c r="F684" t="s">
        <v>58</v>
      </c>
      <c r="G684" t="s">
        <v>33</v>
      </c>
    </row>
    <row r="685" spans="1:7">
      <c r="A685">
        <v>1272</v>
      </c>
      <c r="B685" t="s">
        <v>272</v>
      </c>
      <c r="C685" t="s">
        <v>79</v>
      </c>
      <c r="D685" t="s">
        <v>73</v>
      </c>
      <c r="E685" s="23" t="s">
        <v>763</v>
      </c>
      <c r="F685" t="s">
        <v>31</v>
      </c>
      <c r="G685" t="s">
        <v>40</v>
      </c>
    </row>
    <row r="686" spans="1:7">
      <c r="A686">
        <v>8063</v>
      </c>
      <c r="B686" t="s">
        <v>304</v>
      </c>
      <c r="C686" t="s">
        <v>79</v>
      </c>
      <c r="D686" t="s">
        <v>73</v>
      </c>
      <c r="E686" s="23" t="s">
        <v>763</v>
      </c>
      <c r="F686" t="s">
        <v>65</v>
      </c>
      <c r="G686" t="s">
        <v>40</v>
      </c>
    </row>
    <row r="687" spans="1:7">
      <c r="A687">
        <v>1856</v>
      </c>
      <c r="B687" t="s">
        <v>631</v>
      </c>
      <c r="C687" t="s">
        <v>59</v>
      </c>
      <c r="D687" t="s">
        <v>63</v>
      </c>
      <c r="E687" s="23" t="s">
        <v>748</v>
      </c>
      <c r="F687" t="s">
        <v>76</v>
      </c>
      <c r="G687" t="s">
        <v>93</v>
      </c>
    </row>
    <row r="688" spans="1:7">
      <c r="A688">
        <v>2830</v>
      </c>
      <c r="B688" t="s">
        <v>579</v>
      </c>
      <c r="C688" t="s">
        <v>79</v>
      </c>
      <c r="D688" t="s">
        <v>73</v>
      </c>
      <c r="E688" s="23" t="s">
        <v>763</v>
      </c>
      <c r="F688" t="s">
        <v>38</v>
      </c>
      <c r="G688" t="s">
        <v>60</v>
      </c>
    </row>
    <row r="689" spans="1:7">
      <c r="A689">
        <v>3287</v>
      </c>
      <c r="B689" t="s">
        <v>508</v>
      </c>
      <c r="C689" t="s">
        <v>79</v>
      </c>
      <c r="D689" t="s">
        <v>63</v>
      </c>
      <c r="E689" s="23" t="s">
        <v>767</v>
      </c>
      <c r="F689" t="s">
        <v>31</v>
      </c>
      <c r="G689" t="s">
        <v>93</v>
      </c>
    </row>
    <row r="690" spans="1:7">
      <c r="A690">
        <v>5679</v>
      </c>
      <c r="B690" t="s">
        <v>444</v>
      </c>
      <c r="C690" t="s">
        <v>69</v>
      </c>
      <c r="D690" t="s">
        <v>26</v>
      </c>
      <c r="E690" s="23" t="s">
        <v>759</v>
      </c>
      <c r="F690" t="s">
        <v>65</v>
      </c>
      <c r="G690" t="s">
        <v>93</v>
      </c>
    </row>
    <row r="691" spans="1:7">
      <c r="A691">
        <v>6399</v>
      </c>
      <c r="B691" t="s">
        <v>157</v>
      </c>
      <c r="C691" t="s">
        <v>59</v>
      </c>
      <c r="D691" t="s">
        <v>51</v>
      </c>
      <c r="E691" s="23" t="s">
        <v>746</v>
      </c>
      <c r="F691" t="s">
        <v>65</v>
      </c>
      <c r="G691" t="s">
        <v>93</v>
      </c>
    </row>
    <row r="692" spans="1:7">
      <c r="A692">
        <v>8753</v>
      </c>
      <c r="B692" t="s">
        <v>257</v>
      </c>
      <c r="C692" t="s">
        <v>79</v>
      </c>
      <c r="D692" t="s">
        <v>26</v>
      </c>
      <c r="E692" s="23" t="s">
        <v>760</v>
      </c>
      <c r="F692" t="s">
        <v>31</v>
      </c>
      <c r="G692" t="s">
        <v>33</v>
      </c>
    </row>
    <row r="693" spans="1:7">
      <c r="A693">
        <v>9267</v>
      </c>
      <c r="B693" t="s">
        <v>284</v>
      </c>
      <c r="C693" t="s">
        <v>39</v>
      </c>
      <c r="D693" t="s">
        <v>100</v>
      </c>
      <c r="E693" s="23" t="s">
        <v>756</v>
      </c>
      <c r="F693" t="s">
        <v>76</v>
      </c>
      <c r="G693" t="s">
        <v>40</v>
      </c>
    </row>
    <row r="694" spans="1:7">
      <c r="A694">
        <v>9846</v>
      </c>
      <c r="B694" t="s">
        <v>128</v>
      </c>
      <c r="C694" t="s">
        <v>32</v>
      </c>
      <c r="D694" t="s">
        <v>36</v>
      </c>
      <c r="E694" s="23" t="s">
        <v>764</v>
      </c>
      <c r="F694" t="s">
        <v>38</v>
      </c>
      <c r="G694" t="s">
        <v>33</v>
      </c>
    </row>
    <row r="695" spans="1:7">
      <c r="A695">
        <v>2382</v>
      </c>
      <c r="B695" t="s">
        <v>584</v>
      </c>
      <c r="C695" t="s">
        <v>39</v>
      </c>
      <c r="D695" t="s">
        <v>48</v>
      </c>
      <c r="E695" s="23" t="s">
        <v>757</v>
      </c>
      <c r="F695" t="s">
        <v>65</v>
      </c>
      <c r="G695" t="s">
        <v>93</v>
      </c>
    </row>
    <row r="696" spans="1:7">
      <c r="A696">
        <v>3593</v>
      </c>
      <c r="B696" t="s">
        <v>335</v>
      </c>
      <c r="C696" t="s">
        <v>32</v>
      </c>
      <c r="D696" t="s">
        <v>51</v>
      </c>
      <c r="E696" s="23" t="s">
        <v>773</v>
      </c>
      <c r="F696" t="s">
        <v>65</v>
      </c>
      <c r="G696" t="s">
        <v>33</v>
      </c>
    </row>
    <row r="697" spans="1:7">
      <c r="A697">
        <v>4097</v>
      </c>
      <c r="B697" t="s">
        <v>280</v>
      </c>
      <c r="C697" t="s">
        <v>59</v>
      </c>
      <c r="D697" t="s">
        <v>63</v>
      </c>
      <c r="E697" s="23" t="s">
        <v>748</v>
      </c>
      <c r="F697" t="s">
        <v>76</v>
      </c>
      <c r="G697" t="s">
        <v>33</v>
      </c>
    </row>
    <row r="698" spans="1:7">
      <c r="A698">
        <v>2886</v>
      </c>
      <c r="B698" t="s">
        <v>106</v>
      </c>
      <c r="C698" t="s">
        <v>79</v>
      </c>
      <c r="D698" t="s">
        <v>73</v>
      </c>
      <c r="E698" s="23" t="s">
        <v>763</v>
      </c>
      <c r="F698" t="s">
        <v>65</v>
      </c>
      <c r="G698" t="s">
        <v>60</v>
      </c>
    </row>
    <row r="699" spans="1:7">
      <c r="A699">
        <v>3255</v>
      </c>
      <c r="B699" t="s">
        <v>547</v>
      </c>
      <c r="C699" t="s">
        <v>32</v>
      </c>
      <c r="D699" t="s">
        <v>63</v>
      </c>
      <c r="E699" s="23" t="s">
        <v>761</v>
      </c>
      <c r="F699" t="s">
        <v>76</v>
      </c>
      <c r="G699" t="s">
        <v>93</v>
      </c>
    </row>
    <row r="700" spans="1:7">
      <c r="A700">
        <v>6752</v>
      </c>
      <c r="B700" t="s">
        <v>194</v>
      </c>
      <c r="C700" t="s">
        <v>32</v>
      </c>
      <c r="D700" t="s">
        <v>51</v>
      </c>
      <c r="E700" s="23" t="s">
        <v>773</v>
      </c>
      <c r="F700" t="s">
        <v>76</v>
      </c>
      <c r="G700" t="s">
        <v>93</v>
      </c>
    </row>
    <row r="701" spans="1:7">
      <c r="A701">
        <v>7945</v>
      </c>
      <c r="B701" t="s">
        <v>631</v>
      </c>
      <c r="C701" t="s">
        <v>79</v>
      </c>
      <c r="D701" t="s">
        <v>63</v>
      </c>
      <c r="E701" s="23" t="s">
        <v>767</v>
      </c>
      <c r="F701" t="s">
        <v>38</v>
      </c>
      <c r="G701" t="s">
        <v>93</v>
      </c>
    </row>
    <row r="702" spans="1:7">
      <c r="A702">
        <v>6658</v>
      </c>
      <c r="B702" t="s">
        <v>157</v>
      </c>
      <c r="C702" t="s">
        <v>69</v>
      </c>
      <c r="D702" t="s">
        <v>48</v>
      </c>
      <c r="E702" s="23" t="s">
        <v>778</v>
      </c>
      <c r="F702" t="s">
        <v>38</v>
      </c>
      <c r="G702" t="s">
        <v>33</v>
      </c>
    </row>
    <row r="703" spans="1:7">
      <c r="A703">
        <v>5468</v>
      </c>
      <c r="B703" t="s">
        <v>635</v>
      </c>
      <c r="C703" t="s">
        <v>32</v>
      </c>
      <c r="D703" t="s">
        <v>100</v>
      </c>
      <c r="E703" s="23" t="s">
        <v>766</v>
      </c>
      <c r="F703" t="s">
        <v>76</v>
      </c>
      <c r="G703" t="s">
        <v>33</v>
      </c>
    </row>
    <row r="704" spans="1:7">
      <c r="A704">
        <v>7451</v>
      </c>
      <c r="B704" t="s">
        <v>244</v>
      </c>
      <c r="C704" t="s">
        <v>59</v>
      </c>
      <c r="D704" t="s">
        <v>48</v>
      </c>
      <c r="E704" s="23" t="s">
        <v>750</v>
      </c>
      <c r="F704" t="s">
        <v>76</v>
      </c>
      <c r="G704" t="s">
        <v>60</v>
      </c>
    </row>
    <row r="705" spans="1:7">
      <c r="A705">
        <v>1253</v>
      </c>
      <c r="B705" t="s">
        <v>157</v>
      </c>
      <c r="C705" t="s">
        <v>69</v>
      </c>
      <c r="D705" t="s">
        <v>63</v>
      </c>
      <c r="E705" s="23" t="s">
        <v>777</v>
      </c>
      <c r="F705" t="s">
        <v>31</v>
      </c>
      <c r="G705" t="s">
        <v>93</v>
      </c>
    </row>
    <row r="706" spans="1:7">
      <c r="A706">
        <v>6746</v>
      </c>
      <c r="B706" t="s">
        <v>558</v>
      </c>
      <c r="C706" t="s">
        <v>32</v>
      </c>
      <c r="D706" t="s">
        <v>73</v>
      </c>
      <c r="E706" s="23" t="s">
        <v>775</v>
      </c>
      <c r="F706" t="s">
        <v>58</v>
      </c>
      <c r="G706" t="s">
        <v>93</v>
      </c>
    </row>
    <row r="707" spans="1:7">
      <c r="A707">
        <v>8089</v>
      </c>
      <c r="B707" t="s">
        <v>232</v>
      </c>
      <c r="C707" t="s">
        <v>32</v>
      </c>
      <c r="D707" t="s">
        <v>26</v>
      </c>
      <c r="E707" s="23" t="s">
        <v>758</v>
      </c>
      <c r="F707" t="s">
        <v>58</v>
      </c>
      <c r="G707" t="s">
        <v>60</v>
      </c>
    </row>
    <row r="708" spans="1:7">
      <c r="A708">
        <v>8045</v>
      </c>
      <c r="B708" t="s">
        <v>304</v>
      </c>
      <c r="C708" t="s">
        <v>69</v>
      </c>
      <c r="D708" t="s">
        <v>100</v>
      </c>
      <c r="E708" s="23" t="s">
        <v>772</v>
      </c>
      <c r="F708" t="s">
        <v>38</v>
      </c>
      <c r="G708" t="s">
        <v>33</v>
      </c>
    </row>
    <row r="709" spans="1:7">
      <c r="A709">
        <v>9417</v>
      </c>
      <c r="B709" t="s">
        <v>126</v>
      </c>
      <c r="C709" t="s">
        <v>39</v>
      </c>
      <c r="D709" t="s">
        <v>26</v>
      </c>
      <c r="E709" s="23" t="s">
        <v>751</v>
      </c>
      <c r="F709" t="s">
        <v>58</v>
      </c>
      <c r="G709" t="s">
        <v>40</v>
      </c>
    </row>
    <row r="710" spans="1:7">
      <c r="A710">
        <v>3217</v>
      </c>
      <c r="B710" t="s">
        <v>140</v>
      </c>
      <c r="C710" t="s">
        <v>79</v>
      </c>
      <c r="D710" t="s">
        <v>73</v>
      </c>
      <c r="E710" s="23" t="s">
        <v>763</v>
      </c>
      <c r="F710" t="s">
        <v>31</v>
      </c>
      <c r="G710" t="s">
        <v>40</v>
      </c>
    </row>
    <row r="711" spans="1:7">
      <c r="A711">
        <v>4234</v>
      </c>
      <c r="B711" t="s">
        <v>157</v>
      </c>
      <c r="C711" t="s">
        <v>79</v>
      </c>
      <c r="D711" t="s">
        <v>51</v>
      </c>
      <c r="E711" s="23" t="s">
        <v>762</v>
      </c>
      <c r="F711" t="s">
        <v>58</v>
      </c>
      <c r="G711" t="s">
        <v>93</v>
      </c>
    </row>
    <row r="712" spans="1:7">
      <c r="A712">
        <v>1118</v>
      </c>
      <c r="B712" t="s">
        <v>240</v>
      </c>
      <c r="C712" t="s">
        <v>79</v>
      </c>
      <c r="D712" t="s">
        <v>26</v>
      </c>
      <c r="E712" s="23" t="s">
        <v>760</v>
      </c>
      <c r="F712" t="s">
        <v>58</v>
      </c>
      <c r="G712" t="s">
        <v>40</v>
      </c>
    </row>
    <row r="713" spans="1:7">
      <c r="A713">
        <v>4027</v>
      </c>
      <c r="B713" t="s">
        <v>631</v>
      </c>
      <c r="C713" t="s">
        <v>32</v>
      </c>
      <c r="D713" t="s">
        <v>63</v>
      </c>
      <c r="E713" s="23" t="s">
        <v>761</v>
      </c>
      <c r="F713" t="s">
        <v>76</v>
      </c>
      <c r="G713" t="s">
        <v>93</v>
      </c>
    </row>
    <row r="714" spans="1:7">
      <c r="A714">
        <v>8451</v>
      </c>
      <c r="B714" t="s">
        <v>637</v>
      </c>
      <c r="C714" t="s">
        <v>69</v>
      </c>
      <c r="D714" t="s">
        <v>26</v>
      </c>
      <c r="E714" s="23" t="s">
        <v>759</v>
      </c>
      <c r="F714" t="s">
        <v>58</v>
      </c>
      <c r="G714" t="s">
        <v>60</v>
      </c>
    </row>
    <row r="715" spans="1:7">
      <c r="A715">
        <v>6647</v>
      </c>
      <c r="B715" t="s">
        <v>88</v>
      </c>
      <c r="C715" t="s">
        <v>69</v>
      </c>
      <c r="D715" t="s">
        <v>36</v>
      </c>
      <c r="E715" s="23" t="s">
        <v>765</v>
      </c>
      <c r="F715" t="s">
        <v>31</v>
      </c>
      <c r="G715" t="s">
        <v>93</v>
      </c>
    </row>
    <row r="716" spans="1:7">
      <c r="A716">
        <v>4002</v>
      </c>
      <c r="B716" t="s">
        <v>441</v>
      </c>
      <c r="C716" t="s">
        <v>59</v>
      </c>
      <c r="D716" t="s">
        <v>63</v>
      </c>
      <c r="E716" s="23" t="s">
        <v>748</v>
      </c>
      <c r="F716" t="s">
        <v>76</v>
      </c>
      <c r="G716" t="s">
        <v>40</v>
      </c>
    </row>
    <row r="717" spans="1:7">
      <c r="A717">
        <v>6910</v>
      </c>
      <c r="B717" t="s">
        <v>347</v>
      </c>
      <c r="C717" t="s">
        <v>39</v>
      </c>
      <c r="D717" t="s">
        <v>63</v>
      </c>
      <c r="E717" s="23" t="s">
        <v>755</v>
      </c>
      <c r="F717" t="s">
        <v>58</v>
      </c>
      <c r="G717" t="s">
        <v>93</v>
      </c>
    </row>
    <row r="718" spans="1:7">
      <c r="A718">
        <v>3164</v>
      </c>
      <c r="B718" t="s">
        <v>325</v>
      </c>
      <c r="C718" t="s">
        <v>39</v>
      </c>
      <c r="D718" t="s">
        <v>73</v>
      </c>
      <c r="E718" s="23" t="s">
        <v>752</v>
      </c>
      <c r="F718" t="s">
        <v>38</v>
      </c>
      <c r="G718" t="s">
        <v>60</v>
      </c>
    </row>
    <row r="719" spans="1:7">
      <c r="A719">
        <v>2400</v>
      </c>
      <c r="B719" t="s">
        <v>138</v>
      </c>
      <c r="C719" t="s">
        <v>39</v>
      </c>
      <c r="D719" t="s">
        <v>63</v>
      </c>
      <c r="E719" s="23" t="s">
        <v>755</v>
      </c>
      <c r="F719" t="s">
        <v>65</v>
      </c>
      <c r="G719" t="s">
        <v>33</v>
      </c>
    </row>
    <row r="720" spans="1:7">
      <c r="A720">
        <v>5499</v>
      </c>
      <c r="B720" t="s">
        <v>404</v>
      </c>
      <c r="C720" t="s">
        <v>32</v>
      </c>
      <c r="D720" t="s">
        <v>63</v>
      </c>
      <c r="E720" s="23" t="s">
        <v>761</v>
      </c>
      <c r="F720" t="s">
        <v>38</v>
      </c>
      <c r="G720" t="s">
        <v>40</v>
      </c>
    </row>
    <row r="721" spans="1:7">
      <c r="A721">
        <v>7221</v>
      </c>
      <c r="B721" t="s">
        <v>367</v>
      </c>
      <c r="C721" t="s">
        <v>39</v>
      </c>
      <c r="D721" t="s">
        <v>48</v>
      </c>
      <c r="E721" s="23" t="s">
        <v>757</v>
      </c>
      <c r="F721" t="s">
        <v>76</v>
      </c>
      <c r="G721" t="s">
        <v>33</v>
      </c>
    </row>
    <row r="722" spans="1:7">
      <c r="A722">
        <v>4556</v>
      </c>
      <c r="B722" t="s">
        <v>120</v>
      </c>
      <c r="C722" t="s">
        <v>32</v>
      </c>
      <c r="D722" t="s">
        <v>100</v>
      </c>
      <c r="E722" s="23" t="s">
        <v>766</v>
      </c>
      <c r="F722" t="s">
        <v>58</v>
      </c>
      <c r="G722" t="s">
        <v>60</v>
      </c>
    </row>
    <row r="723" spans="1:7">
      <c r="A723">
        <v>7175</v>
      </c>
      <c r="B723" t="s">
        <v>517</v>
      </c>
      <c r="C723" t="s">
        <v>79</v>
      </c>
      <c r="D723" t="s">
        <v>100</v>
      </c>
      <c r="E723" s="23" t="s">
        <v>769</v>
      </c>
      <c r="F723" t="s">
        <v>65</v>
      </c>
      <c r="G723" t="s">
        <v>93</v>
      </c>
    </row>
    <row r="724" spans="1:7">
      <c r="A724">
        <v>7072</v>
      </c>
      <c r="B724" t="s">
        <v>592</v>
      </c>
      <c r="C724" t="s">
        <v>39</v>
      </c>
      <c r="D724" t="s">
        <v>48</v>
      </c>
      <c r="E724" s="23" t="s">
        <v>757</v>
      </c>
      <c r="F724" t="s">
        <v>38</v>
      </c>
      <c r="G724" t="s">
        <v>33</v>
      </c>
    </row>
    <row r="725" spans="1:7">
      <c r="A725">
        <v>4320</v>
      </c>
      <c r="B725" t="s">
        <v>307</v>
      </c>
      <c r="C725" t="s">
        <v>69</v>
      </c>
      <c r="D725" t="s">
        <v>26</v>
      </c>
      <c r="E725" s="23" t="s">
        <v>759</v>
      </c>
      <c r="F725" t="s">
        <v>65</v>
      </c>
      <c r="G725" t="s">
        <v>60</v>
      </c>
    </row>
    <row r="726" spans="1:7">
      <c r="A726">
        <v>3558</v>
      </c>
      <c r="B726" t="s">
        <v>640</v>
      </c>
      <c r="C726" t="s">
        <v>32</v>
      </c>
      <c r="D726" t="s">
        <v>48</v>
      </c>
      <c r="E726" s="23" t="s">
        <v>770</v>
      </c>
      <c r="F726" t="s">
        <v>58</v>
      </c>
      <c r="G726" t="s">
        <v>40</v>
      </c>
    </row>
    <row r="727" spans="1:7">
      <c r="A727">
        <v>8581</v>
      </c>
      <c r="B727" t="s">
        <v>196</v>
      </c>
      <c r="C727" t="s">
        <v>79</v>
      </c>
      <c r="D727" t="s">
        <v>100</v>
      </c>
      <c r="E727" s="23" t="s">
        <v>769</v>
      </c>
      <c r="F727" t="s">
        <v>58</v>
      </c>
      <c r="G727" t="s">
        <v>33</v>
      </c>
    </row>
    <row r="728" spans="1:7">
      <c r="A728">
        <v>5827</v>
      </c>
      <c r="B728" t="s">
        <v>224</v>
      </c>
      <c r="C728" t="s">
        <v>69</v>
      </c>
      <c r="D728" t="s">
        <v>73</v>
      </c>
      <c r="E728" s="23" t="s">
        <v>771</v>
      </c>
      <c r="F728" t="s">
        <v>65</v>
      </c>
      <c r="G728" t="s">
        <v>40</v>
      </c>
    </row>
    <row r="729" spans="1:7">
      <c r="A729">
        <v>6929</v>
      </c>
      <c r="B729" t="s">
        <v>114</v>
      </c>
      <c r="C729" t="s">
        <v>59</v>
      </c>
      <c r="D729" t="s">
        <v>26</v>
      </c>
      <c r="E729" s="23" t="s">
        <v>744</v>
      </c>
      <c r="F729" t="s">
        <v>38</v>
      </c>
      <c r="G729" t="s">
        <v>40</v>
      </c>
    </row>
    <row r="730" spans="1:7">
      <c r="A730">
        <v>9179</v>
      </c>
      <c r="B730" t="s">
        <v>643</v>
      </c>
      <c r="C730" t="s">
        <v>32</v>
      </c>
      <c r="D730" t="s">
        <v>63</v>
      </c>
      <c r="E730" s="23" t="s">
        <v>761</v>
      </c>
      <c r="F730" t="s">
        <v>65</v>
      </c>
      <c r="G730" t="s">
        <v>60</v>
      </c>
    </row>
    <row r="731" spans="1:7">
      <c r="A731">
        <v>7580</v>
      </c>
      <c r="B731" t="s">
        <v>52</v>
      </c>
      <c r="C731" t="s">
        <v>59</v>
      </c>
      <c r="D731" t="s">
        <v>63</v>
      </c>
      <c r="E731" s="23" t="s">
        <v>748</v>
      </c>
      <c r="F731" t="s">
        <v>38</v>
      </c>
      <c r="G731" t="s">
        <v>40</v>
      </c>
    </row>
    <row r="732" spans="1:7">
      <c r="A732">
        <v>3858</v>
      </c>
      <c r="B732" t="s">
        <v>179</v>
      </c>
      <c r="C732" t="s">
        <v>79</v>
      </c>
      <c r="D732" t="s">
        <v>100</v>
      </c>
      <c r="E732" s="23" t="s">
        <v>769</v>
      </c>
      <c r="F732" t="s">
        <v>38</v>
      </c>
      <c r="G732" t="s">
        <v>40</v>
      </c>
    </row>
    <row r="733" spans="1:7">
      <c r="A733">
        <v>8627</v>
      </c>
      <c r="B733" t="s">
        <v>238</v>
      </c>
      <c r="C733" t="s">
        <v>39</v>
      </c>
      <c r="D733" t="s">
        <v>73</v>
      </c>
      <c r="E733" s="23" t="s">
        <v>752</v>
      </c>
      <c r="F733" t="s">
        <v>65</v>
      </c>
      <c r="G733" t="s">
        <v>40</v>
      </c>
    </row>
    <row r="734" spans="1:7">
      <c r="A734">
        <v>7552</v>
      </c>
      <c r="B734" t="s">
        <v>645</v>
      </c>
      <c r="C734" t="s">
        <v>79</v>
      </c>
      <c r="D734" t="s">
        <v>51</v>
      </c>
      <c r="E734" s="23" t="s">
        <v>762</v>
      </c>
      <c r="F734" t="s">
        <v>38</v>
      </c>
      <c r="G734" t="s">
        <v>93</v>
      </c>
    </row>
    <row r="735" spans="1:7">
      <c r="A735">
        <v>6020</v>
      </c>
      <c r="B735" t="s">
        <v>640</v>
      </c>
      <c r="C735" t="s">
        <v>69</v>
      </c>
      <c r="D735" t="s">
        <v>63</v>
      </c>
      <c r="E735" s="23" t="s">
        <v>777</v>
      </c>
      <c r="F735" t="s">
        <v>38</v>
      </c>
      <c r="G735" t="s">
        <v>93</v>
      </c>
    </row>
    <row r="736" spans="1:7">
      <c r="A736">
        <v>9408</v>
      </c>
      <c r="B736" t="s">
        <v>291</v>
      </c>
      <c r="C736" t="s">
        <v>69</v>
      </c>
      <c r="D736" t="s">
        <v>73</v>
      </c>
      <c r="E736" s="23" t="s">
        <v>771</v>
      </c>
      <c r="F736" t="s">
        <v>76</v>
      </c>
      <c r="G736" t="s">
        <v>33</v>
      </c>
    </row>
    <row r="737" spans="1:7">
      <c r="A737">
        <v>9990</v>
      </c>
      <c r="B737" t="s">
        <v>647</v>
      </c>
      <c r="C737" t="s">
        <v>59</v>
      </c>
      <c r="D737" t="s">
        <v>51</v>
      </c>
      <c r="E737" s="23" t="s">
        <v>746</v>
      </c>
      <c r="F737" t="s">
        <v>38</v>
      </c>
      <c r="G737" t="s">
        <v>33</v>
      </c>
    </row>
    <row r="738" spans="1:7">
      <c r="A738">
        <v>3687</v>
      </c>
      <c r="B738" t="s">
        <v>307</v>
      </c>
      <c r="C738" t="s">
        <v>69</v>
      </c>
      <c r="D738" t="s">
        <v>63</v>
      </c>
      <c r="E738" s="23" t="s">
        <v>777</v>
      </c>
      <c r="F738" t="s">
        <v>38</v>
      </c>
      <c r="G738" t="s">
        <v>93</v>
      </c>
    </row>
    <row r="739" spans="1:7">
      <c r="A739">
        <v>4540</v>
      </c>
      <c r="B739" t="s">
        <v>648</v>
      </c>
      <c r="C739" t="s">
        <v>59</v>
      </c>
      <c r="D739" t="s">
        <v>26</v>
      </c>
      <c r="E739" s="23" t="s">
        <v>744</v>
      </c>
      <c r="F739" t="s">
        <v>38</v>
      </c>
      <c r="G739" t="s">
        <v>40</v>
      </c>
    </row>
    <row r="740" spans="1:7">
      <c r="A740">
        <v>8264</v>
      </c>
      <c r="B740" t="s">
        <v>349</v>
      </c>
      <c r="C740" t="s">
        <v>39</v>
      </c>
      <c r="D740" t="s">
        <v>63</v>
      </c>
      <c r="E740" s="23" t="s">
        <v>755</v>
      </c>
      <c r="F740" t="s">
        <v>65</v>
      </c>
      <c r="G740" t="s">
        <v>93</v>
      </c>
    </row>
    <row r="741" spans="1:7">
      <c r="A741">
        <v>7448</v>
      </c>
      <c r="B741" t="s">
        <v>88</v>
      </c>
      <c r="C741" t="s">
        <v>59</v>
      </c>
      <c r="D741" t="s">
        <v>51</v>
      </c>
      <c r="E741" s="23" t="s">
        <v>746</v>
      </c>
      <c r="F741" t="s">
        <v>31</v>
      </c>
      <c r="G741" t="s">
        <v>40</v>
      </c>
    </row>
    <row r="742" spans="1:7">
      <c r="A742">
        <v>1123</v>
      </c>
      <c r="B742" t="s">
        <v>650</v>
      </c>
      <c r="C742" t="s">
        <v>59</v>
      </c>
      <c r="D742" t="s">
        <v>26</v>
      </c>
      <c r="E742" s="23" t="s">
        <v>744</v>
      </c>
      <c r="F742" t="s">
        <v>76</v>
      </c>
      <c r="G742" t="s">
        <v>93</v>
      </c>
    </row>
    <row r="743" spans="1:7">
      <c r="A743">
        <v>4103</v>
      </c>
      <c r="B743" t="s">
        <v>257</v>
      </c>
      <c r="C743" t="s">
        <v>39</v>
      </c>
      <c r="D743" t="s">
        <v>63</v>
      </c>
      <c r="E743" s="23" t="s">
        <v>755</v>
      </c>
      <c r="F743" t="s">
        <v>38</v>
      </c>
      <c r="G743" t="s">
        <v>93</v>
      </c>
    </row>
    <row r="744" spans="1:7">
      <c r="A744">
        <v>2904</v>
      </c>
      <c r="B744" t="s">
        <v>458</v>
      </c>
      <c r="C744" t="s">
        <v>79</v>
      </c>
      <c r="D744" t="s">
        <v>100</v>
      </c>
      <c r="E744" s="23" t="s">
        <v>769</v>
      </c>
      <c r="F744" t="s">
        <v>58</v>
      </c>
      <c r="G744" t="s">
        <v>60</v>
      </c>
    </row>
    <row r="745" spans="1:7">
      <c r="A745">
        <v>5634</v>
      </c>
      <c r="B745" t="s">
        <v>176</v>
      </c>
      <c r="C745" t="s">
        <v>79</v>
      </c>
      <c r="D745" t="s">
        <v>63</v>
      </c>
      <c r="E745" s="23" t="s">
        <v>767</v>
      </c>
      <c r="F745" t="s">
        <v>38</v>
      </c>
      <c r="G745" t="s">
        <v>40</v>
      </c>
    </row>
    <row r="746" spans="1:7">
      <c r="A746">
        <v>5360</v>
      </c>
      <c r="B746" t="s">
        <v>147</v>
      </c>
      <c r="C746" t="s">
        <v>32</v>
      </c>
      <c r="D746" t="s">
        <v>26</v>
      </c>
      <c r="E746" s="23" t="s">
        <v>758</v>
      </c>
      <c r="F746" t="s">
        <v>65</v>
      </c>
      <c r="G746" t="s">
        <v>60</v>
      </c>
    </row>
    <row r="747" spans="1:7">
      <c r="A747">
        <v>8571</v>
      </c>
      <c r="B747" t="s">
        <v>345</v>
      </c>
      <c r="C747" t="s">
        <v>69</v>
      </c>
      <c r="D747" t="s">
        <v>26</v>
      </c>
      <c r="E747" s="23" t="s">
        <v>759</v>
      </c>
      <c r="F747" t="s">
        <v>76</v>
      </c>
      <c r="G747" t="s">
        <v>60</v>
      </c>
    </row>
    <row r="748" spans="1:7">
      <c r="A748">
        <v>9439</v>
      </c>
      <c r="B748" t="s">
        <v>653</v>
      </c>
      <c r="C748" t="s">
        <v>39</v>
      </c>
      <c r="D748" t="s">
        <v>48</v>
      </c>
      <c r="E748" s="23" t="s">
        <v>757</v>
      </c>
      <c r="F748" t="s">
        <v>76</v>
      </c>
      <c r="G748" t="s">
        <v>40</v>
      </c>
    </row>
    <row r="749" spans="1:7">
      <c r="A749">
        <v>8356</v>
      </c>
      <c r="B749" t="s">
        <v>546</v>
      </c>
      <c r="C749" t="s">
        <v>79</v>
      </c>
      <c r="D749" t="s">
        <v>73</v>
      </c>
      <c r="E749" s="23" t="s">
        <v>763</v>
      </c>
      <c r="F749" t="s">
        <v>31</v>
      </c>
      <c r="G749" t="s">
        <v>93</v>
      </c>
    </row>
    <row r="750" spans="1:7">
      <c r="A750">
        <v>2039</v>
      </c>
      <c r="B750" t="s">
        <v>656</v>
      </c>
      <c r="C750" t="s">
        <v>39</v>
      </c>
      <c r="D750" t="s">
        <v>100</v>
      </c>
      <c r="E750" s="23" t="s">
        <v>756</v>
      </c>
      <c r="F750" t="s">
        <v>38</v>
      </c>
      <c r="G750" t="s">
        <v>33</v>
      </c>
    </row>
    <row r="751" spans="1:7">
      <c r="A751">
        <v>2613</v>
      </c>
      <c r="B751" t="s">
        <v>657</v>
      </c>
      <c r="C751" t="s">
        <v>32</v>
      </c>
      <c r="D751" t="s">
        <v>51</v>
      </c>
      <c r="E751" s="23" t="s">
        <v>773</v>
      </c>
      <c r="F751" t="s">
        <v>76</v>
      </c>
      <c r="G751" t="s">
        <v>60</v>
      </c>
    </row>
    <row r="752" spans="1:7">
      <c r="A752">
        <v>8226</v>
      </c>
      <c r="B752" t="s">
        <v>138</v>
      </c>
      <c r="C752" t="s">
        <v>69</v>
      </c>
      <c r="D752" t="s">
        <v>36</v>
      </c>
      <c r="E752" s="23" t="s">
        <v>765</v>
      </c>
      <c r="F752" t="s">
        <v>38</v>
      </c>
      <c r="G752" t="s">
        <v>93</v>
      </c>
    </row>
    <row r="753" spans="1:7">
      <c r="A753">
        <v>1425</v>
      </c>
      <c r="B753" t="s">
        <v>658</v>
      </c>
      <c r="C753" t="s">
        <v>79</v>
      </c>
      <c r="D753" t="s">
        <v>26</v>
      </c>
      <c r="E753" s="23" t="s">
        <v>760</v>
      </c>
      <c r="F753" t="s">
        <v>76</v>
      </c>
      <c r="G753" t="s">
        <v>93</v>
      </c>
    </row>
    <row r="754" spans="1:7">
      <c r="A754">
        <v>4479</v>
      </c>
      <c r="B754" t="s">
        <v>23</v>
      </c>
      <c r="C754" t="s">
        <v>39</v>
      </c>
      <c r="D754" t="s">
        <v>100</v>
      </c>
      <c r="E754" s="23" t="s">
        <v>756</v>
      </c>
      <c r="F754" t="s">
        <v>31</v>
      </c>
      <c r="G754" t="s">
        <v>60</v>
      </c>
    </row>
    <row r="755" spans="1:7">
      <c r="A755">
        <v>3393</v>
      </c>
      <c r="B755" t="s">
        <v>101</v>
      </c>
      <c r="C755" t="s">
        <v>59</v>
      </c>
      <c r="D755" t="s">
        <v>63</v>
      </c>
      <c r="E755" s="23" t="s">
        <v>748</v>
      </c>
      <c r="F755" t="s">
        <v>31</v>
      </c>
      <c r="G755" t="s">
        <v>93</v>
      </c>
    </row>
    <row r="756" spans="1:7">
      <c r="A756">
        <v>8528</v>
      </c>
      <c r="B756" t="s">
        <v>283</v>
      </c>
      <c r="C756" t="s">
        <v>69</v>
      </c>
      <c r="D756" t="s">
        <v>48</v>
      </c>
      <c r="E756" s="23" t="s">
        <v>778</v>
      </c>
      <c r="F756" t="s">
        <v>31</v>
      </c>
      <c r="G756" t="s">
        <v>60</v>
      </c>
    </row>
    <row r="757" spans="1:7">
      <c r="A757">
        <v>9372</v>
      </c>
      <c r="B757" t="s">
        <v>138</v>
      </c>
      <c r="C757" t="s">
        <v>79</v>
      </c>
      <c r="D757" t="s">
        <v>63</v>
      </c>
      <c r="E757" s="23" t="s">
        <v>767</v>
      </c>
      <c r="F757" t="s">
        <v>58</v>
      </c>
      <c r="G757" t="s">
        <v>40</v>
      </c>
    </row>
    <row r="758" spans="1:7">
      <c r="A758">
        <v>5469</v>
      </c>
      <c r="B758" t="s">
        <v>196</v>
      </c>
      <c r="C758" t="s">
        <v>59</v>
      </c>
      <c r="D758" t="s">
        <v>48</v>
      </c>
      <c r="E758" s="23" t="s">
        <v>750</v>
      </c>
      <c r="F758" t="s">
        <v>58</v>
      </c>
      <c r="G758" t="s">
        <v>60</v>
      </c>
    </row>
    <row r="759" spans="1:7">
      <c r="A759">
        <v>2603</v>
      </c>
      <c r="B759" t="s">
        <v>659</v>
      </c>
      <c r="C759" t="s">
        <v>59</v>
      </c>
      <c r="D759" t="s">
        <v>100</v>
      </c>
      <c r="E759" s="23" t="s">
        <v>749</v>
      </c>
      <c r="F759" t="s">
        <v>58</v>
      </c>
      <c r="G759" t="s">
        <v>93</v>
      </c>
    </row>
    <row r="760" spans="1:7">
      <c r="A760">
        <v>5306</v>
      </c>
      <c r="B760" t="s">
        <v>369</v>
      </c>
      <c r="C760" t="s">
        <v>39</v>
      </c>
      <c r="D760" t="s">
        <v>73</v>
      </c>
      <c r="E760" s="23" t="s">
        <v>752</v>
      </c>
      <c r="F760" t="s">
        <v>76</v>
      </c>
      <c r="G760" t="s">
        <v>33</v>
      </c>
    </row>
    <row r="761" spans="1:7">
      <c r="A761">
        <v>7869</v>
      </c>
      <c r="B761" t="s">
        <v>283</v>
      </c>
      <c r="C761" t="s">
        <v>69</v>
      </c>
      <c r="D761" t="s">
        <v>36</v>
      </c>
      <c r="E761" s="23" t="s">
        <v>765</v>
      </c>
      <c r="F761" t="s">
        <v>65</v>
      </c>
      <c r="G761" t="s">
        <v>40</v>
      </c>
    </row>
    <row r="762" spans="1:7">
      <c r="A762">
        <v>1699</v>
      </c>
      <c r="B762" t="s">
        <v>224</v>
      </c>
      <c r="C762" t="s">
        <v>39</v>
      </c>
      <c r="D762" t="s">
        <v>51</v>
      </c>
      <c r="E762" s="23" t="s">
        <v>753</v>
      </c>
      <c r="F762" t="s">
        <v>38</v>
      </c>
      <c r="G762" t="s">
        <v>40</v>
      </c>
    </row>
    <row r="763" spans="1:7">
      <c r="A763">
        <v>3214</v>
      </c>
      <c r="B763" t="s">
        <v>114</v>
      </c>
      <c r="C763" t="s">
        <v>59</v>
      </c>
      <c r="D763" t="s">
        <v>26</v>
      </c>
      <c r="E763" s="23" t="s">
        <v>744</v>
      </c>
      <c r="F763" t="s">
        <v>65</v>
      </c>
      <c r="G763" t="s">
        <v>93</v>
      </c>
    </row>
    <row r="764" spans="1:7">
      <c r="A764">
        <v>1050</v>
      </c>
      <c r="B764" t="s">
        <v>52</v>
      </c>
      <c r="C764" t="s">
        <v>69</v>
      </c>
      <c r="D764" t="s">
        <v>100</v>
      </c>
      <c r="E764" s="23" t="s">
        <v>772</v>
      </c>
      <c r="F764" t="s">
        <v>38</v>
      </c>
      <c r="G764" t="s">
        <v>60</v>
      </c>
    </row>
    <row r="765" spans="1:7">
      <c r="A765">
        <v>3325</v>
      </c>
      <c r="B765" t="s">
        <v>104</v>
      </c>
      <c r="C765" t="s">
        <v>39</v>
      </c>
      <c r="D765" t="s">
        <v>36</v>
      </c>
      <c r="E765" s="23" t="s">
        <v>754</v>
      </c>
      <c r="F765" t="s">
        <v>76</v>
      </c>
      <c r="G765" t="s">
        <v>40</v>
      </c>
    </row>
    <row r="766" spans="1:7">
      <c r="A766">
        <v>1970</v>
      </c>
      <c r="B766" t="s">
        <v>157</v>
      </c>
      <c r="C766" t="s">
        <v>32</v>
      </c>
      <c r="D766" t="s">
        <v>48</v>
      </c>
      <c r="E766" s="23" t="s">
        <v>770</v>
      </c>
      <c r="F766" t="s">
        <v>76</v>
      </c>
      <c r="G766" t="s">
        <v>93</v>
      </c>
    </row>
    <row r="767" spans="1:7">
      <c r="A767">
        <v>6272</v>
      </c>
      <c r="B767" t="s">
        <v>558</v>
      </c>
      <c r="C767" t="s">
        <v>39</v>
      </c>
      <c r="D767" t="s">
        <v>26</v>
      </c>
      <c r="E767" s="23" t="s">
        <v>751</v>
      </c>
      <c r="F767" t="s">
        <v>76</v>
      </c>
      <c r="G767" t="s">
        <v>93</v>
      </c>
    </row>
    <row r="768" spans="1:7">
      <c r="A768">
        <v>4745</v>
      </c>
      <c r="B768" t="s">
        <v>98</v>
      </c>
      <c r="C768" t="s">
        <v>79</v>
      </c>
      <c r="D768" t="s">
        <v>36</v>
      </c>
      <c r="E768" s="23" t="s">
        <v>776</v>
      </c>
      <c r="F768" t="s">
        <v>31</v>
      </c>
      <c r="G768" t="s">
        <v>40</v>
      </c>
    </row>
    <row r="769" spans="1:7">
      <c r="A769">
        <v>8867</v>
      </c>
      <c r="B769" t="s">
        <v>223</v>
      </c>
      <c r="C769" t="s">
        <v>69</v>
      </c>
      <c r="D769" t="s">
        <v>73</v>
      </c>
      <c r="E769" s="23" t="s">
        <v>771</v>
      </c>
      <c r="F769" t="s">
        <v>58</v>
      </c>
      <c r="G769" t="s">
        <v>60</v>
      </c>
    </row>
    <row r="770" spans="1:7">
      <c r="A770">
        <v>4901</v>
      </c>
      <c r="B770" t="s">
        <v>226</v>
      </c>
      <c r="C770" t="s">
        <v>39</v>
      </c>
      <c r="D770" t="s">
        <v>51</v>
      </c>
      <c r="E770" s="23" t="s">
        <v>753</v>
      </c>
      <c r="F770" t="s">
        <v>76</v>
      </c>
      <c r="G770" t="s">
        <v>60</v>
      </c>
    </row>
    <row r="771" spans="1:7">
      <c r="A771">
        <v>9575</v>
      </c>
      <c r="B771" t="s">
        <v>224</v>
      </c>
      <c r="C771" t="s">
        <v>79</v>
      </c>
      <c r="D771" t="s">
        <v>63</v>
      </c>
      <c r="E771" s="23" t="s">
        <v>767</v>
      </c>
      <c r="F771" t="s">
        <v>38</v>
      </c>
      <c r="G771" t="s">
        <v>33</v>
      </c>
    </row>
    <row r="772" spans="1:7">
      <c r="A772">
        <v>4471</v>
      </c>
      <c r="B772" t="s">
        <v>399</v>
      </c>
      <c r="C772" t="s">
        <v>39</v>
      </c>
      <c r="D772" t="s">
        <v>36</v>
      </c>
      <c r="E772" s="23" t="s">
        <v>754</v>
      </c>
      <c r="F772" t="s">
        <v>76</v>
      </c>
      <c r="G772" t="s">
        <v>60</v>
      </c>
    </row>
    <row r="773" spans="1:7">
      <c r="A773">
        <v>1385</v>
      </c>
      <c r="B773" t="s">
        <v>664</v>
      </c>
      <c r="C773" t="s">
        <v>32</v>
      </c>
      <c r="D773" t="s">
        <v>36</v>
      </c>
      <c r="E773" s="23" t="s">
        <v>764</v>
      </c>
      <c r="F773" t="s">
        <v>76</v>
      </c>
      <c r="G773" t="s">
        <v>33</v>
      </c>
    </row>
    <row r="774" spans="1:7">
      <c r="A774">
        <v>4302</v>
      </c>
      <c r="B774" t="s">
        <v>164</v>
      </c>
      <c r="C774" t="s">
        <v>32</v>
      </c>
      <c r="D774" t="s">
        <v>63</v>
      </c>
      <c r="E774" s="23" t="s">
        <v>761</v>
      </c>
      <c r="F774" t="s">
        <v>38</v>
      </c>
      <c r="G774" t="s">
        <v>33</v>
      </c>
    </row>
    <row r="775" spans="1:7">
      <c r="A775">
        <v>4738</v>
      </c>
      <c r="B775" t="s">
        <v>666</v>
      </c>
      <c r="C775" t="s">
        <v>32</v>
      </c>
      <c r="D775" t="s">
        <v>36</v>
      </c>
      <c r="E775" s="23" t="s">
        <v>764</v>
      </c>
      <c r="F775" t="s">
        <v>76</v>
      </c>
      <c r="G775" t="s">
        <v>40</v>
      </c>
    </row>
    <row r="776" spans="1:7">
      <c r="A776">
        <v>2441</v>
      </c>
      <c r="B776" t="s">
        <v>283</v>
      </c>
      <c r="C776" t="s">
        <v>39</v>
      </c>
      <c r="D776" t="s">
        <v>48</v>
      </c>
      <c r="E776" s="23" t="s">
        <v>757</v>
      </c>
      <c r="F776" t="s">
        <v>76</v>
      </c>
      <c r="G776" t="s">
        <v>33</v>
      </c>
    </row>
    <row r="777" spans="1:7">
      <c r="A777">
        <v>6546</v>
      </c>
      <c r="B777" t="s">
        <v>667</v>
      </c>
      <c r="C777" t="s">
        <v>32</v>
      </c>
      <c r="D777" t="s">
        <v>48</v>
      </c>
      <c r="E777" s="23" t="s">
        <v>770</v>
      </c>
      <c r="F777" t="s">
        <v>65</v>
      </c>
      <c r="G777" t="s">
        <v>40</v>
      </c>
    </row>
    <row r="778" spans="1:7">
      <c r="A778">
        <v>5459</v>
      </c>
      <c r="B778" t="s">
        <v>344</v>
      </c>
      <c r="C778" t="s">
        <v>69</v>
      </c>
      <c r="D778" t="s">
        <v>63</v>
      </c>
      <c r="E778" s="23" t="s">
        <v>777</v>
      </c>
      <c r="F778" t="s">
        <v>58</v>
      </c>
      <c r="G778" t="s">
        <v>33</v>
      </c>
    </row>
    <row r="779" spans="1:7">
      <c r="A779">
        <v>7051</v>
      </c>
      <c r="B779" t="s">
        <v>23</v>
      </c>
      <c r="C779" t="s">
        <v>39</v>
      </c>
      <c r="D779" t="s">
        <v>36</v>
      </c>
      <c r="E779" s="23" t="s">
        <v>754</v>
      </c>
      <c r="F779" t="s">
        <v>76</v>
      </c>
      <c r="G779" t="s">
        <v>40</v>
      </c>
    </row>
    <row r="780" spans="1:7">
      <c r="A780">
        <v>6671</v>
      </c>
      <c r="B780" t="s">
        <v>41</v>
      </c>
      <c r="C780" t="s">
        <v>32</v>
      </c>
      <c r="D780" t="s">
        <v>100</v>
      </c>
      <c r="E780" s="23" t="s">
        <v>766</v>
      </c>
      <c r="F780" t="s">
        <v>31</v>
      </c>
      <c r="G780" t="s">
        <v>40</v>
      </c>
    </row>
    <row r="781" spans="1:7">
      <c r="A781">
        <v>6013</v>
      </c>
      <c r="B781" t="s">
        <v>116</v>
      </c>
      <c r="C781" t="s">
        <v>39</v>
      </c>
      <c r="D781" t="s">
        <v>73</v>
      </c>
      <c r="E781" s="23" t="s">
        <v>752</v>
      </c>
      <c r="F781" t="s">
        <v>76</v>
      </c>
      <c r="G781" t="s">
        <v>93</v>
      </c>
    </row>
    <row r="782" spans="1:7">
      <c r="A782">
        <v>9996</v>
      </c>
      <c r="B782" t="s">
        <v>521</v>
      </c>
      <c r="C782" t="s">
        <v>59</v>
      </c>
      <c r="D782" t="s">
        <v>73</v>
      </c>
      <c r="E782" s="23" t="s">
        <v>745</v>
      </c>
      <c r="F782" t="s">
        <v>58</v>
      </c>
      <c r="G782" t="s">
        <v>33</v>
      </c>
    </row>
    <row r="783" spans="1:7">
      <c r="A783">
        <v>4851</v>
      </c>
      <c r="B783" t="s">
        <v>186</v>
      </c>
      <c r="C783" t="s">
        <v>69</v>
      </c>
      <c r="D783" t="s">
        <v>36</v>
      </c>
      <c r="E783" s="23" t="s">
        <v>765</v>
      </c>
      <c r="F783" t="s">
        <v>38</v>
      </c>
      <c r="G783" t="s">
        <v>33</v>
      </c>
    </row>
    <row r="784" spans="1:7">
      <c r="A784">
        <v>2498</v>
      </c>
      <c r="B784" t="s">
        <v>441</v>
      </c>
      <c r="C784" t="s">
        <v>69</v>
      </c>
      <c r="D784" t="s">
        <v>100</v>
      </c>
      <c r="E784" s="23" t="s">
        <v>772</v>
      </c>
      <c r="F784" t="s">
        <v>38</v>
      </c>
      <c r="G784" t="s">
        <v>93</v>
      </c>
    </row>
    <row r="785" spans="1:7">
      <c r="A785">
        <v>6208</v>
      </c>
      <c r="B785" t="s">
        <v>253</v>
      </c>
      <c r="C785" t="s">
        <v>69</v>
      </c>
      <c r="D785" t="s">
        <v>63</v>
      </c>
      <c r="E785" s="23" t="s">
        <v>777</v>
      </c>
      <c r="F785" t="s">
        <v>58</v>
      </c>
      <c r="G785" t="s">
        <v>93</v>
      </c>
    </row>
    <row r="786" spans="1:7">
      <c r="A786">
        <v>7171</v>
      </c>
      <c r="B786" t="s">
        <v>70</v>
      </c>
      <c r="C786" t="s">
        <v>39</v>
      </c>
      <c r="D786" t="s">
        <v>26</v>
      </c>
      <c r="E786" s="23" t="s">
        <v>751</v>
      </c>
      <c r="F786" t="s">
        <v>31</v>
      </c>
      <c r="G786" t="s">
        <v>93</v>
      </c>
    </row>
    <row r="787" spans="1:7">
      <c r="A787">
        <v>7667</v>
      </c>
      <c r="B787" t="s">
        <v>666</v>
      </c>
      <c r="C787" t="s">
        <v>32</v>
      </c>
      <c r="D787" t="s">
        <v>100</v>
      </c>
      <c r="E787" s="23" t="s">
        <v>766</v>
      </c>
      <c r="F787" t="s">
        <v>38</v>
      </c>
      <c r="G787" t="s">
        <v>33</v>
      </c>
    </row>
    <row r="788" spans="1:7">
      <c r="A788">
        <v>4912</v>
      </c>
      <c r="B788" t="s">
        <v>364</v>
      </c>
      <c r="C788" t="s">
        <v>69</v>
      </c>
      <c r="D788" t="s">
        <v>48</v>
      </c>
      <c r="E788" s="23" t="s">
        <v>778</v>
      </c>
      <c r="F788" t="s">
        <v>31</v>
      </c>
      <c r="G788" t="s">
        <v>33</v>
      </c>
    </row>
    <row r="789" spans="1:7">
      <c r="A789">
        <v>7975</v>
      </c>
      <c r="B789" t="s">
        <v>671</v>
      </c>
      <c r="C789" t="s">
        <v>39</v>
      </c>
      <c r="D789" t="s">
        <v>63</v>
      </c>
      <c r="E789" s="23" t="s">
        <v>755</v>
      </c>
      <c r="F789" t="s">
        <v>58</v>
      </c>
      <c r="G789" t="s">
        <v>33</v>
      </c>
    </row>
    <row r="790" spans="1:7">
      <c r="A790">
        <v>6804</v>
      </c>
      <c r="B790" t="s">
        <v>657</v>
      </c>
      <c r="C790" t="s">
        <v>79</v>
      </c>
      <c r="D790" t="s">
        <v>36</v>
      </c>
      <c r="E790" s="23" t="s">
        <v>776</v>
      </c>
      <c r="F790" t="s">
        <v>38</v>
      </c>
      <c r="G790" t="s">
        <v>33</v>
      </c>
    </row>
    <row r="791" spans="1:7">
      <c r="A791">
        <v>3877</v>
      </c>
      <c r="B791" t="s">
        <v>667</v>
      </c>
      <c r="C791" t="s">
        <v>39</v>
      </c>
      <c r="D791" t="s">
        <v>26</v>
      </c>
      <c r="E791" s="23" t="s">
        <v>751</v>
      </c>
      <c r="F791" t="s">
        <v>76</v>
      </c>
      <c r="G791" t="s">
        <v>33</v>
      </c>
    </row>
    <row r="792" spans="1:7">
      <c r="A792">
        <v>8768</v>
      </c>
      <c r="B792" t="s">
        <v>281</v>
      </c>
      <c r="C792" t="s">
        <v>39</v>
      </c>
      <c r="D792" t="s">
        <v>48</v>
      </c>
      <c r="E792" s="23" t="s">
        <v>757</v>
      </c>
      <c r="F792" t="s">
        <v>76</v>
      </c>
      <c r="G792" t="s">
        <v>40</v>
      </c>
    </row>
    <row r="793" spans="1:7">
      <c r="A793">
        <v>1420</v>
      </c>
      <c r="B793" t="s">
        <v>197</v>
      </c>
      <c r="C793" t="s">
        <v>79</v>
      </c>
      <c r="D793" t="s">
        <v>51</v>
      </c>
      <c r="E793" s="23" t="s">
        <v>762</v>
      </c>
      <c r="F793" t="s">
        <v>76</v>
      </c>
      <c r="G793" t="s">
        <v>33</v>
      </c>
    </row>
    <row r="794" spans="1:7">
      <c r="A794">
        <v>2306</v>
      </c>
      <c r="B794" t="s">
        <v>257</v>
      </c>
      <c r="C794" t="s">
        <v>39</v>
      </c>
      <c r="D794" t="s">
        <v>63</v>
      </c>
      <c r="E794" s="23" t="s">
        <v>755</v>
      </c>
      <c r="F794" t="s">
        <v>31</v>
      </c>
      <c r="G794" t="s">
        <v>40</v>
      </c>
    </row>
    <row r="795" spans="1:7">
      <c r="A795">
        <v>2079</v>
      </c>
      <c r="B795" t="s">
        <v>387</v>
      </c>
      <c r="C795" t="s">
        <v>32</v>
      </c>
      <c r="D795" t="s">
        <v>63</v>
      </c>
      <c r="E795" s="23" t="s">
        <v>761</v>
      </c>
      <c r="F795" t="s">
        <v>65</v>
      </c>
      <c r="G795" t="s">
        <v>33</v>
      </c>
    </row>
    <row r="796" spans="1:7">
      <c r="A796">
        <v>3554</v>
      </c>
      <c r="B796" t="s">
        <v>391</v>
      </c>
      <c r="C796" t="s">
        <v>39</v>
      </c>
      <c r="D796" t="s">
        <v>36</v>
      </c>
      <c r="E796" s="23" t="s">
        <v>754</v>
      </c>
      <c r="F796" t="s">
        <v>38</v>
      </c>
      <c r="G796" t="s">
        <v>60</v>
      </c>
    </row>
    <row r="797" spans="1:7">
      <c r="A797">
        <v>7616</v>
      </c>
      <c r="B797" t="s">
        <v>280</v>
      </c>
      <c r="C797" t="s">
        <v>32</v>
      </c>
      <c r="D797" t="s">
        <v>63</v>
      </c>
      <c r="E797" s="23" t="s">
        <v>761</v>
      </c>
      <c r="F797" t="s">
        <v>31</v>
      </c>
      <c r="G797" t="s">
        <v>40</v>
      </c>
    </row>
    <row r="798" spans="1:7">
      <c r="A798">
        <v>5650</v>
      </c>
      <c r="B798" t="s">
        <v>441</v>
      </c>
      <c r="C798" t="s">
        <v>59</v>
      </c>
      <c r="D798" t="s">
        <v>63</v>
      </c>
      <c r="E798" s="23" t="s">
        <v>748</v>
      </c>
      <c r="F798" t="s">
        <v>38</v>
      </c>
      <c r="G798" t="s">
        <v>93</v>
      </c>
    </row>
    <row r="799" spans="1:7">
      <c r="A799">
        <v>9385</v>
      </c>
      <c r="B799" t="s">
        <v>202</v>
      </c>
      <c r="C799" t="s">
        <v>79</v>
      </c>
      <c r="D799" t="s">
        <v>36</v>
      </c>
      <c r="E799" s="23" t="s">
        <v>776</v>
      </c>
      <c r="F799" t="s">
        <v>76</v>
      </c>
      <c r="G799" t="s">
        <v>60</v>
      </c>
    </row>
    <row r="800" spans="1:7">
      <c r="A800">
        <v>2482</v>
      </c>
      <c r="B800" t="s">
        <v>197</v>
      </c>
      <c r="C800" t="s">
        <v>69</v>
      </c>
      <c r="D800" t="s">
        <v>26</v>
      </c>
      <c r="E800" s="23" t="s">
        <v>759</v>
      </c>
      <c r="F800" t="s">
        <v>38</v>
      </c>
      <c r="G800" t="s">
        <v>40</v>
      </c>
    </row>
    <row r="801" spans="1:7">
      <c r="A801">
        <v>9017</v>
      </c>
      <c r="B801" t="s">
        <v>510</v>
      </c>
      <c r="C801" t="s">
        <v>32</v>
      </c>
      <c r="D801" t="s">
        <v>51</v>
      </c>
      <c r="E801" s="23" t="s">
        <v>773</v>
      </c>
      <c r="F801" t="s">
        <v>38</v>
      </c>
      <c r="G801" t="s">
        <v>33</v>
      </c>
    </row>
    <row r="802" spans="1:7">
      <c r="A802">
        <v>7001</v>
      </c>
      <c r="B802" t="s">
        <v>164</v>
      </c>
      <c r="C802" t="s">
        <v>59</v>
      </c>
      <c r="D802" t="s">
        <v>36</v>
      </c>
      <c r="E802" s="23" t="s">
        <v>747</v>
      </c>
      <c r="F802" t="s">
        <v>65</v>
      </c>
      <c r="G802" t="s">
        <v>93</v>
      </c>
    </row>
    <row r="803" spans="1:7">
      <c r="A803">
        <v>2942</v>
      </c>
      <c r="B803" t="s">
        <v>675</v>
      </c>
      <c r="C803" t="s">
        <v>32</v>
      </c>
      <c r="D803" t="s">
        <v>48</v>
      </c>
      <c r="E803" s="23" t="s">
        <v>770</v>
      </c>
      <c r="F803" t="s">
        <v>58</v>
      </c>
      <c r="G803" t="s">
        <v>40</v>
      </c>
    </row>
    <row r="804" spans="1:7">
      <c r="A804">
        <v>8833</v>
      </c>
      <c r="B804" t="s">
        <v>91</v>
      </c>
      <c r="C804" t="s">
        <v>79</v>
      </c>
      <c r="D804" t="s">
        <v>36</v>
      </c>
      <c r="E804" s="23" t="s">
        <v>776</v>
      </c>
      <c r="F804" t="s">
        <v>58</v>
      </c>
      <c r="G804" t="s">
        <v>33</v>
      </c>
    </row>
    <row r="805" spans="1:7">
      <c r="A805">
        <v>8079</v>
      </c>
      <c r="B805" t="s">
        <v>88</v>
      </c>
      <c r="C805" t="s">
        <v>32</v>
      </c>
      <c r="D805" t="s">
        <v>26</v>
      </c>
      <c r="E805" s="23" t="s">
        <v>758</v>
      </c>
      <c r="F805" t="s">
        <v>76</v>
      </c>
      <c r="G805" t="s">
        <v>93</v>
      </c>
    </row>
    <row r="806" spans="1:7">
      <c r="A806">
        <v>3797</v>
      </c>
      <c r="B806" t="s">
        <v>88</v>
      </c>
      <c r="C806" t="s">
        <v>79</v>
      </c>
      <c r="D806" t="s">
        <v>48</v>
      </c>
      <c r="E806" s="23" t="s">
        <v>768</v>
      </c>
      <c r="F806" t="s">
        <v>38</v>
      </c>
      <c r="G806" t="s">
        <v>40</v>
      </c>
    </row>
    <row r="807" spans="1:7">
      <c r="A807">
        <v>7268</v>
      </c>
      <c r="B807" t="s">
        <v>676</v>
      </c>
      <c r="C807" t="s">
        <v>59</v>
      </c>
      <c r="D807" t="s">
        <v>26</v>
      </c>
      <c r="E807" s="23" t="s">
        <v>744</v>
      </c>
      <c r="F807" t="s">
        <v>58</v>
      </c>
      <c r="G807" t="s">
        <v>60</v>
      </c>
    </row>
    <row r="808" spans="1:7">
      <c r="A808">
        <v>9803</v>
      </c>
      <c r="B808" t="s">
        <v>405</v>
      </c>
      <c r="C808" t="s">
        <v>39</v>
      </c>
      <c r="D808" t="s">
        <v>36</v>
      </c>
      <c r="E808" s="23" t="s">
        <v>754</v>
      </c>
      <c r="F808" t="s">
        <v>76</v>
      </c>
      <c r="G808" t="s">
        <v>60</v>
      </c>
    </row>
    <row r="809" spans="1:7">
      <c r="A809">
        <v>2165</v>
      </c>
      <c r="B809" t="s">
        <v>677</v>
      </c>
      <c r="C809" t="s">
        <v>32</v>
      </c>
      <c r="D809" t="s">
        <v>51</v>
      </c>
      <c r="E809" s="23" t="s">
        <v>773</v>
      </c>
      <c r="F809" t="s">
        <v>58</v>
      </c>
      <c r="G809" t="s">
        <v>40</v>
      </c>
    </row>
    <row r="810" spans="1:7">
      <c r="A810">
        <v>1528</v>
      </c>
      <c r="B810" t="s">
        <v>365</v>
      </c>
      <c r="C810" t="s">
        <v>59</v>
      </c>
      <c r="D810" t="s">
        <v>36</v>
      </c>
      <c r="E810" s="23" t="s">
        <v>747</v>
      </c>
      <c r="F810" t="s">
        <v>58</v>
      </c>
      <c r="G810" t="s">
        <v>60</v>
      </c>
    </row>
    <row r="811" spans="1:7">
      <c r="A811">
        <v>5978</v>
      </c>
      <c r="B811" t="s">
        <v>393</v>
      </c>
      <c r="C811" t="s">
        <v>39</v>
      </c>
      <c r="D811" t="s">
        <v>36</v>
      </c>
      <c r="E811" s="23" t="s">
        <v>754</v>
      </c>
      <c r="F811" t="s">
        <v>38</v>
      </c>
      <c r="G811" t="s">
        <v>93</v>
      </c>
    </row>
    <row r="812" spans="1:7">
      <c r="A812">
        <v>5967</v>
      </c>
      <c r="B812" t="s">
        <v>382</v>
      </c>
      <c r="C812" t="s">
        <v>39</v>
      </c>
      <c r="D812" t="s">
        <v>26</v>
      </c>
      <c r="E812" s="23" t="s">
        <v>751</v>
      </c>
      <c r="F812" t="s">
        <v>38</v>
      </c>
      <c r="G812" t="s">
        <v>33</v>
      </c>
    </row>
    <row r="813" spans="1:7">
      <c r="A813">
        <v>4254</v>
      </c>
      <c r="B813" t="s">
        <v>153</v>
      </c>
      <c r="C813" t="s">
        <v>59</v>
      </c>
      <c r="D813" t="s">
        <v>100</v>
      </c>
      <c r="E813" s="23" t="s">
        <v>749</v>
      </c>
      <c r="F813" t="s">
        <v>65</v>
      </c>
      <c r="G813" t="s">
        <v>60</v>
      </c>
    </row>
    <row r="814" spans="1:7">
      <c r="A814">
        <v>2186</v>
      </c>
      <c r="B814" t="s">
        <v>473</v>
      </c>
      <c r="C814" t="s">
        <v>32</v>
      </c>
      <c r="D814" t="s">
        <v>36</v>
      </c>
      <c r="E814" s="23" t="s">
        <v>764</v>
      </c>
      <c r="F814" t="s">
        <v>76</v>
      </c>
      <c r="G814" t="s">
        <v>33</v>
      </c>
    </row>
    <row r="815" spans="1:7">
      <c r="A815">
        <v>7644</v>
      </c>
      <c r="B815" t="s">
        <v>678</v>
      </c>
      <c r="C815" t="s">
        <v>59</v>
      </c>
      <c r="D815" t="s">
        <v>26</v>
      </c>
      <c r="E815" s="23" t="s">
        <v>744</v>
      </c>
      <c r="F815" t="s">
        <v>58</v>
      </c>
      <c r="G815" t="s">
        <v>33</v>
      </c>
    </row>
    <row r="816" spans="1:7">
      <c r="A816">
        <v>5897</v>
      </c>
      <c r="B816" t="s">
        <v>296</v>
      </c>
      <c r="C816" t="s">
        <v>59</v>
      </c>
      <c r="D816" t="s">
        <v>36</v>
      </c>
      <c r="E816" s="23" t="s">
        <v>747</v>
      </c>
      <c r="F816" t="s">
        <v>76</v>
      </c>
      <c r="G816" t="s">
        <v>60</v>
      </c>
    </row>
    <row r="817" spans="1:7">
      <c r="A817">
        <v>7465</v>
      </c>
      <c r="B817" t="s">
        <v>618</v>
      </c>
      <c r="C817" t="s">
        <v>59</v>
      </c>
      <c r="D817" t="s">
        <v>26</v>
      </c>
      <c r="E817" s="23" t="s">
        <v>744</v>
      </c>
      <c r="F817" t="s">
        <v>76</v>
      </c>
      <c r="G817" t="s">
        <v>93</v>
      </c>
    </row>
    <row r="818" spans="1:7">
      <c r="A818">
        <v>3724</v>
      </c>
      <c r="B818" t="s">
        <v>118</v>
      </c>
      <c r="C818" t="s">
        <v>69</v>
      </c>
      <c r="D818" t="s">
        <v>100</v>
      </c>
      <c r="E818" s="23" t="s">
        <v>772</v>
      </c>
      <c r="F818" t="s">
        <v>65</v>
      </c>
      <c r="G818" t="s">
        <v>93</v>
      </c>
    </row>
    <row r="819" spans="1:7">
      <c r="A819">
        <v>2914</v>
      </c>
      <c r="B819" t="s">
        <v>579</v>
      </c>
      <c r="C819" t="s">
        <v>79</v>
      </c>
      <c r="D819" t="s">
        <v>73</v>
      </c>
      <c r="E819" s="23" t="s">
        <v>763</v>
      </c>
      <c r="F819" t="s">
        <v>58</v>
      </c>
      <c r="G819" t="s">
        <v>33</v>
      </c>
    </row>
    <row r="820" spans="1:7">
      <c r="A820">
        <v>4110</v>
      </c>
      <c r="B820" t="s">
        <v>212</v>
      </c>
      <c r="C820" t="s">
        <v>69</v>
      </c>
      <c r="D820" t="s">
        <v>36</v>
      </c>
      <c r="E820" s="23" t="s">
        <v>765</v>
      </c>
      <c r="F820" t="s">
        <v>58</v>
      </c>
      <c r="G820" t="s">
        <v>40</v>
      </c>
    </row>
    <row r="821" spans="1:7">
      <c r="A821">
        <v>6944</v>
      </c>
      <c r="B821" t="s">
        <v>244</v>
      </c>
      <c r="C821" t="s">
        <v>59</v>
      </c>
      <c r="D821" t="s">
        <v>73</v>
      </c>
      <c r="E821" s="23" t="s">
        <v>745</v>
      </c>
      <c r="F821" t="s">
        <v>65</v>
      </c>
      <c r="G821" t="s">
        <v>33</v>
      </c>
    </row>
    <row r="822" spans="1:7">
      <c r="A822">
        <v>3639</v>
      </c>
      <c r="B822" t="s">
        <v>682</v>
      </c>
      <c r="C822" t="s">
        <v>32</v>
      </c>
      <c r="D822" t="s">
        <v>63</v>
      </c>
      <c r="E822" s="23" t="s">
        <v>761</v>
      </c>
      <c r="F822" t="s">
        <v>76</v>
      </c>
      <c r="G822" t="s">
        <v>40</v>
      </c>
    </row>
    <row r="823" spans="1:7">
      <c r="A823">
        <v>8416</v>
      </c>
      <c r="B823" t="s">
        <v>404</v>
      </c>
      <c r="C823" t="s">
        <v>59</v>
      </c>
      <c r="D823" t="s">
        <v>36</v>
      </c>
      <c r="E823" s="23" t="s">
        <v>747</v>
      </c>
      <c r="F823" t="s">
        <v>76</v>
      </c>
      <c r="G823" t="s">
        <v>40</v>
      </c>
    </row>
    <row r="824" spans="1:7">
      <c r="A824">
        <v>7753</v>
      </c>
      <c r="B824" t="s">
        <v>179</v>
      </c>
      <c r="C824" t="s">
        <v>32</v>
      </c>
      <c r="D824" t="s">
        <v>36</v>
      </c>
      <c r="E824" s="23" t="s">
        <v>764</v>
      </c>
      <c r="F824" t="s">
        <v>58</v>
      </c>
      <c r="G824" t="s">
        <v>93</v>
      </c>
    </row>
    <row r="825" spans="1:7">
      <c r="A825">
        <v>9528</v>
      </c>
      <c r="B825" t="s">
        <v>684</v>
      </c>
      <c r="C825" t="s">
        <v>59</v>
      </c>
      <c r="D825" t="s">
        <v>26</v>
      </c>
      <c r="E825" s="23" t="s">
        <v>744</v>
      </c>
      <c r="F825" t="s">
        <v>76</v>
      </c>
      <c r="G825" t="s">
        <v>93</v>
      </c>
    </row>
    <row r="826" spans="1:7">
      <c r="A826">
        <v>2960</v>
      </c>
      <c r="B826" t="s">
        <v>153</v>
      </c>
      <c r="C826" t="s">
        <v>32</v>
      </c>
      <c r="D826" t="s">
        <v>48</v>
      </c>
      <c r="E826" s="23" t="s">
        <v>770</v>
      </c>
      <c r="F826" t="s">
        <v>58</v>
      </c>
      <c r="G826" t="s">
        <v>33</v>
      </c>
    </row>
    <row r="827" spans="1:7">
      <c r="A827">
        <v>1090</v>
      </c>
      <c r="B827" t="s">
        <v>628</v>
      </c>
      <c r="C827" t="s">
        <v>39</v>
      </c>
      <c r="D827" t="s">
        <v>48</v>
      </c>
      <c r="E827" s="23" t="s">
        <v>757</v>
      </c>
      <c r="F827" t="s">
        <v>38</v>
      </c>
      <c r="G827" t="s">
        <v>60</v>
      </c>
    </row>
    <row r="828" spans="1:7">
      <c r="A828">
        <v>2410</v>
      </c>
      <c r="B828" t="s">
        <v>88</v>
      </c>
      <c r="C828" t="s">
        <v>39</v>
      </c>
      <c r="D828" t="s">
        <v>100</v>
      </c>
      <c r="E828" s="23" t="s">
        <v>756</v>
      </c>
      <c r="F828" t="s">
        <v>65</v>
      </c>
      <c r="G828" t="s">
        <v>33</v>
      </c>
    </row>
    <row r="829" spans="1:7">
      <c r="A829">
        <v>1575</v>
      </c>
      <c r="B829" t="s">
        <v>153</v>
      </c>
      <c r="C829" t="s">
        <v>69</v>
      </c>
      <c r="D829" t="s">
        <v>73</v>
      </c>
      <c r="E829" s="23" t="s">
        <v>771</v>
      </c>
      <c r="F829" t="s">
        <v>38</v>
      </c>
      <c r="G829" t="s">
        <v>33</v>
      </c>
    </row>
    <row r="830" spans="1:7">
      <c r="A830">
        <v>9259</v>
      </c>
      <c r="B830" t="s">
        <v>241</v>
      </c>
      <c r="C830" t="s">
        <v>69</v>
      </c>
      <c r="D830" t="s">
        <v>63</v>
      </c>
      <c r="E830" s="23" t="s">
        <v>777</v>
      </c>
      <c r="F830" t="s">
        <v>65</v>
      </c>
      <c r="G830" t="s">
        <v>33</v>
      </c>
    </row>
    <row r="831" spans="1:7">
      <c r="A831">
        <v>2170</v>
      </c>
      <c r="B831" t="s">
        <v>148</v>
      </c>
      <c r="C831" t="s">
        <v>59</v>
      </c>
      <c r="D831" t="s">
        <v>26</v>
      </c>
      <c r="E831" s="23" t="s">
        <v>744</v>
      </c>
      <c r="F831" t="s">
        <v>65</v>
      </c>
      <c r="G831" t="s">
        <v>33</v>
      </c>
    </row>
    <row r="832" spans="1:7">
      <c r="A832">
        <v>2237</v>
      </c>
      <c r="B832" t="s">
        <v>248</v>
      </c>
      <c r="C832" t="s">
        <v>32</v>
      </c>
      <c r="D832" t="s">
        <v>73</v>
      </c>
      <c r="E832" s="23" t="s">
        <v>775</v>
      </c>
      <c r="F832" t="s">
        <v>65</v>
      </c>
      <c r="G832" t="s">
        <v>93</v>
      </c>
    </row>
    <row r="833" spans="1:7">
      <c r="A833">
        <v>2697</v>
      </c>
      <c r="B833" t="s">
        <v>174</v>
      </c>
      <c r="C833" t="s">
        <v>79</v>
      </c>
      <c r="D833" t="s">
        <v>36</v>
      </c>
      <c r="E833" s="23" t="s">
        <v>776</v>
      </c>
      <c r="F833" t="s">
        <v>31</v>
      </c>
      <c r="G833" t="s">
        <v>33</v>
      </c>
    </row>
    <row r="834" spans="1:7">
      <c r="A834">
        <v>4488</v>
      </c>
      <c r="B834" t="s">
        <v>281</v>
      </c>
      <c r="C834" t="s">
        <v>39</v>
      </c>
      <c r="D834" t="s">
        <v>100</v>
      </c>
      <c r="E834" s="23" t="s">
        <v>756</v>
      </c>
      <c r="F834" t="s">
        <v>58</v>
      </c>
      <c r="G834" t="s">
        <v>33</v>
      </c>
    </row>
    <row r="835" spans="1:7">
      <c r="A835">
        <v>5291</v>
      </c>
      <c r="B835" t="s">
        <v>686</v>
      </c>
      <c r="C835" t="s">
        <v>59</v>
      </c>
      <c r="D835" t="s">
        <v>36</v>
      </c>
      <c r="E835" s="23" t="s">
        <v>747</v>
      </c>
      <c r="F835" t="s">
        <v>76</v>
      </c>
      <c r="G835" t="s">
        <v>93</v>
      </c>
    </row>
    <row r="836" spans="1:7">
      <c r="A836">
        <v>6287</v>
      </c>
      <c r="B836" t="s">
        <v>491</v>
      </c>
      <c r="C836" t="s">
        <v>39</v>
      </c>
      <c r="D836" t="s">
        <v>51</v>
      </c>
      <c r="E836" s="23" t="s">
        <v>753</v>
      </c>
      <c r="F836" t="s">
        <v>38</v>
      </c>
      <c r="G836" t="s">
        <v>40</v>
      </c>
    </row>
    <row r="837" spans="1:7">
      <c r="A837">
        <v>1953</v>
      </c>
      <c r="B837" t="s">
        <v>667</v>
      </c>
      <c r="C837" t="s">
        <v>39</v>
      </c>
      <c r="D837" t="s">
        <v>36</v>
      </c>
      <c r="E837" s="23" t="s">
        <v>754</v>
      </c>
      <c r="F837" t="s">
        <v>58</v>
      </c>
      <c r="G837" t="s">
        <v>60</v>
      </c>
    </row>
    <row r="838" spans="1:7">
      <c r="A838">
        <v>3457</v>
      </c>
      <c r="B838" t="s">
        <v>286</v>
      </c>
      <c r="C838" t="s">
        <v>39</v>
      </c>
      <c r="D838" t="s">
        <v>73</v>
      </c>
      <c r="E838" s="23" t="s">
        <v>752</v>
      </c>
      <c r="F838" t="s">
        <v>58</v>
      </c>
      <c r="G838" t="s">
        <v>33</v>
      </c>
    </row>
    <row r="839" spans="1:7">
      <c r="A839">
        <v>6504</v>
      </c>
      <c r="B839" t="s">
        <v>318</v>
      </c>
      <c r="C839" t="s">
        <v>59</v>
      </c>
      <c r="D839" t="s">
        <v>48</v>
      </c>
      <c r="E839" s="23" t="s">
        <v>750</v>
      </c>
      <c r="F839" t="s">
        <v>38</v>
      </c>
      <c r="G839" t="s">
        <v>33</v>
      </c>
    </row>
    <row r="840" spans="1:7">
      <c r="A840">
        <v>7463</v>
      </c>
      <c r="B840" t="s">
        <v>389</v>
      </c>
      <c r="C840" t="s">
        <v>79</v>
      </c>
      <c r="D840" t="s">
        <v>51</v>
      </c>
      <c r="E840" s="23" t="s">
        <v>762</v>
      </c>
      <c r="F840" t="s">
        <v>58</v>
      </c>
      <c r="G840" t="s">
        <v>40</v>
      </c>
    </row>
    <row r="841" spans="1:7">
      <c r="A841">
        <v>3898</v>
      </c>
      <c r="B841" t="s">
        <v>98</v>
      </c>
      <c r="C841" t="s">
        <v>79</v>
      </c>
      <c r="D841" t="s">
        <v>73</v>
      </c>
      <c r="E841" s="23" t="s">
        <v>763</v>
      </c>
      <c r="F841" t="s">
        <v>31</v>
      </c>
      <c r="G841" t="s">
        <v>93</v>
      </c>
    </row>
    <row r="842" spans="1:7">
      <c r="A842">
        <v>8481</v>
      </c>
      <c r="B842" t="s">
        <v>130</v>
      </c>
      <c r="C842" t="s">
        <v>59</v>
      </c>
      <c r="D842" t="s">
        <v>100</v>
      </c>
      <c r="E842" s="23" t="s">
        <v>749</v>
      </c>
      <c r="F842" t="s">
        <v>58</v>
      </c>
      <c r="G842" t="s">
        <v>40</v>
      </c>
    </row>
    <row r="843" spans="1:7">
      <c r="A843">
        <v>7810</v>
      </c>
      <c r="B843" t="s">
        <v>41</v>
      </c>
      <c r="C843" t="s">
        <v>59</v>
      </c>
      <c r="D843" t="s">
        <v>63</v>
      </c>
      <c r="E843" s="23" t="s">
        <v>748</v>
      </c>
      <c r="F843" t="s">
        <v>65</v>
      </c>
      <c r="G843" t="s">
        <v>93</v>
      </c>
    </row>
    <row r="844" spans="1:7">
      <c r="A844">
        <v>6534</v>
      </c>
      <c r="B844" t="s">
        <v>434</v>
      </c>
      <c r="C844" t="s">
        <v>32</v>
      </c>
      <c r="D844" t="s">
        <v>51</v>
      </c>
      <c r="E844" s="23" t="s">
        <v>773</v>
      </c>
      <c r="F844" t="s">
        <v>38</v>
      </c>
      <c r="G844" t="s">
        <v>33</v>
      </c>
    </row>
    <row r="845" spans="1:7">
      <c r="A845">
        <v>6025</v>
      </c>
      <c r="B845" t="s">
        <v>290</v>
      </c>
      <c r="C845" t="s">
        <v>69</v>
      </c>
      <c r="D845" t="s">
        <v>63</v>
      </c>
      <c r="E845" s="23" t="s">
        <v>777</v>
      </c>
      <c r="F845" t="s">
        <v>76</v>
      </c>
      <c r="G845" t="s">
        <v>60</v>
      </c>
    </row>
    <row r="846" spans="1:7">
      <c r="A846">
        <v>5825</v>
      </c>
      <c r="B846" t="s">
        <v>689</v>
      </c>
      <c r="C846" t="s">
        <v>69</v>
      </c>
      <c r="D846" t="s">
        <v>36</v>
      </c>
      <c r="E846" s="23" t="s">
        <v>765</v>
      </c>
      <c r="F846" t="s">
        <v>31</v>
      </c>
      <c r="G846" t="s">
        <v>33</v>
      </c>
    </row>
    <row r="847" spans="1:7">
      <c r="A847">
        <v>1185</v>
      </c>
      <c r="B847" t="s">
        <v>355</v>
      </c>
      <c r="C847" t="s">
        <v>32</v>
      </c>
      <c r="D847" t="s">
        <v>100</v>
      </c>
      <c r="E847" s="23" t="s">
        <v>766</v>
      </c>
      <c r="F847" t="s">
        <v>31</v>
      </c>
      <c r="G847" t="s">
        <v>40</v>
      </c>
    </row>
    <row r="848" spans="1:7">
      <c r="A848">
        <v>4392</v>
      </c>
      <c r="B848" t="s">
        <v>395</v>
      </c>
      <c r="C848" t="s">
        <v>32</v>
      </c>
      <c r="D848" t="s">
        <v>48</v>
      </c>
      <c r="E848" s="23" t="s">
        <v>770</v>
      </c>
      <c r="F848" t="s">
        <v>65</v>
      </c>
      <c r="G848" t="s">
        <v>60</v>
      </c>
    </row>
    <row r="849" spans="1:7">
      <c r="A849">
        <v>5785</v>
      </c>
      <c r="B849" t="s">
        <v>101</v>
      </c>
      <c r="C849" t="s">
        <v>79</v>
      </c>
      <c r="D849" t="s">
        <v>26</v>
      </c>
      <c r="E849" s="23" t="s">
        <v>760</v>
      </c>
      <c r="F849" t="s">
        <v>58</v>
      </c>
      <c r="G849" t="s">
        <v>60</v>
      </c>
    </row>
    <row r="850" spans="1:7">
      <c r="A850">
        <v>4718</v>
      </c>
      <c r="B850" t="s">
        <v>130</v>
      </c>
      <c r="C850" t="s">
        <v>79</v>
      </c>
      <c r="D850" t="s">
        <v>36</v>
      </c>
      <c r="E850" s="23" t="s">
        <v>776</v>
      </c>
      <c r="F850" t="s">
        <v>76</v>
      </c>
      <c r="G850" t="s">
        <v>60</v>
      </c>
    </row>
    <row r="851" spans="1:7">
      <c r="A851">
        <v>3992</v>
      </c>
      <c r="B851" t="s">
        <v>224</v>
      </c>
      <c r="C851" t="s">
        <v>39</v>
      </c>
      <c r="D851" t="s">
        <v>26</v>
      </c>
      <c r="E851" s="23" t="s">
        <v>751</v>
      </c>
      <c r="F851" t="s">
        <v>65</v>
      </c>
      <c r="G851" t="s">
        <v>40</v>
      </c>
    </row>
    <row r="852" spans="1:7">
      <c r="A852">
        <v>6100</v>
      </c>
      <c r="B852" t="s">
        <v>517</v>
      </c>
      <c r="C852" t="s">
        <v>59</v>
      </c>
      <c r="D852" t="s">
        <v>73</v>
      </c>
      <c r="E852" s="23" t="s">
        <v>745</v>
      </c>
      <c r="F852" t="s">
        <v>31</v>
      </c>
      <c r="G852" t="s">
        <v>40</v>
      </c>
    </row>
    <row r="853" spans="1:7">
      <c r="A853">
        <v>8495</v>
      </c>
      <c r="B853" t="s">
        <v>691</v>
      </c>
      <c r="C853" t="s">
        <v>79</v>
      </c>
      <c r="D853" t="s">
        <v>73</v>
      </c>
      <c r="E853" s="23" t="s">
        <v>763</v>
      </c>
      <c r="F853" t="s">
        <v>38</v>
      </c>
      <c r="G853" t="s">
        <v>60</v>
      </c>
    </row>
    <row r="854" spans="1:7">
      <c r="A854">
        <v>3083</v>
      </c>
      <c r="B854" t="s">
        <v>631</v>
      </c>
      <c r="C854" t="s">
        <v>32</v>
      </c>
      <c r="D854" t="s">
        <v>51</v>
      </c>
      <c r="E854" s="23" t="s">
        <v>773</v>
      </c>
      <c r="F854" t="s">
        <v>65</v>
      </c>
      <c r="G854" t="s">
        <v>33</v>
      </c>
    </row>
    <row r="855" spans="1:7">
      <c r="A855">
        <v>9936</v>
      </c>
      <c r="B855" t="s">
        <v>147</v>
      </c>
      <c r="C855" t="s">
        <v>39</v>
      </c>
      <c r="D855" t="s">
        <v>26</v>
      </c>
      <c r="E855" s="23" t="s">
        <v>751</v>
      </c>
      <c r="F855" t="s">
        <v>31</v>
      </c>
      <c r="G855" t="s">
        <v>60</v>
      </c>
    </row>
    <row r="856" spans="1:7">
      <c r="A856">
        <v>2418</v>
      </c>
      <c r="B856" t="s">
        <v>186</v>
      </c>
      <c r="C856" t="s">
        <v>69</v>
      </c>
      <c r="D856" t="s">
        <v>100</v>
      </c>
      <c r="E856" s="23" t="s">
        <v>772</v>
      </c>
      <c r="F856" t="s">
        <v>65</v>
      </c>
      <c r="G856" t="s">
        <v>40</v>
      </c>
    </row>
    <row r="857" spans="1:7">
      <c r="A857">
        <v>4089</v>
      </c>
      <c r="B857" t="s">
        <v>120</v>
      </c>
      <c r="C857" t="s">
        <v>79</v>
      </c>
      <c r="D857" t="s">
        <v>48</v>
      </c>
      <c r="E857" s="23" t="s">
        <v>768</v>
      </c>
      <c r="F857" t="s">
        <v>31</v>
      </c>
      <c r="G857" t="s">
        <v>93</v>
      </c>
    </row>
    <row r="858" spans="1:7">
      <c r="A858">
        <v>8876</v>
      </c>
      <c r="B858" t="s">
        <v>692</v>
      </c>
      <c r="C858" t="s">
        <v>39</v>
      </c>
      <c r="D858" t="s">
        <v>63</v>
      </c>
      <c r="E858" s="23" t="s">
        <v>755</v>
      </c>
      <c r="F858" t="s">
        <v>31</v>
      </c>
      <c r="G858" t="s">
        <v>93</v>
      </c>
    </row>
    <row r="859" spans="1:7">
      <c r="A859">
        <v>3959</v>
      </c>
      <c r="B859" t="s">
        <v>373</v>
      </c>
      <c r="C859" t="s">
        <v>69</v>
      </c>
      <c r="D859" t="s">
        <v>48</v>
      </c>
      <c r="E859" s="23" t="s">
        <v>778</v>
      </c>
      <c r="F859" t="s">
        <v>38</v>
      </c>
      <c r="G859" t="s">
        <v>93</v>
      </c>
    </row>
    <row r="860" spans="1:7">
      <c r="A860">
        <v>2011</v>
      </c>
      <c r="B860" t="s">
        <v>693</v>
      </c>
      <c r="C860" t="s">
        <v>32</v>
      </c>
      <c r="D860" t="s">
        <v>100</v>
      </c>
      <c r="E860" s="23" t="s">
        <v>766</v>
      </c>
      <c r="F860" t="s">
        <v>31</v>
      </c>
      <c r="G860" t="s">
        <v>60</v>
      </c>
    </row>
    <row r="861" spans="1:7">
      <c r="A861">
        <v>7896</v>
      </c>
      <c r="B861" t="s">
        <v>157</v>
      </c>
      <c r="C861" t="s">
        <v>32</v>
      </c>
      <c r="D861" t="s">
        <v>48</v>
      </c>
      <c r="E861" s="23" t="s">
        <v>770</v>
      </c>
      <c r="F861" t="s">
        <v>38</v>
      </c>
      <c r="G861" t="s">
        <v>93</v>
      </c>
    </row>
    <row r="862" spans="1:7">
      <c r="A862">
        <v>5495</v>
      </c>
      <c r="B862" t="s">
        <v>695</v>
      </c>
      <c r="C862" t="s">
        <v>59</v>
      </c>
      <c r="D862" t="s">
        <v>51</v>
      </c>
      <c r="E862" s="23" t="s">
        <v>746</v>
      </c>
      <c r="F862" t="s">
        <v>65</v>
      </c>
      <c r="G862" t="s">
        <v>33</v>
      </c>
    </row>
    <row r="863" spans="1:7">
      <c r="A863">
        <v>6219</v>
      </c>
      <c r="B863" t="s">
        <v>318</v>
      </c>
      <c r="C863" t="s">
        <v>39</v>
      </c>
      <c r="D863" t="s">
        <v>36</v>
      </c>
      <c r="E863" s="23" t="s">
        <v>754</v>
      </c>
      <c r="F863" t="s">
        <v>38</v>
      </c>
      <c r="G863" t="s">
        <v>33</v>
      </c>
    </row>
    <row r="864" spans="1:7">
      <c r="A864">
        <v>4458</v>
      </c>
      <c r="B864" t="s">
        <v>696</v>
      </c>
      <c r="C864" t="s">
        <v>59</v>
      </c>
      <c r="D864" t="s">
        <v>48</v>
      </c>
      <c r="E864" s="23" t="s">
        <v>750</v>
      </c>
      <c r="F864" t="s">
        <v>76</v>
      </c>
      <c r="G864" t="s">
        <v>40</v>
      </c>
    </row>
    <row r="865" spans="1:7">
      <c r="A865">
        <v>4115</v>
      </c>
      <c r="B865" t="s">
        <v>698</v>
      </c>
      <c r="C865" t="s">
        <v>79</v>
      </c>
      <c r="D865" t="s">
        <v>73</v>
      </c>
      <c r="E865" s="23" t="s">
        <v>763</v>
      </c>
      <c r="F865" t="s">
        <v>58</v>
      </c>
      <c r="G865" t="s">
        <v>93</v>
      </c>
    </row>
    <row r="866" spans="1:7">
      <c r="A866">
        <v>6586</v>
      </c>
      <c r="B866" t="s">
        <v>677</v>
      </c>
      <c r="C866" t="s">
        <v>69</v>
      </c>
      <c r="D866" t="s">
        <v>73</v>
      </c>
      <c r="E866" s="23" t="s">
        <v>771</v>
      </c>
      <c r="F866" t="s">
        <v>38</v>
      </c>
      <c r="G866" t="s">
        <v>40</v>
      </c>
    </row>
    <row r="867" spans="1:7">
      <c r="A867">
        <v>3985</v>
      </c>
      <c r="B867" t="s">
        <v>290</v>
      </c>
      <c r="C867" t="s">
        <v>69</v>
      </c>
      <c r="D867" t="s">
        <v>51</v>
      </c>
      <c r="E867" s="23" t="s">
        <v>774</v>
      </c>
      <c r="F867" t="s">
        <v>31</v>
      </c>
      <c r="G867" t="s">
        <v>33</v>
      </c>
    </row>
    <row r="868" spans="1:7">
      <c r="A868">
        <v>8501</v>
      </c>
      <c r="B868" t="s">
        <v>106</v>
      </c>
      <c r="C868" t="s">
        <v>59</v>
      </c>
      <c r="D868" t="s">
        <v>51</v>
      </c>
      <c r="E868" s="23" t="s">
        <v>746</v>
      </c>
      <c r="F868" t="s">
        <v>58</v>
      </c>
      <c r="G868" t="s">
        <v>60</v>
      </c>
    </row>
    <row r="869" spans="1:7">
      <c r="A869">
        <v>4048</v>
      </c>
      <c r="B869" t="s">
        <v>186</v>
      </c>
      <c r="C869" t="s">
        <v>59</v>
      </c>
      <c r="D869" t="s">
        <v>63</v>
      </c>
      <c r="E869" s="23" t="s">
        <v>748</v>
      </c>
      <c r="F869" t="s">
        <v>58</v>
      </c>
      <c r="G869" t="s">
        <v>60</v>
      </c>
    </row>
    <row r="870" spans="1:7">
      <c r="A870">
        <v>4466</v>
      </c>
      <c r="B870" t="s">
        <v>138</v>
      </c>
      <c r="C870" t="s">
        <v>39</v>
      </c>
      <c r="D870" t="s">
        <v>36</v>
      </c>
      <c r="E870" s="23" t="s">
        <v>754</v>
      </c>
      <c r="F870" t="s">
        <v>58</v>
      </c>
      <c r="G870" t="s">
        <v>33</v>
      </c>
    </row>
    <row r="871" spans="1:7">
      <c r="A871">
        <v>5479</v>
      </c>
      <c r="B871" t="s">
        <v>179</v>
      </c>
      <c r="C871" t="s">
        <v>79</v>
      </c>
      <c r="D871" t="s">
        <v>100</v>
      </c>
      <c r="E871" s="23" t="s">
        <v>769</v>
      </c>
      <c r="F871" t="s">
        <v>38</v>
      </c>
      <c r="G871" t="s">
        <v>33</v>
      </c>
    </row>
    <row r="872" spans="1:7">
      <c r="A872">
        <v>2480</v>
      </c>
      <c r="B872" t="s">
        <v>618</v>
      </c>
      <c r="C872" t="s">
        <v>59</v>
      </c>
      <c r="D872" t="s">
        <v>73</v>
      </c>
      <c r="E872" s="23" t="s">
        <v>745</v>
      </c>
      <c r="F872" t="s">
        <v>38</v>
      </c>
      <c r="G872" t="s">
        <v>60</v>
      </c>
    </row>
    <row r="873" spans="1:7">
      <c r="A873">
        <v>6288</v>
      </c>
      <c r="B873" t="s">
        <v>271</v>
      </c>
      <c r="C873" t="s">
        <v>39</v>
      </c>
      <c r="D873" t="s">
        <v>100</v>
      </c>
      <c r="E873" s="23" t="s">
        <v>756</v>
      </c>
      <c r="F873" t="s">
        <v>58</v>
      </c>
      <c r="G873" t="s">
        <v>40</v>
      </c>
    </row>
    <row r="874" spans="1:7">
      <c r="A874">
        <v>9973</v>
      </c>
      <c r="B874" t="s">
        <v>224</v>
      </c>
      <c r="C874" t="s">
        <v>39</v>
      </c>
      <c r="D874" t="s">
        <v>100</v>
      </c>
      <c r="E874" s="23" t="s">
        <v>756</v>
      </c>
      <c r="F874" t="s">
        <v>58</v>
      </c>
      <c r="G874" t="s">
        <v>33</v>
      </c>
    </row>
    <row r="875" spans="1:7">
      <c r="A875">
        <v>6078</v>
      </c>
      <c r="B875" t="s">
        <v>606</v>
      </c>
      <c r="C875" t="s">
        <v>59</v>
      </c>
      <c r="D875" t="s">
        <v>73</v>
      </c>
      <c r="E875" s="23" t="s">
        <v>745</v>
      </c>
      <c r="F875" t="s">
        <v>65</v>
      </c>
      <c r="G875" t="s">
        <v>40</v>
      </c>
    </row>
    <row r="876" spans="1:7">
      <c r="A876">
        <v>5362</v>
      </c>
      <c r="B876" t="s">
        <v>332</v>
      </c>
      <c r="C876" t="s">
        <v>79</v>
      </c>
      <c r="D876" t="s">
        <v>73</v>
      </c>
      <c r="E876" s="23" t="s">
        <v>763</v>
      </c>
      <c r="F876" t="s">
        <v>65</v>
      </c>
      <c r="G876" t="s">
        <v>60</v>
      </c>
    </row>
    <row r="877" spans="1:7">
      <c r="A877">
        <v>1687</v>
      </c>
      <c r="B877" t="s">
        <v>126</v>
      </c>
      <c r="C877" t="s">
        <v>59</v>
      </c>
      <c r="D877" t="s">
        <v>26</v>
      </c>
      <c r="E877" s="23" t="s">
        <v>744</v>
      </c>
      <c r="F877" t="s">
        <v>65</v>
      </c>
      <c r="G877" t="s">
        <v>33</v>
      </c>
    </row>
    <row r="878" spans="1:7">
      <c r="A878">
        <v>8986</v>
      </c>
      <c r="B878" t="s">
        <v>409</v>
      </c>
      <c r="C878" t="s">
        <v>39</v>
      </c>
      <c r="D878" t="s">
        <v>26</v>
      </c>
      <c r="E878" s="23" t="s">
        <v>751</v>
      </c>
      <c r="F878" t="s">
        <v>58</v>
      </c>
      <c r="G878" t="s">
        <v>40</v>
      </c>
    </row>
    <row r="879" spans="1:7">
      <c r="A879">
        <v>5994</v>
      </c>
      <c r="B879" t="s">
        <v>492</v>
      </c>
      <c r="C879" t="s">
        <v>32</v>
      </c>
      <c r="D879" t="s">
        <v>36</v>
      </c>
      <c r="E879" s="23" t="s">
        <v>764</v>
      </c>
      <c r="F879" t="s">
        <v>31</v>
      </c>
      <c r="G879" t="s">
        <v>93</v>
      </c>
    </row>
    <row r="880" spans="1:7">
      <c r="A880">
        <v>6293</v>
      </c>
      <c r="B880" t="s">
        <v>224</v>
      </c>
      <c r="C880" t="s">
        <v>32</v>
      </c>
      <c r="D880" t="s">
        <v>48</v>
      </c>
      <c r="E880" s="23" t="s">
        <v>770</v>
      </c>
      <c r="F880" t="s">
        <v>38</v>
      </c>
      <c r="G880" t="s">
        <v>33</v>
      </c>
    </row>
    <row r="881" spans="1:7">
      <c r="A881">
        <v>7558</v>
      </c>
      <c r="B881" t="s">
        <v>369</v>
      </c>
      <c r="C881" t="s">
        <v>32</v>
      </c>
      <c r="D881" t="s">
        <v>48</v>
      </c>
      <c r="E881" s="23" t="s">
        <v>770</v>
      </c>
      <c r="F881" t="s">
        <v>65</v>
      </c>
      <c r="G881" t="s">
        <v>40</v>
      </c>
    </row>
    <row r="882" spans="1:7">
      <c r="A882">
        <v>1805</v>
      </c>
      <c r="B882" t="s">
        <v>88</v>
      </c>
      <c r="C882" t="s">
        <v>32</v>
      </c>
      <c r="D882" t="s">
        <v>73</v>
      </c>
      <c r="E882" s="23" t="s">
        <v>775</v>
      </c>
      <c r="F882" t="s">
        <v>65</v>
      </c>
      <c r="G882" t="s">
        <v>33</v>
      </c>
    </row>
    <row r="883" spans="1:7">
      <c r="A883">
        <v>1661</v>
      </c>
      <c r="B883" t="s">
        <v>374</v>
      </c>
      <c r="C883" t="s">
        <v>79</v>
      </c>
      <c r="D883" t="s">
        <v>73</v>
      </c>
      <c r="E883" s="23" t="s">
        <v>763</v>
      </c>
      <c r="F883" t="s">
        <v>31</v>
      </c>
      <c r="G883" t="s">
        <v>40</v>
      </c>
    </row>
    <row r="884" spans="1:7">
      <c r="A884">
        <v>8960</v>
      </c>
      <c r="B884" t="s">
        <v>631</v>
      </c>
      <c r="C884" t="s">
        <v>79</v>
      </c>
      <c r="D884" t="s">
        <v>100</v>
      </c>
      <c r="E884" s="23" t="s">
        <v>769</v>
      </c>
      <c r="F884" t="s">
        <v>31</v>
      </c>
      <c r="G884" t="s">
        <v>93</v>
      </c>
    </row>
    <row r="885" spans="1:7">
      <c r="A885">
        <v>6131</v>
      </c>
      <c r="B885" t="s">
        <v>80</v>
      </c>
      <c r="C885" t="s">
        <v>59</v>
      </c>
      <c r="D885" t="s">
        <v>63</v>
      </c>
      <c r="E885" s="23" t="s">
        <v>748</v>
      </c>
      <c r="F885" t="s">
        <v>76</v>
      </c>
      <c r="G885" t="s">
        <v>33</v>
      </c>
    </row>
    <row r="886" spans="1:7">
      <c r="A886">
        <v>4114</v>
      </c>
      <c r="B886" t="s">
        <v>344</v>
      </c>
      <c r="C886" t="s">
        <v>59</v>
      </c>
      <c r="D886" t="s">
        <v>63</v>
      </c>
      <c r="E886" s="23" t="s">
        <v>748</v>
      </c>
      <c r="F886" t="s">
        <v>76</v>
      </c>
      <c r="G886" t="s">
        <v>40</v>
      </c>
    </row>
    <row r="887" spans="1:7">
      <c r="A887">
        <v>4833</v>
      </c>
      <c r="B887" t="s">
        <v>137</v>
      </c>
      <c r="C887" t="s">
        <v>39</v>
      </c>
      <c r="D887" t="s">
        <v>36</v>
      </c>
      <c r="E887" s="23" t="s">
        <v>754</v>
      </c>
      <c r="F887" t="s">
        <v>65</v>
      </c>
      <c r="G887" t="s">
        <v>40</v>
      </c>
    </row>
    <row r="888" spans="1:7">
      <c r="A888">
        <v>2401</v>
      </c>
      <c r="B888" t="s">
        <v>404</v>
      </c>
      <c r="C888" t="s">
        <v>32</v>
      </c>
      <c r="D888" t="s">
        <v>73</v>
      </c>
      <c r="E888" s="23" t="s">
        <v>775</v>
      </c>
      <c r="F888" t="s">
        <v>58</v>
      </c>
      <c r="G888" t="s">
        <v>40</v>
      </c>
    </row>
    <row r="889" spans="1:7">
      <c r="A889">
        <v>1037</v>
      </c>
      <c r="B889" t="s">
        <v>150</v>
      </c>
      <c r="C889" t="s">
        <v>39</v>
      </c>
      <c r="D889" t="s">
        <v>51</v>
      </c>
      <c r="E889" s="23" t="s">
        <v>753</v>
      </c>
      <c r="F889" t="s">
        <v>58</v>
      </c>
      <c r="G889" t="s">
        <v>60</v>
      </c>
    </row>
    <row r="890" spans="1:7">
      <c r="A890">
        <v>2675</v>
      </c>
      <c r="B890" t="s">
        <v>701</v>
      </c>
      <c r="C890" t="s">
        <v>59</v>
      </c>
      <c r="D890" t="s">
        <v>51</v>
      </c>
      <c r="E890" s="23" t="s">
        <v>746</v>
      </c>
      <c r="F890" t="s">
        <v>38</v>
      </c>
      <c r="G890" t="s">
        <v>33</v>
      </c>
    </row>
    <row r="891" spans="1:7">
      <c r="A891">
        <v>1665</v>
      </c>
      <c r="B891" t="s">
        <v>128</v>
      </c>
      <c r="C891" t="s">
        <v>32</v>
      </c>
      <c r="D891" t="s">
        <v>73</v>
      </c>
      <c r="E891" s="23" t="s">
        <v>775</v>
      </c>
      <c r="F891" t="s">
        <v>38</v>
      </c>
      <c r="G891" t="s">
        <v>93</v>
      </c>
    </row>
    <row r="892" spans="1:7">
      <c r="A892">
        <v>5671</v>
      </c>
      <c r="B892" t="s">
        <v>274</v>
      </c>
      <c r="C892" t="s">
        <v>32</v>
      </c>
      <c r="D892" t="s">
        <v>36</v>
      </c>
      <c r="E892" s="23" t="s">
        <v>764</v>
      </c>
      <c r="F892" t="s">
        <v>58</v>
      </c>
      <c r="G892" t="s">
        <v>60</v>
      </c>
    </row>
    <row r="893" spans="1:7">
      <c r="A893">
        <v>5153</v>
      </c>
      <c r="B893" t="s">
        <v>254</v>
      </c>
      <c r="C893" t="s">
        <v>79</v>
      </c>
      <c r="D893" t="s">
        <v>48</v>
      </c>
      <c r="E893" s="23" t="s">
        <v>768</v>
      </c>
      <c r="F893" t="s">
        <v>38</v>
      </c>
      <c r="G893" t="s">
        <v>40</v>
      </c>
    </row>
    <row r="894" spans="1:7">
      <c r="A894">
        <v>1114</v>
      </c>
      <c r="B894" t="s">
        <v>325</v>
      </c>
      <c r="C894" t="s">
        <v>69</v>
      </c>
      <c r="D894" t="s">
        <v>63</v>
      </c>
      <c r="E894" s="23" t="s">
        <v>777</v>
      </c>
      <c r="F894" t="s">
        <v>76</v>
      </c>
      <c r="G894" t="s">
        <v>40</v>
      </c>
    </row>
    <row r="895" spans="1:7">
      <c r="A895">
        <v>6180</v>
      </c>
      <c r="B895" t="s">
        <v>701</v>
      </c>
      <c r="C895" t="s">
        <v>59</v>
      </c>
      <c r="D895" t="s">
        <v>100</v>
      </c>
      <c r="E895" s="23" t="s">
        <v>749</v>
      </c>
      <c r="F895" t="s">
        <v>76</v>
      </c>
      <c r="G895" t="s">
        <v>33</v>
      </c>
    </row>
    <row r="896" spans="1:7">
      <c r="A896">
        <v>8237</v>
      </c>
      <c r="B896" t="s">
        <v>52</v>
      </c>
      <c r="C896" t="s">
        <v>39</v>
      </c>
      <c r="D896" t="s">
        <v>73</v>
      </c>
      <c r="E896" s="23" t="s">
        <v>752</v>
      </c>
      <c r="F896" t="s">
        <v>31</v>
      </c>
      <c r="G896" t="s">
        <v>33</v>
      </c>
    </row>
    <row r="897" spans="1:7">
      <c r="A897">
        <v>9500</v>
      </c>
      <c r="B897" t="s">
        <v>703</v>
      </c>
      <c r="C897" t="s">
        <v>39</v>
      </c>
      <c r="D897" t="s">
        <v>51</v>
      </c>
      <c r="E897" s="23" t="s">
        <v>753</v>
      </c>
      <c r="F897" t="s">
        <v>76</v>
      </c>
      <c r="G897" t="s">
        <v>33</v>
      </c>
    </row>
    <row r="898" spans="1:7">
      <c r="A898">
        <v>7476</v>
      </c>
      <c r="B898" t="s">
        <v>34</v>
      </c>
      <c r="C898" t="s">
        <v>32</v>
      </c>
      <c r="D898" t="s">
        <v>63</v>
      </c>
      <c r="E898" s="23" t="s">
        <v>761</v>
      </c>
      <c r="F898" t="s">
        <v>38</v>
      </c>
      <c r="G898" t="s">
        <v>93</v>
      </c>
    </row>
    <row r="899" spans="1:7">
      <c r="A899">
        <v>9908</v>
      </c>
      <c r="B899" t="s">
        <v>624</v>
      </c>
      <c r="C899" t="s">
        <v>69</v>
      </c>
      <c r="D899" t="s">
        <v>100</v>
      </c>
      <c r="E899" s="23" t="s">
        <v>772</v>
      </c>
      <c r="F899" t="s">
        <v>58</v>
      </c>
      <c r="G899" t="s">
        <v>40</v>
      </c>
    </row>
    <row r="900" spans="1:7">
      <c r="A900">
        <v>1534</v>
      </c>
      <c r="B900" t="s">
        <v>52</v>
      </c>
      <c r="C900" t="s">
        <v>79</v>
      </c>
      <c r="D900" t="s">
        <v>26</v>
      </c>
      <c r="E900" s="23" t="s">
        <v>760</v>
      </c>
      <c r="F900" t="s">
        <v>38</v>
      </c>
      <c r="G900" t="s">
        <v>40</v>
      </c>
    </row>
    <row r="901" spans="1:7">
      <c r="A901">
        <v>4613</v>
      </c>
      <c r="B901" t="s">
        <v>114</v>
      </c>
      <c r="C901" t="s">
        <v>32</v>
      </c>
      <c r="D901" t="s">
        <v>26</v>
      </c>
      <c r="E901" s="23" t="s">
        <v>758</v>
      </c>
      <c r="F901" t="s">
        <v>31</v>
      </c>
      <c r="G901" t="s">
        <v>40</v>
      </c>
    </row>
    <row r="902" spans="1:7">
      <c r="A902">
        <v>5063</v>
      </c>
      <c r="B902" t="s">
        <v>491</v>
      </c>
      <c r="C902" t="s">
        <v>39</v>
      </c>
      <c r="D902" t="s">
        <v>26</v>
      </c>
      <c r="E902" s="23" t="s">
        <v>751</v>
      </c>
      <c r="F902" t="s">
        <v>65</v>
      </c>
      <c r="G902" t="s">
        <v>60</v>
      </c>
    </row>
    <row r="903" spans="1:7">
      <c r="A903">
        <v>4548</v>
      </c>
      <c r="B903" t="s">
        <v>244</v>
      </c>
      <c r="C903" t="s">
        <v>39</v>
      </c>
      <c r="D903" t="s">
        <v>100</v>
      </c>
      <c r="E903" s="23" t="s">
        <v>756</v>
      </c>
      <c r="F903" t="s">
        <v>31</v>
      </c>
      <c r="G903" t="s">
        <v>93</v>
      </c>
    </row>
    <row r="904" spans="1:7">
      <c r="A904">
        <v>7556</v>
      </c>
      <c r="B904" t="s">
        <v>598</v>
      </c>
      <c r="C904" t="s">
        <v>32</v>
      </c>
      <c r="D904" t="s">
        <v>26</v>
      </c>
      <c r="E904" s="23" t="s">
        <v>758</v>
      </c>
      <c r="F904" t="s">
        <v>76</v>
      </c>
      <c r="G904" t="s">
        <v>93</v>
      </c>
    </row>
    <row r="905" spans="1:7">
      <c r="A905">
        <v>1846</v>
      </c>
      <c r="B905" t="s">
        <v>705</v>
      </c>
      <c r="C905" t="s">
        <v>69</v>
      </c>
      <c r="D905" t="s">
        <v>48</v>
      </c>
      <c r="E905" s="23" t="s">
        <v>778</v>
      </c>
      <c r="F905" t="s">
        <v>58</v>
      </c>
      <c r="G905" t="s">
        <v>33</v>
      </c>
    </row>
    <row r="906" spans="1:7">
      <c r="A906">
        <v>7088</v>
      </c>
      <c r="B906" t="s">
        <v>120</v>
      </c>
      <c r="C906" t="s">
        <v>59</v>
      </c>
      <c r="D906" t="s">
        <v>51</v>
      </c>
      <c r="E906" s="23" t="s">
        <v>746</v>
      </c>
      <c r="F906" t="s">
        <v>31</v>
      </c>
      <c r="G906" t="s">
        <v>60</v>
      </c>
    </row>
    <row r="907" spans="1:7">
      <c r="A907">
        <v>1179</v>
      </c>
      <c r="B907" t="s">
        <v>395</v>
      </c>
      <c r="C907" t="s">
        <v>32</v>
      </c>
      <c r="D907" t="s">
        <v>100</v>
      </c>
      <c r="E907" s="23" t="s">
        <v>766</v>
      </c>
      <c r="F907" t="s">
        <v>31</v>
      </c>
      <c r="G907" t="s">
        <v>93</v>
      </c>
    </row>
    <row r="908" spans="1:7">
      <c r="A908">
        <v>2190</v>
      </c>
      <c r="B908" t="s">
        <v>682</v>
      </c>
      <c r="C908" t="s">
        <v>79</v>
      </c>
      <c r="D908" t="s">
        <v>63</v>
      </c>
      <c r="E908" s="23" t="s">
        <v>767</v>
      </c>
      <c r="F908" t="s">
        <v>58</v>
      </c>
      <c r="G908" t="s">
        <v>40</v>
      </c>
    </row>
    <row r="909" spans="1:7">
      <c r="A909">
        <v>2847</v>
      </c>
      <c r="B909" t="s">
        <v>98</v>
      </c>
      <c r="C909" t="s">
        <v>69</v>
      </c>
      <c r="D909" t="s">
        <v>51</v>
      </c>
      <c r="E909" s="23" t="s">
        <v>774</v>
      </c>
      <c r="F909" t="s">
        <v>58</v>
      </c>
      <c r="G909" t="s">
        <v>60</v>
      </c>
    </row>
    <row r="910" spans="1:7">
      <c r="A910">
        <v>6570</v>
      </c>
      <c r="B910" t="s">
        <v>304</v>
      </c>
      <c r="C910" t="s">
        <v>79</v>
      </c>
      <c r="D910" t="s">
        <v>100</v>
      </c>
      <c r="E910" s="23" t="s">
        <v>769</v>
      </c>
      <c r="F910" t="s">
        <v>31</v>
      </c>
      <c r="G910" t="s">
        <v>40</v>
      </c>
    </row>
    <row r="911" spans="1:7">
      <c r="A911">
        <v>1149</v>
      </c>
      <c r="B911" t="s">
        <v>157</v>
      </c>
      <c r="C911" t="s">
        <v>69</v>
      </c>
      <c r="D911" t="s">
        <v>26</v>
      </c>
      <c r="E911" s="23" t="s">
        <v>759</v>
      </c>
      <c r="F911" t="s">
        <v>38</v>
      </c>
      <c r="G911" t="s">
        <v>33</v>
      </c>
    </row>
    <row r="912" spans="1:7">
      <c r="A912">
        <v>1336</v>
      </c>
      <c r="B912" t="s">
        <v>153</v>
      </c>
      <c r="C912" t="s">
        <v>79</v>
      </c>
      <c r="D912" t="s">
        <v>48</v>
      </c>
      <c r="E912" s="23" t="s">
        <v>768</v>
      </c>
      <c r="F912" t="s">
        <v>65</v>
      </c>
      <c r="G912" t="s">
        <v>60</v>
      </c>
    </row>
    <row r="913" spans="1:7">
      <c r="A913">
        <v>6956</v>
      </c>
      <c r="B913" t="s">
        <v>291</v>
      </c>
      <c r="C913" t="s">
        <v>79</v>
      </c>
      <c r="D913" t="s">
        <v>48</v>
      </c>
      <c r="E913" s="23" t="s">
        <v>768</v>
      </c>
      <c r="F913" t="s">
        <v>65</v>
      </c>
      <c r="G913" t="s">
        <v>40</v>
      </c>
    </row>
    <row r="914" spans="1:7">
      <c r="A914">
        <v>7015</v>
      </c>
      <c r="B914" t="s">
        <v>675</v>
      </c>
      <c r="C914" t="s">
        <v>39</v>
      </c>
      <c r="D914" t="s">
        <v>36</v>
      </c>
      <c r="E914" s="23" t="s">
        <v>754</v>
      </c>
      <c r="F914" t="s">
        <v>65</v>
      </c>
      <c r="G914" t="s">
        <v>33</v>
      </c>
    </row>
    <row r="915" spans="1:7">
      <c r="A915">
        <v>4104</v>
      </c>
      <c r="B915" t="s">
        <v>706</v>
      </c>
      <c r="C915" t="s">
        <v>32</v>
      </c>
      <c r="D915" t="s">
        <v>48</v>
      </c>
      <c r="E915" s="23" t="s">
        <v>770</v>
      </c>
      <c r="F915" t="s">
        <v>65</v>
      </c>
      <c r="G915" t="s">
        <v>40</v>
      </c>
    </row>
    <row r="916" spans="1:7">
      <c r="A916">
        <v>9413</v>
      </c>
      <c r="B916" t="s">
        <v>128</v>
      </c>
      <c r="C916" t="s">
        <v>32</v>
      </c>
      <c r="D916" t="s">
        <v>48</v>
      </c>
      <c r="E916" s="23" t="s">
        <v>770</v>
      </c>
      <c r="F916" t="s">
        <v>31</v>
      </c>
      <c r="G916" t="s">
        <v>60</v>
      </c>
    </row>
    <row r="917" spans="1:7">
      <c r="A917">
        <v>8300</v>
      </c>
      <c r="B917" t="s">
        <v>260</v>
      </c>
      <c r="C917" t="s">
        <v>79</v>
      </c>
      <c r="D917" t="s">
        <v>51</v>
      </c>
      <c r="E917" s="23" t="s">
        <v>762</v>
      </c>
      <c r="F917" t="s">
        <v>38</v>
      </c>
      <c r="G917" t="s">
        <v>93</v>
      </c>
    </row>
    <row r="918" spans="1:7">
      <c r="A918">
        <v>5126</v>
      </c>
      <c r="B918" t="s">
        <v>272</v>
      </c>
      <c r="C918" t="s">
        <v>39</v>
      </c>
      <c r="D918" t="s">
        <v>36</v>
      </c>
      <c r="E918" s="23" t="s">
        <v>754</v>
      </c>
      <c r="F918" t="s">
        <v>76</v>
      </c>
      <c r="G918" t="s">
        <v>93</v>
      </c>
    </row>
    <row r="919" spans="1:7">
      <c r="A919">
        <v>1754</v>
      </c>
      <c r="B919" t="s">
        <v>70</v>
      </c>
      <c r="C919" t="s">
        <v>69</v>
      </c>
      <c r="D919" t="s">
        <v>100</v>
      </c>
      <c r="E919" s="23" t="s">
        <v>772</v>
      </c>
      <c r="F919" t="s">
        <v>58</v>
      </c>
      <c r="G919" t="s">
        <v>93</v>
      </c>
    </row>
    <row r="920" spans="1:7">
      <c r="A920">
        <v>7089</v>
      </c>
      <c r="B920" t="s">
        <v>357</v>
      </c>
      <c r="C920" t="s">
        <v>39</v>
      </c>
      <c r="D920" t="s">
        <v>100</v>
      </c>
      <c r="E920" s="23" t="s">
        <v>756</v>
      </c>
      <c r="F920" t="s">
        <v>38</v>
      </c>
      <c r="G920" t="s">
        <v>60</v>
      </c>
    </row>
    <row r="921" spans="1:7">
      <c r="A921">
        <v>1697</v>
      </c>
      <c r="B921" t="s">
        <v>104</v>
      </c>
      <c r="C921" t="s">
        <v>79</v>
      </c>
      <c r="D921" t="s">
        <v>26</v>
      </c>
      <c r="E921" s="23" t="s">
        <v>760</v>
      </c>
      <c r="F921" t="s">
        <v>65</v>
      </c>
      <c r="G921" t="s">
        <v>93</v>
      </c>
    </row>
    <row r="922" spans="1:7">
      <c r="A922">
        <v>4768</v>
      </c>
      <c r="B922" t="s">
        <v>542</v>
      </c>
      <c r="C922" t="s">
        <v>69</v>
      </c>
      <c r="D922" t="s">
        <v>51</v>
      </c>
      <c r="E922" s="23" t="s">
        <v>774</v>
      </c>
      <c r="F922" t="s">
        <v>76</v>
      </c>
      <c r="G922" t="s">
        <v>93</v>
      </c>
    </row>
    <row r="923" spans="1:7">
      <c r="A923">
        <v>4205</v>
      </c>
      <c r="B923" t="s">
        <v>257</v>
      </c>
      <c r="C923" t="s">
        <v>79</v>
      </c>
      <c r="D923" t="s">
        <v>73</v>
      </c>
      <c r="E923" s="23" t="s">
        <v>763</v>
      </c>
      <c r="F923" t="s">
        <v>38</v>
      </c>
      <c r="G923" t="s">
        <v>40</v>
      </c>
    </row>
    <row r="924" spans="1:7">
      <c r="A924">
        <v>8844</v>
      </c>
      <c r="B924" t="s">
        <v>140</v>
      </c>
      <c r="C924" t="s">
        <v>69</v>
      </c>
      <c r="D924" t="s">
        <v>48</v>
      </c>
      <c r="E924" s="23" t="s">
        <v>778</v>
      </c>
      <c r="F924" t="s">
        <v>65</v>
      </c>
      <c r="G924" t="s">
        <v>33</v>
      </c>
    </row>
    <row r="925" spans="1:7">
      <c r="A925">
        <v>1103</v>
      </c>
      <c r="B925" t="s">
        <v>411</v>
      </c>
      <c r="C925" t="s">
        <v>79</v>
      </c>
      <c r="D925" t="s">
        <v>48</v>
      </c>
      <c r="E925" s="23" t="s">
        <v>768</v>
      </c>
      <c r="F925" t="s">
        <v>31</v>
      </c>
      <c r="G925" t="s">
        <v>93</v>
      </c>
    </row>
    <row r="926" spans="1:7">
      <c r="A926">
        <v>2180</v>
      </c>
      <c r="B926" t="s">
        <v>709</v>
      </c>
      <c r="C926" t="s">
        <v>32</v>
      </c>
      <c r="D926" t="s">
        <v>63</v>
      </c>
      <c r="E926" s="23" t="s">
        <v>761</v>
      </c>
      <c r="F926" t="s">
        <v>58</v>
      </c>
      <c r="G926" t="s">
        <v>33</v>
      </c>
    </row>
    <row r="927" spans="1:7">
      <c r="A927">
        <v>6607</v>
      </c>
      <c r="B927" t="s">
        <v>710</v>
      </c>
      <c r="C927" t="s">
        <v>32</v>
      </c>
      <c r="D927" t="s">
        <v>36</v>
      </c>
      <c r="E927" s="23" t="s">
        <v>764</v>
      </c>
      <c r="F927" t="s">
        <v>58</v>
      </c>
      <c r="G927" t="s">
        <v>33</v>
      </c>
    </row>
    <row r="928" spans="1:7">
      <c r="A928">
        <v>7949</v>
      </c>
      <c r="B928" t="s">
        <v>391</v>
      </c>
      <c r="C928" t="s">
        <v>32</v>
      </c>
      <c r="D928" t="s">
        <v>73</v>
      </c>
      <c r="E928" s="23" t="s">
        <v>775</v>
      </c>
      <c r="F928" t="s">
        <v>38</v>
      </c>
      <c r="G928" t="s">
        <v>93</v>
      </c>
    </row>
    <row r="929" spans="1:7">
      <c r="A929">
        <v>5337</v>
      </c>
      <c r="B929" t="s">
        <v>508</v>
      </c>
      <c r="C929" t="s">
        <v>59</v>
      </c>
      <c r="D929" t="s">
        <v>63</v>
      </c>
      <c r="E929" s="23" t="s">
        <v>748</v>
      </c>
      <c r="F929" t="s">
        <v>31</v>
      </c>
      <c r="G929" t="s">
        <v>33</v>
      </c>
    </row>
    <row r="930" spans="1:7">
      <c r="A930">
        <v>8477</v>
      </c>
      <c r="B930" t="s">
        <v>236</v>
      </c>
      <c r="C930" t="s">
        <v>69</v>
      </c>
      <c r="D930" t="s">
        <v>36</v>
      </c>
      <c r="E930" s="23" t="s">
        <v>765</v>
      </c>
      <c r="F930" t="s">
        <v>58</v>
      </c>
      <c r="G930" t="s">
        <v>60</v>
      </c>
    </row>
    <row r="931" spans="1:7">
      <c r="A931">
        <v>7673</v>
      </c>
      <c r="B931" t="s">
        <v>712</v>
      </c>
      <c r="C931" t="s">
        <v>79</v>
      </c>
      <c r="D931" t="s">
        <v>26</v>
      </c>
      <c r="E931" s="23" t="s">
        <v>760</v>
      </c>
      <c r="F931" t="s">
        <v>31</v>
      </c>
      <c r="G931" t="s">
        <v>40</v>
      </c>
    </row>
    <row r="932" spans="1:7">
      <c r="A932">
        <v>6113</v>
      </c>
      <c r="B932" t="s">
        <v>713</v>
      </c>
      <c r="C932" t="s">
        <v>79</v>
      </c>
      <c r="D932" t="s">
        <v>73</v>
      </c>
      <c r="E932" s="23" t="s">
        <v>763</v>
      </c>
      <c r="F932" t="s">
        <v>65</v>
      </c>
      <c r="G932" t="s">
        <v>40</v>
      </c>
    </row>
    <row r="933" spans="1:7">
      <c r="A933">
        <v>7457</v>
      </c>
      <c r="B933" t="s">
        <v>498</v>
      </c>
      <c r="C933" t="s">
        <v>69</v>
      </c>
      <c r="D933" t="s">
        <v>48</v>
      </c>
      <c r="E933" s="23" t="s">
        <v>778</v>
      </c>
      <c r="F933" t="s">
        <v>31</v>
      </c>
      <c r="G933" t="s">
        <v>60</v>
      </c>
    </row>
    <row r="934" spans="1:7">
      <c r="A934">
        <v>6639</v>
      </c>
      <c r="B934" t="s">
        <v>401</v>
      </c>
      <c r="C934" t="s">
        <v>32</v>
      </c>
      <c r="D934" t="s">
        <v>26</v>
      </c>
      <c r="E934" s="23" t="s">
        <v>758</v>
      </c>
      <c r="F934" t="s">
        <v>38</v>
      </c>
      <c r="G934" t="s">
        <v>40</v>
      </c>
    </row>
    <row r="935" spans="1:7">
      <c r="A935">
        <v>5220</v>
      </c>
      <c r="B935" t="s">
        <v>212</v>
      </c>
      <c r="C935" t="s">
        <v>59</v>
      </c>
      <c r="D935" t="s">
        <v>63</v>
      </c>
      <c r="E935" s="23" t="s">
        <v>748</v>
      </c>
      <c r="F935" t="s">
        <v>65</v>
      </c>
      <c r="G935" t="s">
        <v>40</v>
      </c>
    </row>
    <row r="936" spans="1:7">
      <c r="A936">
        <v>6970</v>
      </c>
      <c r="B936" t="s">
        <v>367</v>
      </c>
      <c r="C936" t="s">
        <v>32</v>
      </c>
      <c r="D936" t="s">
        <v>100</v>
      </c>
      <c r="E936" s="23" t="s">
        <v>766</v>
      </c>
      <c r="F936" t="s">
        <v>58</v>
      </c>
      <c r="G936" t="s">
        <v>60</v>
      </c>
    </row>
    <row r="937" spans="1:7">
      <c r="A937">
        <v>6705</v>
      </c>
      <c r="B937" t="s">
        <v>126</v>
      </c>
      <c r="C937" t="s">
        <v>32</v>
      </c>
      <c r="D937" t="s">
        <v>100</v>
      </c>
      <c r="E937" s="23" t="s">
        <v>766</v>
      </c>
      <c r="F937" t="s">
        <v>38</v>
      </c>
      <c r="G937" t="s">
        <v>40</v>
      </c>
    </row>
    <row r="938" spans="1:7">
      <c r="A938">
        <v>2477</v>
      </c>
      <c r="B938" t="s">
        <v>365</v>
      </c>
      <c r="C938" t="s">
        <v>32</v>
      </c>
      <c r="D938" t="s">
        <v>48</v>
      </c>
      <c r="E938" s="23" t="s">
        <v>770</v>
      </c>
      <c r="F938" t="s">
        <v>38</v>
      </c>
      <c r="G938" t="s">
        <v>93</v>
      </c>
    </row>
    <row r="939" spans="1:7">
      <c r="A939">
        <v>6236</v>
      </c>
      <c r="B939" t="s">
        <v>657</v>
      </c>
      <c r="C939" t="s">
        <v>39</v>
      </c>
      <c r="D939" t="s">
        <v>26</v>
      </c>
      <c r="E939" s="23" t="s">
        <v>751</v>
      </c>
      <c r="F939" t="s">
        <v>76</v>
      </c>
      <c r="G939" t="s">
        <v>33</v>
      </c>
    </row>
    <row r="940" spans="1:7">
      <c r="A940">
        <v>4079</v>
      </c>
      <c r="B940" t="s">
        <v>716</v>
      </c>
      <c r="C940" t="s">
        <v>69</v>
      </c>
      <c r="D940" t="s">
        <v>63</v>
      </c>
      <c r="E940" s="23" t="s">
        <v>777</v>
      </c>
      <c r="F940" t="s">
        <v>31</v>
      </c>
      <c r="G940" t="s">
        <v>93</v>
      </c>
    </row>
    <row r="941" spans="1:7">
      <c r="A941">
        <v>7927</v>
      </c>
      <c r="B941" t="s">
        <v>592</v>
      </c>
      <c r="C941" t="s">
        <v>79</v>
      </c>
      <c r="D941" t="s">
        <v>51</v>
      </c>
      <c r="E941" s="23" t="s">
        <v>762</v>
      </c>
      <c r="F941" t="s">
        <v>76</v>
      </c>
      <c r="G941" t="s">
        <v>33</v>
      </c>
    </row>
    <row r="942" spans="1:7">
      <c r="A942">
        <v>5059</v>
      </c>
      <c r="B942" t="s">
        <v>41</v>
      </c>
      <c r="C942" t="s">
        <v>69</v>
      </c>
      <c r="D942" t="s">
        <v>73</v>
      </c>
      <c r="E942" s="23" t="s">
        <v>771</v>
      </c>
      <c r="F942" t="s">
        <v>58</v>
      </c>
      <c r="G942" t="s">
        <v>93</v>
      </c>
    </row>
    <row r="943" spans="1:7">
      <c r="A943">
        <v>4210</v>
      </c>
      <c r="B943" t="s">
        <v>284</v>
      </c>
      <c r="C943" t="s">
        <v>32</v>
      </c>
      <c r="D943" t="s">
        <v>63</v>
      </c>
      <c r="E943" s="23" t="s">
        <v>761</v>
      </c>
      <c r="F943" t="s">
        <v>76</v>
      </c>
      <c r="G943" t="s">
        <v>60</v>
      </c>
    </row>
    <row r="944" spans="1:7">
      <c r="A944">
        <v>5054</v>
      </c>
      <c r="B944" t="s">
        <v>41</v>
      </c>
      <c r="C944" t="s">
        <v>69</v>
      </c>
      <c r="D944" t="s">
        <v>51</v>
      </c>
      <c r="E944" s="23" t="s">
        <v>774</v>
      </c>
      <c r="F944" t="s">
        <v>65</v>
      </c>
      <c r="G944" t="s">
        <v>60</v>
      </c>
    </row>
    <row r="945" spans="1:7">
      <c r="A945">
        <v>5836</v>
      </c>
      <c r="B945" t="s">
        <v>504</v>
      </c>
      <c r="C945" t="s">
        <v>32</v>
      </c>
      <c r="D945" t="s">
        <v>48</v>
      </c>
      <c r="E945" s="23" t="s">
        <v>770</v>
      </c>
      <c r="F945" t="s">
        <v>58</v>
      </c>
      <c r="G945" t="s">
        <v>40</v>
      </c>
    </row>
    <row r="946" spans="1:7">
      <c r="A946">
        <v>8612</v>
      </c>
      <c r="B946" t="s">
        <v>304</v>
      </c>
      <c r="C946" t="s">
        <v>39</v>
      </c>
      <c r="D946" t="s">
        <v>73</v>
      </c>
      <c r="E946" s="23" t="s">
        <v>752</v>
      </c>
      <c r="F946" t="s">
        <v>31</v>
      </c>
      <c r="G946" t="s">
        <v>60</v>
      </c>
    </row>
    <row r="947" spans="1:7">
      <c r="A947">
        <v>7445</v>
      </c>
      <c r="B947" t="s">
        <v>125</v>
      </c>
      <c r="C947" t="s">
        <v>32</v>
      </c>
      <c r="D947" t="s">
        <v>63</v>
      </c>
      <c r="E947" s="23" t="s">
        <v>761</v>
      </c>
      <c r="F947" t="s">
        <v>38</v>
      </c>
      <c r="G947" t="s">
        <v>33</v>
      </c>
    </row>
    <row r="948" spans="1:7">
      <c r="A948">
        <v>6135</v>
      </c>
      <c r="B948" t="s">
        <v>112</v>
      </c>
      <c r="C948" t="s">
        <v>39</v>
      </c>
      <c r="D948" t="s">
        <v>36</v>
      </c>
      <c r="E948" s="23" t="s">
        <v>754</v>
      </c>
      <c r="F948" t="s">
        <v>76</v>
      </c>
      <c r="G948" t="s">
        <v>33</v>
      </c>
    </row>
    <row r="949" spans="1:7">
      <c r="A949">
        <v>3168</v>
      </c>
      <c r="B949" t="s">
        <v>373</v>
      </c>
      <c r="C949" t="s">
        <v>69</v>
      </c>
      <c r="D949" t="s">
        <v>26</v>
      </c>
      <c r="E949" s="23" t="s">
        <v>759</v>
      </c>
      <c r="F949" t="s">
        <v>58</v>
      </c>
      <c r="G949" t="s">
        <v>60</v>
      </c>
    </row>
    <row r="950" spans="1:7">
      <c r="A950">
        <v>2981</v>
      </c>
      <c r="B950" t="s">
        <v>718</v>
      </c>
      <c r="C950" t="s">
        <v>59</v>
      </c>
      <c r="D950" t="s">
        <v>48</v>
      </c>
      <c r="E950" s="23" t="s">
        <v>750</v>
      </c>
      <c r="F950" t="s">
        <v>31</v>
      </c>
      <c r="G950" t="s">
        <v>93</v>
      </c>
    </row>
    <row r="951" spans="1:7">
      <c r="A951">
        <v>7739</v>
      </c>
      <c r="B951" t="s">
        <v>254</v>
      </c>
      <c r="C951" t="s">
        <v>39</v>
      </c>
      <c r="D951" t="s">
        <v>48</v>
      </c>
      <c r="E951" s="23" t="s">
        <v>757</v>
      </c>
      <c r="F951" t="s">
        <v>31</v>
      </c>
      <c r="G951" t="s">
        <v>93</v>
      </c>
    </row>
    <row r="952" spans="1:7">
      <c r="A952">
        <v>5905</v>
      </c>
      <c r="B952" t="s">
        <v>345</v>
      </c>
      <c r="C952" t="s">
        <v>79</v>
      </c>
      <c r="D952" t="s">
        <v>73</v>
      </c>
      <c r="E952" s="23" t="s">
        <v>763</v>
      </c>
      <c r="F952" t="s">
        <v>76</v>
      </c>
      <c r="G952" t="s">
        <v>33</v>
      </c>
    </row>
    <row r="953" spans="1:7">
      <c r="A953">
        <v>1443</v>
      </c>
      <c r="B953" t="s">
        <v>369</v>
      </c>
      <c r="C953" t="s">
        <v>79</v>
      </c>
      <c r="D953" t="s">
        <v>36</v>
      </c>
      <c r="E953" s="23" t="s">
        <v>776</v>
      </c>
      <c r="F953" t="s">
        <v>76</v>
      </c>
      <c r="G953" t="s">
        <v>33</v>
      </c>
    </row>
    <row r="954" spans="1:7">
      <c r="A954">
        <v>6181</v>
      </c>
      <c r="B954" t="s">
        <v>608</v>
      </c>
      <c r="C954" t="s">
        <v>32</v>
      </c>
      <c r="D954" t="s">
        <v>63</v>
      </c>
      <c r="E954" s="23" t="s">
        <v>761</v>
      </c>
      <c r="F954" t="s">
        <v>58</v>
      </c>
      <c r="G954" t="s">
        <v>40</v>
      </c>
    </row>
    <row r="955" spans="1:7">
      <c r="A955">
        <v>8406</v>
      </c>
      <c r="B955" t="s">
        <v>720</v>
      </c>
      <c r="C955" t="s">
        <v>32</v>
      </c>
      <c r="D955" t="s">
        <v>26</v>
      </c>
      <c r="E955" s="23" t="s">
        <v>758</v>
      </c>
      <c r="F955" t="s">
        <v>31</v>
      </c>
      <c r="G955" t="s">
        <v>33</v>
      </c>
    </row>
    <row r="956" spans="1:7">
      <c r="A956">
        <v>5389</v>
      </c>
      <c r="B956" t="s">
        <v>721</v>
      </c>
      <c r="C956" t="s">
        <v>69</v>
      </c>
      <c r="D956" t="s">
        <v>36</v>
      </c>
      <c r="E956" s="23" t="s">
        <v>765</v>
      </c>
      <c r="F956" t="s">
        <v>38</v>
      </c>
      <c r="G956" t="s">
        <v>93</v>
      </c>
    </row>
    <row r="957" spans="1:7">
      <c r="A957">
        <v>4586</v>
      </c>
      <c r="B957" t="s">
        <v>723</v>
      </c>
      <c r="C957" t="s">
        <v>39</v>
      </c>
      <c r="D957" t="s">
        <v>26</v>
      </c>
      <c r="E957" s="23" t="s">
        <v>751</v>
      </c>
      <c r="F957" t="s">
        <v>58</v>
      </c>
      <c r="G957" t="s">
        <v>33</v>
      </c>
    </row>
    <row r="958" spans="1:7">
      <c r="A958">
        <v>4020</v>
      </c>
      <c r="B958" t="s">
        <v>691</v>
      </c>
      <c r="C958" t="s">
        <v>69</v>
      </c>
      <c r="D958" t="s">
        <v>48</v>
      </c>
      <c r="E958" s="23" t="s">
        <v>778</v>
      </c>
      <c r="F958" t="s">
        <v>38</v>
      </c>
      <c r="G958" t="s">
        <v>93</v>
      </c>
    </row>
    <row r="959" spans="1:7">
      <c r="A959">
        <v>1635</v>
      </c>
      <c r="B959" t="s">
        <v>434</v>
      </c>
      <c r="C959" t="s">
        <v>32</v>
      </c>
      <c r="D959" t="s">
        <v>48</v>
      </c>
      <c r="E959" s="23" t="s">
        <v>770</v>
      </c>
      <c r="F959" t="s">
        <v>58</v>
      </c>
      <c r="G959" t="s">
        <v>93</v>
      </c>
    </row>
    <row r="960" spans="1:7">
      <c r="A960">
        <v>9257</v>
      </c>
      <c r="B960" t="s">
        <v>177</v>
      </c>
      <c r="C960" t="s">
        <v>59</v>
      </c>
      <c r="D960" t="s">
        <v>63</v>
      </c>
      <c r="E960" s="23" t="s">
        <v>748</v>
      </c>
      <c r="F960" t="s">
        <v>38</v>
      </c>
      <c r="G960" t="s">
        <v>60</v>
      </c>
    </row>
    <row r="961" spans="1:7">
      <c r="A961">
        <v>6380</v>
      </c>
      <c r="B961" t="s">
        <v>88</v>
      </c>
      <c r="C961" t="s">
        <v>59</v>
      </c>
      <c r="D961" t="s">
        <v>36</v>
      </c>
      <c r="E961" s="23" t="s">
        <v>747</v>
      </c>
      <c r="F961" t="s">
        <v>31</v>
      </c>
      <c r="G961" t="s">
        <v>40</v>
      </c>
    </row>
    <row r="962" spans="1:7">
      <c r="A962">
        <v>6385</v>
      </c>
      <c r="B962" t="s">
        <v>508</v>
      </c>
      <c r="C962" t="s">
        <v>59</v>
      </c>
      <c r="D962" t="s">
        <v>51</v>
      </c>
      <c r="E962" s="23" t="s">
        <v>746</v>
      </c>
      <c r="F962" t="s">
        <v>31</v>
      </c>
      <c r="G962" t="s">
        <v>33</v>
      </c>
    </row>
    <row r="963" spans="1:7">
      <c r="A963">
        <v>6858</v>
      </c>
      <c r="B963" t="s">
        <v>318</v>
      </c>
      <c r="C963" t="s">
        <v>79</v>
      </c>
      <c r="D963" t="s">
        <v>51</v>
      </c>
      <c r="E963" s="23" t="s">
        <v>762</v>
      </c>
      <c r="F963" t="s">
        <v>58</v>
      </c>
      <c r="G963" t="s">
        <v>93</v>
      </c>
    </row>
    <row r="964" spans="1:7">
      <c r="A964">
        <v>8875</v>
      </c>
      <c r="B964" t="s">
        <v>434</v>
      </c>
      <c r="C964" t="s">
        <v>39</v>
      </c>
      <c r="D964" t="s">
        <v>26</v>
      </c>
      <c r="E964" s="23" t="s">
        <v>751</v>
      </c>
      <c r="F964" t="s">
        <v>76</v>
      </c>
      <c r="G964" t="s">
        <v>60</v>
      </c>
    </row>
    <row r="965" spans="1:7">
      <c r="A965">
        <v>3334</v>
      </c>
      <c r="B965" t="s">
        <v>286</v>
      </c>
      <c r="C965" t="s">
        <v>39</v>
      </c>
      <c r="D965" t="s">
        <v>26</v>
      </c>
      <c r="E965" s="23" t="s">
        <v>751</v>
      </c>
      <c r="F965" t="s">
        <v>31</v>
      </c>
      <c r="G965" t="s">
        <v>33</v>
      </c>
    </row>
    <row r="966" spans="1:7">
      <c r="A966">
        <v>5850</v>
      </c>
      <c r="B966" t="s">
        <v>126</v>
      </c>
      <c r="C966" t="s">
        <v>59</v>
      </c>
      <c r="D966" t="s">
        <v>26</v>
      </c>
      <c r="E966" s="23" t="s">
        <v>744</v>
      </c>
      <c r="F966" t="s">
        <v>58</v>
      </c>
      <c r="G966" t="s">
        <v>40</v>
      </c>
    </row>
    <row r="967" spans="1:7">
      <c r="A967">
        <v>8593</v>
      </c>
      <c r="B967" t="s">
        <v>153</v>
      </c>
      <c r="C967" t="s">
        <v>69</v>
      </c>
      <c r="D967" t="s">
        <v>63</v>
      </c>
      <c r="E967" s="23" t="s">
        <v>777</v>
      </c>
      <c r="F967" t="s">
        <v>58</v>
      </c>
      <c r="G967" t="s">
        <v>40</v>
      </c>
    </row>
    <row r="968" spans="1:7">
      <c r="A968">
        <v>6278</v>
      </c>
      <c r="B968" t="s">
        <v>357</v>
      </c>
      <c r="C968" t="s">
        <v>69</v>
      </c>
      <c r="D968" t="s">
        <v>36</v>
      </c>
      <c r="E968" s="23" t="s">
        <v>765</v>
      </c>
      <c r="F968" t="s">
        <v>65</v>
      </c>
      <c r="G968" t="s">
        <v>60</v>
      </c>
    </row>
    <row r="969" spans="1:7">
      <c r="A969">
        <v>1388</v>
      </c>
      <c r="B969" t="s">
        <v>157</v>
      </c>
      <c r="C969" t="s">
        <v>59</v>
      </c>
      <c r="D969" t="s">
        <v>100</v>
      </c>
      <c r="E969" s="23" t="s">
        <v>749</v>
      </c>
      <c r="F969" t="s">
        <v>38</v>
      </c>
      <c r="G969" t="s">
        <v>33</v>
      </c>
    </row>
    <row r="970" spans="1:7">
      <c r="A970">
        <v>2521</v>
      </c>
      <c r="B970" t="s">
        <v>143</v>
      </c>
      <c r="C970" t="s">
        <v>79</v>
      </c>
      <c r="D970" t="s">
        <v>26</v>
      </c>
      <c r="E970" s="23" t="s">
        <v>760</v>
      </c>
      <c r="F970" t="s">
        <v>31</v>
      </c>
      <c r="G970" t="s">
        <v>40</v>
      </c>
    </row>
    <row r="971" spans="1:7">
      <c r="A971">
        <v>1269</v>
      </c>
      <c r="B971" t="s">
        <v>726</v>
      </c>
      <c r="C971" t="s">
        <v>59</v>
      </c>
      <c r="D971" t="s">
        <v>26</v>
      </c>
      <c r="E971" s="23" t="s">
        <v>744</v>
      </c>
      <c r="F971" t="s">
        <v>76</v>
      </c>
      <c r="G971" t="s">
        <v>40</v>
      </c>
    </row>
    <row r="972" spans="1:7">
      <c r="A972">
        <v>9959</v>
      </c>
      <c r="B972" t="s">
        <v>266</v>
      </c>
      <c r="C972" t="s">
        <v>39</v>
      </c>
      <c r="D972" t="s">
        <v>26</v>
      </c>
      <c r="E972" s="23" t="s">
        <v>751</v>
      </c>
      <c r="F972" t="s">
        <v>58</v>
      </c>
      <c r="G972" t="s">
        <v>93</v>
      </c>
    </row>
    <row r="973" spans="1:7">
      <c r="A973">
        <v>7549</v>
      </c>
      <c r="B973" t="s">
        <v>720</v>
      </c>
      <c r="C973" t="s">
        <v>59</v>
      </c>
      <c r="D973" t="s">
        <v>100</v>
      </c>
      <c r="E973" s="23" t="s">
        <v>749</v>
      </c>
      <c r="F973" t="s">
        <v>38</v>
      </c>
      <c r="G973" t="s">
        <v>93</v>
      </c>
    </row>
    <row r="974" spans="1:7">
      <c r="A974">
        <v>4747</v>
      </c>
      <c r="B974" t="s">
        <v>224</v>
      </c>
      <c r="C974" t="s">
        <v>79</v>
      </c>
      <c r="D974" t="s">
        <v>26</v>
      </c>
      <c r="E974" s="23" t="s">
        <v>760</v>
      </c>
      <c r="F974" t="s">
        <v>58</v>
      </c>
      <c r="G974" t="s">
        <v>60</v>
      </c>
    </row>
    <row r="975" spans="1:7">
      <c r="A975">
        <v>8320</v>
      </c>
      <c r="B975" t="s">
        <v>549</v>
      </c>
      <c r="C975" t="s">
        <v>32</v>
      </c>
      <c r="D975" t="s">
        <v>73</v>
      </c>
      <c r="E975" s="23" t="s">
        <v>775</v>
      </c>
      <c r="F975" t="s">
        <v>65</v>
      </c>
      <c r="G975" t="s">
        <v>60</v>
      </c>
    </row>
    <row r="976" spans="1:7">
      <c r="A976">
        <v>1333</v>
      </c>
      <c r="B976" t="s">
        <v>106</v>
      </c>
      <c r="C976" t="s">
        <v>69</v>
      </c>
      <c r="D976" t="s">
        <v>48</v>
      </c>
      <c r="E976" s="23" t="s">
        <v>778</v>
      </c>
      <c r="F976" t="s">
        <v>38</v>
      </c>
      <c r="G976" t="s">
        <v>40</v>
      </c>
    </row>
    <row r="977" spans="1:7">
      <c r="A977">
        <v>5254</v>
      </c>
      <c r="B977" t="s">
        <v>542</v>
      </c>
      <c r="C977" t="s">
        <v>59</v>
      </c>
      <c r="D977" t="s">
        <v>100</v>
      </c>
      <c r="E977" s="23" t="s">
        <v>749</v>
      </c>
      <c r="F977" t="s">
        <v>38</v>
      </c>
      <c r="G977" t="s">
        <v>33</v>
      </c>
    </row>
    <row r="978" spans="1:7">
      <c r="A978">
        <v>6842</v>
      </c>
      <c r="B978" t="s">
        <v>648</v>
      </c>
      <c r="C978" t="s">
        <v>79</v>
      </c>
      <c r="D978" t="s">
        <v>36</v>
      </c>
      <c r="E978" s="23" t="s">
        <v>776</v>
      </c>
      <c r="F978" t="s">
        <v>76</v>
      </c>
      <c r="G978" t="s">
        <v>33</v>
      </c>
    </row>
    <row r="979" spans="1:7">
      <c r="A979">
        <v>9333</v>
      </c>
      <c r="B979" t="s">
        <v>635</v>
      </c>
      <c r="C979" t="s">
        <v>39</v>
      </c>
      <c r="D979" t="s">
        <v>73</v>
      </c>
      <c r="E979" s="23" t="s">
        <v>752</v>
      </c>
      <c r="F979" t="s">
        <v>65</v>
      </c>
      <c r="G979" t="s">
        <v>40</v>
      </c>
    </row>
    <row r="980" spans="1:7">
      <c r="A980">
        <v>9122</v>
      </c>
      <c r="B980" t="s">
        <v>729</v>
      </c>
      <c r="C980" t="s">
        <v>39</v>
      </c>
      <c r="D980" t="s">
        <v>26</v>
      </c>
      <c r="E980" s="23" t="s">
        <v>751</v>
      </c>
      <c r="F980" t="s">
        <v>38</v>
      </c>
      <c r="G980" t="s">
        <v>40</v>
      </c>
    </row>
    <row r="981" spans="1:7">
      <c r="A981">
        <v>6221</v>
      </c>
      <c r="B981" t="s">
        <v>143</v>
      </c>
      <c r="C981" t="s">
        <v>59</v>
      </c>
      <c r="D981" t="s">
        <v>26</v>
      </c>
      <c r="E981" s="23" t="s">
        <v>744</v>
      </c>
      <c r="F981" t="s">
        <v>38</v>
      </c>
      <c r="G981" t="s">
        <v>33</v>
      </c>
    </row>
    <row r="982" spans="1:7">
      <c r="A982">
        <v>9957</v>
      </c>
      <c r="B982" t="s">
        <v>357</v>
      </c>
      <c r="C982" t="s">
        <v>79</v>
      </c>
      <c r="D982" t="s">
        <v>51</v>
      </c>
      <c r="E982" s="23" t="s">
        <v>762</v>
      </c>
      <c r="F982" t="s">
        <v>76</v>
      </c>
      <c r="G982" t="s">
        <v>33</v>
      </c>
    </row>
    <row r="983" spans="1:7">
      <c r="A983">
        <v>4680</v>
      </c>
      <c r="B983" t="s">
        <v>730</v>
      </c>
      <c r="C983" t="s">
        <v>32</v>
      </c>
      <c r="D983" t="s">
        <v>100</v>
      </c>
      <c r="E983" s="23" t="s">
        <v>766</v>
      </c>
      <c r="F983" t="s">
        <v>58</v>
      </c>
      <c r="G983" t="s">
        <v>93</v>
      </c>
    </row>
    <row r="984" spans="1:7">
      <c r="A984">
        <v>5974</v>
      </c>
      <c r="B984" t="s">
        <v>731</v>
      </c>
      <c r="C984" t="s">
        <v>59</v>
      </c>
      <c r="D984" t="s">
        <v>51</v>
      </c>
      <c r="E984" s="23" t="s">
        <v>746</v>
      </c>
      <c r="F984" t="s">
        <v>76</v>
      </c>
      <c r="G984" t="s">
        <v>40</v>
      </c>
    </row>
    <row r="985" spans="1:7">
      <c r="A985">
        <v>6938</v>
      </c>
      <c r="B985" t="s">
        <v>382</v>
      </c>
      <c r="C985" t="s">
        <v>59</v>
      </c>
      <c r="D985" t="s">
        <v>26</v>
      </c>
      <c r="E985" s="23" t="s">
        <v>744</v>
      </c>
      <c r="F985" t="s">
        <v>38</v>
      </c>
      <c r="G985" t="s">
        <v>93</v>
      </c>
    </row>
    <row r="986" spans="1:7">
      <c r="A986">
        <v>1175</v>
      </c>
      <c r="B986" t="s">
        <v>584</v>
      </c>
      <c r="C986" t="s">
        <v>39</v>
      </c>
      <c r="D986" t="s">
        <v>73</v>
      </c>
      <c r="E986" s="23" t="s">
        <v>752</v>
      </c>
      <c r="F986" t="s">
        <v>76</v>
      </c>
      <c r="G986" t="s">
        <v>93</v>
      </c>
    </row>
    <row r="987" spans="1:7">
      <c r="A987">
        <v>1260</v>
      </c>
      <c r="B987" t="s">
        <v>453</v>
      </c>
      <c r="C987" t="s">
        <v>32</v>
      </c>
      <c r="D987" t="s">
        <v>51</v>
      </c>
      <c r="E987" s="23" t="s">
        <v>773</v>
      </c>
      <c r="F987" t="s">
        <v>76</v>
      </c>
      <c r="G987" t="s">
        <v>33</v>
      </c>
    </row>
    <row r="988" spans="1:7">
      <c r="A988">
        <v>4645</v>
      </c>
      <c r="B988" t="s">
        <v>130</v>
      </c>
      <c r="C988" t="s">
        <v>32</v>
      </c>
      <c r="D988" t="s">
        <v>26</v>
      </c>
      <c r="E988" s="23" t="s">
        <v>758</v>
      </c>
      <c r="F988" t="s">
        <v>38</v>
      </c>
      <c r="G988" t="s">
        <v>93</v>
      </c>
    </row>
    <row r="989" spans="1:7">
      <c r="A989">
        <v>1637</v>
      </c>
      <c r="B989" t="s">
        <v>122</v>
      </c>
      <c r="C989" t="s">
        <v>69</v>
      </c>
      <c r="D989" t="s">
        <v>48</v>
      </c>
      <c r="E989" s="23" t="s">
        <v>778</v>
      </c>
      <c r="F989" t="s">
        <v>76</v>
      </c>
      <c r="G989" t="s">
        <v>33</v>
      </c>
    </row>
    <row r="990" spans="1:7">
      <c r="A990">
        <v>7960</v>
      </c>
      <c r="B990" t="s">
        <v>521</v>
      </c>
      <c r="C990" t="s">
        <v>59</v>
      </c>
      <c r="D990" t="s">
        <v>73</v>
      </c>
      <c r="E990" s="23" t="s">
        <v>745</v>
      </c>
      <c r="F990" t="s">
        <v>31</v>
      </c>
      <c r="G990" t="s">
        <v>60</v>
      </c>
    </row>
    <row r="991" spans="1:7">
      <c r="A991">
        <v>9693</v>
      </c>
      <c r="B991" t="s">
        <v>733</v>
      </c>
      <c r="C991" t="s">
        <v>59</v>
      </c>
      <c r="D991" t="s">
        <v>73</v>
      </c>
      <c r="E991" s="23" t="s">
        <v>745</v>
      </c>
      <c r="F991" t="s">
        <v>76</v>
      </c>
      <c r="G991" t="s">
        <v>93</v>
      </c>
    </row>
    <row r="992" spans="1:7">
      <c r="A992">
        <v>8743</v>
      </c>
      <c r="B992" t="s">
        <v>201</v>
      </c>
      <c r="C992" t="s">
        <v>69</v>
      </c>
      <c r="D992" t="s">
        <v>26</v>
      </c>
      <c r="E992" s="23" t="s">
        <v>759</v>
      </c>
      <c r="F992" t="s">
        <v>31</v>
      </c>
      <c r="G992" t="s">
        <v>60</v>
      </c>
    </row>
    <row r="993" spans="1:7">
      <c r="A993">
        <v>3379</v>
      </c>
      <c r="B993" t="s">
        <v>695</v>
      </c>
      <c r="C993" t="s">
        <v>79</v>
      </c>
      <c r="D993" t="s">
        <v>48</v>
      </c>
      <c r="E993" s="23" t="s">
        <v>768</v>
      </c>
      <c r="F993" t="s">
        <v>76</v>
      </c>
      <c r="G993" t="s">
        <v>93</v>
      </c>
    </row>
    <row r="994" spans="1:7">
      <c r="A994">
        <v>7696</v>
      </c>
      <c r="B994" t="s">
        <v>224</v>
      </c>
      <c r="C994" t="s">
        <v>69</v>
      </c>
      <c r="D994" t="s">
        <v>26</v>
      </c>
      <c r="E994" s="23" t="s">
        <v>759</v>
      </c>
      <c r="F994" t="s">
        <v>65</v>
      </c>
      <c r="G994" t="s">
        <v>93</v>
      </c>
    </row>
    <row r="995" spans="1:7">
      <c r="A995">
        <v>8552</v>
      </c>
      <c r="B995" t="s">
        <v>23</v>
      </c>
      <c r="C995" t="s">
        <v>79</v>
      </c>
      <c r="D995" t="s">
        <v>26</v>
      </c>
      <c r="E995" s="23" t="s">
        <v>760</v>
      </c>
      <c r="F995" t="s">
        <v>38</v>
      </c>
      <c r="G995" t="s">
        <v>60</v>
      </c>
    </row>
    <row r="996" spans="1:7">
      <c r="A996">
        <v>5065</v>
      </c>
      <c r="B996" t="s">
        <v>257</v>
      </c>
      <c r="C996" t="s">
        <v>79</v>
      </c>
      <c r="D996" t="s">
        <v>100</v>
      </c>
      <c r="E996" s="23" t="s">
        <v>769</v>
      </c>
      <c r="F996" t="s">
        <v>38</v>
      </c>
      <c r="G996" t="s">
        <v>93</v>
      </c>
    </row>
    <row r="997" spans="1:7">
      <c r="A997">
        <v>6878</v>
      </c>
      <c r="B997" t="s">
        <v>52</v>
      </c>
      <c r="C997" t="s">
        <v>32</v>
      </c>
      <c r="D997" t="s">
        <v>48</v>
      </c>
      <c r="E997" s="23" t="s">
        <v>770</v>
      </c>
      <c r="F997" t="s">
        <v>76</v>
      </c>
      <c r="G997" t="s">
        <v>33</v>
      </c>
    </row>
    <row r="998" spans="1:7">
      <c r="A998">
        <v>5681</v>
      </c>
      <c r="B998" t="s">
        <v>254</v>
      </c>
      <c r="C998" t="s">
        <v>59</v>
      </c>
      <c r="D998" t="s">
        <v>100</v>
      </c>
      <c r="E998" s="23" t="s">
        <v>749</v>
      </c>
      <c r="F998" t="s">
        <v>38</v>
      </c>
      <c r="G998" t="s">
        <v>60</v>
      </c>
    </row>
    <row r="999" spans="1:7">
      <c r="A999">
        <v>4448</v>
      </c>
      <c r="B999" t="s">
        <v>179</v>
      </c>
      <c r="C999" t="s">
        <v>32</v>
      </c>
      <c r="D999" t="s">
        <v>48</v>
      </c>
      <c r="E999" s="23" t="s">
        <v>770</v>
      </c>
      <c r="F999" t="s">
        <v>76</v>
      </c>
      <c r="G999" t="s">
        <v>60</v>
      </c>
    </row>
    <row r="1000" spans="1:7">
      <c r="A1000">
        <v>5795</v>
      </c>
      <c r="B1000" t="s">
        <v>224</v>
      </c>
      <c r="C1000" t="s">
        <v>39</v>
      </c>
      <c r="D1000" t="s">
        <v>26</v>
      </c>
      <c r="E1000" s="23" t="s">
        <v>751</v>
      </c>
      <c r="F1000" t="s">
        <v>65</v>
      </c>
      <c r="G1000" t="s">
        <v>60</v>
      </c>
    </row>
    <row r="1001" spans="1:7">
      <c r="A1001">
        <v>5320</v>
      </c>
      <c r="B1001" t="s">
        <v>201</v>
      </c>
      <c r="C1001" t="s">
        <v>39</v>
      </c>
      <c r="D1001" t="s">
        <v>51</v>
      </c>
      <c r="E1001" s="23" t="s">
        <v>753</v>
      </c>
      <c r="F1001" t="s">
        <v>58</v>
      </c>
      <c r="G100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K1001"/>
  <sheetViews>
    <sheetView workbookViewId="0">
      <selection activeCell="E7" sqref="E7"/>
    </sheetView>
    <sheetView tabSelected="1" workbookViewId="1"/>
    <sheetView workbookViewId="2">
      <selection activeCell="I17" sqref="I17"/>
    </sheetView>
  </sheetViews>
  <sheetFormatPr defaultRowHeight="14.4"/>
  <cols>
    <col min="2" max="2" width="10.77734375" bestFit="1" customWidth="1"/>
    <col min="3" max="3" width="18.109375" bestFit="1" customWidth="1"/>
    <col min="4" max="4" width="13.44140625" bestFit="1" customWidth="1"/>
  </cols>
  <sheetData>
    <row r="1" spans="1:11" ht="15" thickBot="1">
      <c r="A1" s="2" t="s">
        <v>0</v>
      </c>
      <c r="B1" s="2" t="s">
        <v>1</v>
      </c>
      <c r="C1" s="2" t="s">
        <v>18</v>
      </c>
      <c r="D1" s="2" t="s">
        <v>19</v>
      </c>
      <c r="E1" s="2"/>
      <c r="F1" s="2" t="s">
        <v>17</v>
      </c>
      <c r="G1" s="2"/>
      <c r="H1" s="2"/>
      <c r="I1" s="2"/>
    </row>
    <row r="2" spans="1:11">
      <c r="A2">
        <v>2518</v>
      </c>
      <c r="B2" t="s">
        <v>23</v>
      </c>
      <c r="C2" t="s">
        <v>30</v>
      </c>
      <c r="D2">
        <v>2878</v>
      </c>
      <c r="F2" t="b">
        <v>0</v>
      </c>
      <c r="J2" s="38" t="s">
        <v>788</v>
      </c>
      <c r="K2" s="39" t="s">
        <v>789</v>
      </c>
    </row>
    <row r="3" spans="1:11">
      <c r="A3">
        <v>6430</v>
      </c>
      <c r="B3" t="s">
        <v>34</v>
      </c>
      <c r="C3" t="s">
        <v>30</v>
      </c>
      <c r="D3">
        <v>2291</v>
      </c>
      <c r="F3" t="b">
        <v>0</v>
      </c>
      <c r="J3" s="40" t="s">
        <v>30</v>
      </c>
      <c r="K3" s="41">
        <f>COUNTIF(C:C,J3)</f>
        <v>1000</v>
      </c>
    </row>
    <row r="4" spans="1:11" ht="15" thickBot="1">
      <c r="A4">
        <v>1798</v>
      </c>
      <c r="B4" t="s">
        <v>41</v>
      </c>
      <c r="C4" t="s">
        <v>30</v>
      </c>
      <c r="D4">
        <v>1692</v>
      </c>
      <c r="F4" t="b">
        <v>0</v>
      </c>
      <c r="J4" s="42" t="s">
        <v>787</v>
      </c>
      <c r="K4" s="43">
        <f>COUNTIF(C:C,J4)</f>
        <v>0</v>
      </c>
    </row>
    <row r="5" spans="1:11">
      <c r="A5">
        <v>5255</v>
      </c>
      <c r="B5" t="s">
        <v>46</v>
      </c>
      <c r="C5" t="s">
        <v>30</v>
      </c>
      <c r="D5">
        <v>952</v>
      </c>
      <c r="F5" t="b">
        <v>0</v>
      </c>
    </row>
    <row r="6" spans="1:11">
      <c r="A6">
        <v>2854</v>
      </c>
      <c r="B6" t="s">
        <v>50</v>
      </c>
      <c r="C6" t="s">
        <v>30</v>
      </c>
      <c r="D6">
        <v>1823</v>
      </c>
      <c r="F6" t="b">
        <v>0</v>
      </c>
    </row>
    <row r="7" spans="1:11">
      <c r="A7">
        <v>6735</v>
      </c>
      <c r="B7" t="s">
        <v>52</v>
      </c>
      <c r="C7" t="s">
        <v>30</v>
      </c>
      <c r="D7">
        <v>33</v>
      </c>
      <c r="F7" t="b">
        <v>1</v>
      </c>
    </row>
    <row r="8" spans="1:11">
      <c r="A8">
        <v>2995</v>
      </c>
      <c r="B8" t="s">
        <v>61</v>
      </c>
      <c r="C8" t="s">
        <v>30</v>
      </c>
      <c r="D8">
        <v>755</v>
      </c>
      <c r="F8" t="b">
        <v>0</v>
      </c>
    </row>
    <row r="9" spans="1:11">
      <c r="A9">
        <v>5120</v>
      </c>
      <c r="B9" t="s">
        <v>66</v>
      </c>
      <c r="C9" t="s">
        <v>30</v>
      </c>
      <c r="D9">
        <v>2866</v>
      </c>
      <c r="F9" t="b">
        <v>1</v>
      </c>
    </row>
    <row r="10" spans="1:11">
      <c r="A10">
        <v>6063</v>
      </c>
      <c r="B10" t="s">
        <v>70</v>
      </c>
      <c r="C10" t="s">
        <v>30</v>
      </c>
      <c r="D10">
        <v>336</v>
      </c>
      <c r="F10" t="b">
        <v>1</v>
      </c>
    </row>
    <row r="11" spans="1:11">
      <c r="A11">
        <v>6896</v>
      </c>
      <c r="B11" t="s">
        <v>77</v>
      </c>
      <c r="C11" t="s">
        <v>30</v>
      </c>
      <c r="D11">
        <v>3898</v>
      </c>
      <c r="F11" t="b">
        <v>0</v>
      </c>
    </row>
    <row r="12" spans="1:11">
      <c r="A12">
        <v>8447</v>
      </c>
      <c r="B12" t="s">
        <v>80</v>
      </c>
      <c r="C12" t="s">
        <v>30</v>
      </c>
      <c r="D12">
        <v>650</v>
      </c>
      <c r="F12" t="b">
        <v>0</v>
      </c>
    </row>
    <row r="13" spans="1:11">
      <c r="A13">
        <v>1433</v>
      </c>
      <c r="B13" t="s">
        <v>83</v>
      </c>
      <c r="C13" t="s">
        <v>30</v>
      </c>
      <c r="D13">
        <v>185</v>
      </c>
      <c r="F13" t="b">
        <v>0</v>
      </c>
    </row>
    <row r="14" spans="1:11">
      <c r="A14">
        <v>4511</v>
      </c>
      <c r="B14" t="s">
        <v>85</v>
      </c>
      <c r="C14" t="s">
        <v>30</v>
      </c>
      <c r="D14">
        <v>1547</v>
      </c>
      <c r="F14" t="b">
        <v>0</v>
      </c>
    </row>
    <row r="15" spans="1:11">
      <c r="A15">
        <v>9966</v>
      </c>
      <c r="B15" t="s">
        <v>88</v>
      </c>
      <c r="C15" t="s">
        <v>30</v>
      </c>
      <c r="D15">
        <v>3788</v>
      </c>
      <c r="F15" t="b">
        <v>1</v>
      </c>
    </row>
    <row r="16" spans="1:11">
      <c r="A16">
        <v>7093</v>
      </c>
      <c r="B16" t="s">
        <v>91</v>
      </c>
      <c r="C16" t="s">
        <v>30</v>
      </c>
      <c r="D16">
        <v>1051</v>
      </c>
      <c r="F16" t="b">
        <v>1</v>
      </c>
    </row>
    <row r="17" spans="1:6">
      <c r="A17">
        <v>4351</v>
      </c>
      <c r="B17" t="s">
        <v>94</v>
      </c>
      <c r="C17" t="s">
        <v>30</v>
      </c>
      <c r="D17">
        <v>633</v>
      </c>
      <c r="F17" t="b">
        <v>1</v>
      </c>
    </row>
    <row r="18" spans="1:6">
      <c r="A18">
        <v>6007</v>
      </c>
      <c r="B18" t="s">
        <v>96</v>
      </c>
      <c r="C18" t="s">
        <v>30</v>
      </c>
      <c r="D18">
        <v>4133</v>
      </c>
      <c r="F18" t="b">
        <v>0</v>
      </c>
    </row>
    <row r="19" spans="1:6">
      <c r="A19">
        <v>9710</v>
      </c>
      <c r="B19" t="s">
        <v>98</v>
      </c>
      <c r="C19" t="s">
        <v>30</v>
      </c>
      <c r="D19">
        <v>1159</v>
      </c>
      <c r="F19" t="b">
        <v>1</v>
      </c>
    </row>
    <row r="20" spans="1:6">
      <c r="A20">
        <v>9034</v>
      </c>
      <c r="B20" t="s">
        <v>101</v>
      </c>
      <c r="C20" t="s">
        <v>30</v>
      </c>
      <c r="D20">
        <v>4673</v>
      </c>
      <c r="F20" t="b">
        <v>1</v>
      </c>
    </row>
    <row r="21" spans="1:6">
      <c r="A21">
        <v>6197</v>
      </c>
      <c r="B21" t="s">
        <v>104</v>
      </c>
      <c r="C21" t="s">
        <v>30</v>
      </c>
      <c r="D21">
        <v>4200</v>
      </c>
      <c r="F21" t="b">
        <v>0</v>
      </c>
    </row>
    <row r="22" spans="1:6">
      <c r="A22">
        <v>2820</v>
      </c>
      <c r="B22" t="s">
        <v>106</v>
      </c>
      <c r="C22" t="s">
        <v>30</v>
      </c>
      <c r="D22">
        <v>3607</v>
      </c>
      <c r="F22" t="b">
        <v>0</v>
      </c>
    </row>
    <row r="23" spans="1:6">
      <c r="A23">
        <v>1101</v>
      </c>
      <c r="B23" t="s">
        <v>52</v>
      </c>
      <c r="C23" t="s">
        <v>30</v>
      </c>
      <c r="D23">
        <v>4602</v>
      </c>
      <c r="F23" t="b">
        <v>1</v>
      </c>
    </row>
    <row r="24" spans="1:6">
      <c r="A24">
        <v>1650</v>
      </c>
      <c r="B24" t="s">
        <v>98</v>
      </c>
      <c r="C24" t="s">
        <v>30</v>
      </c>
      <c r="D24">
        <v>256</v>
      </c>
      <c r="F24" t="b">
        <v>1</v>
      </c>
    </row>
    <row r="25" spans="1:6">
      <c r="A25">
        <v>4884</v>
      </c>
      <c r="B25" t="s">
        <v>110</v>
      </c>
      <c r="C25" t="s">
        <v>30</v>
      </c>
      <c r="D25">
        <v>2406</v>
      </c>
      <c r="F25" t="b">
        <v>0</v>
      </c>
    </row>
    <row r="26" spans="1:6">
      <c r="A26">
        <v>8321</v>
      </c>
      <c r="B26" t="s">
        <v>112</v>
      </c>
      <c r="C26" t="s">
        <v>30</v>
      </c>
      <c r="D26">
        <v>1394</v>
      </c>
      <c r="F26" t="b">
        <v>1</v>
      </c>
    </row>
    <row r="27" spans="1:6">
      <c r="A27">
        <v>2381</v>
      </c>
      <c r="B27" t="s">
        <v>114</v>
      </c>
      <c r="C27" t="s">
        <v>30</v>
      </c>
      <c r="D27">
        <v>1856</v>
      </c>
      <c r="F27" t="b">
        <v>1</v>
      </c>
    </row>
    <row r="28" spans="1:6">
      <c r="A28">
        <v>9507</v>
      </c>
      <c r="B28" t="s">
        <v>116</v>
      </c>
      <c r="C28" t="s">
        <v>30</v>
      </c>
      <c r="D28">
        <v>1665</v>
      </c>
      <c r="F28" t="b">
        <v>1</v>
      </c>
    </row>
    <row r="29" spans="1:6">
      <c r="A29">
        <v>2851</v>
      </c>
      <c r="B29" t="s">
        <v>118</v>
      </c>
      <c r="C29" t="s">
        <v>30</v>
      </c>
      <c r="D29">
        <v>2759</v>
      </c>
      <c r="F29" t="b">
        <v>0</v>
      </c>
    </row>
    <row r="30" spans="1:6">
      <c r="A30">
        <v>4083</v>
      </c>
      <c r="B30" t="s">
        <v>120</v>
      </c>
      <c r="C30" t="s">
        <v>30</v>
      </c>
      <c r="D30">
        <v>3433</v>
      </c>
      <c r="F30" t="b">
        <v>1</v>
      </c>
    </row>
    <row r="31" spans="1:6">
      <c r="A31">
        <v>4608</v>
      </c>
      <c r="B31" t="s">
        <v>122</v>
      </c>
      <c r="C31" t="s">
        <v>30</v>
      </c>
      <c r="D31">
        <v>3966</v>
      </c>
      <c r="F31" t="b">
        <v>1</v>
      </c>
    </row>
    <row r="32" spans="1:6">
      <c r="A32">
        <v>4815</v>
      </c>
      <c r="B32" t="s">
        <v>124</v>
      </c>
      <c r="C32" t="s">
        <v>30</v>
      </c>
      <c r="D32">
        <v>4185</v>
      </c>
      <c r="F32" t="b">
        <v>1</v>
      </c>
    </row>
    <row r="33" spans="1:6">
      <c r="A33">
        <v>9597</v>
      </c>
      <c r="B33" t="s">
        <v>125</v>
      </c>
      <c r="C33" t="s">
        <v>30</v>
      </c>
      <c r="D33">
        <v>784</v>
      </c>
      <c r="F33" t="b">
        <v>0</v>
      </c>
    </row>
    <row r="34" spans="1:6">
      <c r="A34">
        <v>6566</v>
      </c>
      <c r="B34" t="s">
        <v>126</v>
      </c>
      <c r="C34" t="s">
        <v>30</v>
      </c>
      <c r="D34">
        <v>3428</v>
      </c>
      <c r="F34" t="b">
        <v>1</v>
      </c>
    </row>
    <row r="35" spans="1:6">
      <c r="A35">
        <v>1419</v>
      </c>
      <c r="B35" t="s">
        <v>128</v>
      </c>
      <c r="C35" t="s">
        <v>30</v>
      </c>
      <c r="D35">
        <v>4245</v>
      </c>
      <c r="F35" t="b">
        <v>0</v>
      </c>
    </row>
    <row r="36" spans="1:6">
      <c r="A36">
        <v>9470</v>
      </c>
      <c r="B36" t="s">
        <v>130</v>
      </c>
      <c r="C36" t="s">
        <v>30</v>
      </c>
      <c r="D36">
        <v>2580</v>
      </c>
      <c r="F36" t="b">
        <v>1</v>
      </c>
    </row>
    <row r="37" spans="1:6">
      <c r="A37">
        <v>4989</v>
      </c>
      <c r="B37" t="s">
        <v>132</v>
      </c>
      <c r="C37" t="s">
        <v>30</v>
      </c>
      <c r="D37">
        <v>2779</v>
      </c>
      <c r="F37" t="b">
        <v>0</v>
      </c>
    </row>
    <row r="38" spans="1:6">
      <c r="A38">
        <v>9389</v>
      </c>
      <c r="B38" t="s">
        <v>133</v>
      </c>
      <c r="C38" t="s">
        <v>30</v>
      </c>
      <c r="D38">
        <v>2318</v>
      </c>
      <c r="F38" t="b">
        <v>0</v>
      </c>
    </row>
    <row r="39" spans="1:6">
      <c r="A39">
        <v>7728</v>
      </c>
      <c r="B39" t="s">
        <v>135</v>
      </c>
      <c r="C39" t="s">
        <v>30</v>
      </c>
      <c r="D39">
        <v>827</v>
      </c>
      <c r="F39" t="b">
        <v>1</v>
      </c>
    </row>
    <row r="40" spans="1:6">
      <c r="A40">
        <v>7943</v>
      </c>
      <c r="B40" t="s">
        <v>137</v>
      </c>
      <c r="C40" t="s">
        <v>30</v>
      </c>
      <c r="D40">
        <v>2670</v>
      </c>
      <c r="F40" t="b">
        <v>1</v>
      </c>
    </row>
    <row r="41" spans="1:6">
      <c r="A41">
        <v>2490</v>
      </c>
      <c r="B41" t="s">
        <v>138</v>
      </c>
      <c r="C41" t="s">
        <v>30</v>
      </c>
      <c r="D41">
        <v>2409</v>
      </c>
      <c r="F41" t="b">
        <v>0</v>
      </c>
    </row>
    <row r="42" spans="1:6">
      <c r="A42">
        <v>5042</v>
      </c>
      <c r="B42" t="s">
        <v>140</v>
      </c>
      <c r="C42" t="s">
        <v>30</v>
      </c>
      <c r="D42">
        <v>1577</v>
      </c>
      <c r="F42" t="b">
        <v>0</v>
      </c>
    </row>
    <row r="43" spans="1:6">
      <c r="A43">
        <v>3620</v>
      </c>
      <c r="B43" t="s">
        <v>142</v>
      </c>
      <c r="C43" t="s">
        <v>30</v>
      </c>
      <c r="D43">
        <v>4072</v>
      </c>
      <c r="F43" t="b">
        <v>0</v>
      </c>
    </row>
    <row r="44" spans="1:6">
      <c r="A44">
        <v>8976</v>
      </c>
      <c r="B44" t="s">
        <v>143</v>
      </c>
      <c r="C44" t="s">
        <v>30</v>
      </c>
      <c r="D44">
        <v>3432</v>
      </c>
      <c r="F44" t="b">
        <v>1</v>
      </c>
    </row>
    <row r="45" spans="1:6">
      <c r="A45">
        <v>1570</v>
      </c>
      <c r="B45" t="s">
        <v>138</v>
      </c>
      <c r="C45" t="s">
        <v>30</v>
      </c>
      <c r="D45">
        <v>4511</v>
      </c>
      <c r="F45" t="b">
        <v>1</v>
      </c>
    </row>
    <row r="46" spans="1:6">
      <c r="A46">
        <v>7709</v>
      </c>
      <c r="B46" t="s">
        <v>146</v>
      </c>
      <c r="C46" t="s">
        <v>30</v>
      </c>
      <c r="D46">
        <v>583</v>
      </c>
      <c r="F46" t="b">
        <v>1</v>
      </c>
    </row>
    <row r="47" spans="1:6">
      <c r="A47">
        <v>9503</v>
      </c>
      <c r="B47" t="s">
        <v>147</v>
      </c>
      <c r="C47" t="s">
        <v>30</v>
      </c>
      <c r="D47">
        <v>3626</v>
      </c>
      <c r="F47" t="b">
        <v>1</v>
      </c>
    </row>
    <row r="48" spans="1:6">
      <c r="A48">
        <v>9564</v>
      </c>
      <c r="B48" t="s">
        <v>148</v>
      </c>
      <c r="C48" t="s">
        <v>30</v>
      </c>
      <c r="D48">
        <v>476</v>
      </c>
      <c r="F48" t="b">
        <v>1</v>
      </c>
    </row>
    <row r="49" spans="1:6">
      <c r="A49">
        <v>8934</v>
      </c>
      <c r="B49" t="s">
        <v>150</v>
      </c>
      <c r="C49" t="s">
        <v>30</v>
      </c>
      <c r="D49">
        <v>4114</v>
      </c>
      <c r="F49" t="b">
        <v>0</v>
      </c>
    </row>
    <row r="50" spans="1:6">
      <c r="A50">
        <v>1222</v>
      </c>
      <c r="B50" t="s">
        <v>152</v>
      </c>
      <c r="C50" t="s">
        <v>30</v>
      </c>
      <c r="D50">
        <v>1581</v>
      </c>
      <c r="F50" t="b">
        <v>1</v>
      </c>
    </row>
    <row r="51" spans="1:6">
      <c r="A51">
        <v>5762</v>
      </c>
      <c r="B51" t="s">
        <v>153</v>
      </c>
      <c r="C51" t="s">
        <v>30</v>
      </c>
      <c r="D51">
        <v>1293</v>
      </c>
      <c r="F51" t="b">
        <v>1</v>
      </c>
    </row>
    <row r="52" spans="1:6">
      <c r="A52">
        <v>4066</v>
      </c>
      <c r="B52" t="s">
        <v>143</v>
      </c>
      <c r="C52" t="s">
        <v>30</v>
      </c>
      <c r="D52">
        <v>1744</v>
      </c>
      <c r="F52" t="b">
        <v>1</v>
      </c>
    </row>
    <row r="53" spans="1:6">
      <c r="A53">
        <v>6469</v>
      </c>
      <c r="B53" t="s">
        <v>98</v>
      </c>
      <c r="C53" t="s">
        <v>30</v>
      </c>
      <c r="D53">
        <v>448</v>
      </c>
      <c r="F53" t="b">
        <v>1</v>
      </c>
    </row>
    <row r="54" spans="1:6">
      <c r="A54">
        <v>1364</v>
      </c>
      <c r="B54" t="s">
        <v>157</v>
      </c>
      <c r="C54" t="s">
        <v>30</v>
      </c>
      <c r="D54">
        <v>3398</v>
      </c>
      <c r="F54" t="b">
        <v>1</v>
      </c>
    </row>
    <row r="55" spans="1:6">
      <c r="A55">
        <v>4197</v>
      </c>
      <c r="B55" t="s">
        <v>143</v>
      </c>
      <c r="C55" t="s">
        <v>30</v>
      </c>
      <c r="D55">
        <v>4691</v>
      </c>
      <c r="F55" t="b">
        <v>1</v>
      </c>
    </row>
    <row r="56" spans="1:6">
      <c r="A56">
        <v>9700</v>
      </c>
      <c r="B56" t="s">
        <v>160</v>
      </c>
      <c r="C56" t="s">
        <v>30</v>
      </c>
      <c r="D56">
        <v>4674</v>
      </c>
      <c r="F56" t="b">
        <v>1</v>
      </c>
    </row>
    <row r="57" spans="1:6">
      <c r="A57">
        <v>5644</v>
      </c>
      <c r="B57" t="s">
        <v>126</v>
      </c>
      <c r="C57" t="s">
        <v>30</v>
      </c>
      <c r="D57">
        <v>3641</v>
      </c>
      <c r="F57" t="b">
        <v>0</v>
      </c>
    </row>
    <row r="58" spans="1:6">
      <c r="A58">
        <v>5420</v>
      </c>
      <c r="B58" t="s">
        <v>162</v>
      </c>
      <c r="C58" t="s">
        <v>30</v>
      </c>
      <c r="D58">
        <v>1765</v>
      </c>
      <c r="F58" t="b">
        <v>0</v>
      </c>
    </row>
    <row r="59" spans="1:6">
      <c r="A59">
        <v>7560</v>
      </c>
      <c r="B59" t="s">
        <v>164</v>
      </c>
      <c r="C59" t="s">
        <v>30</v>
      </c>
      <c r="D59">
        <v>3462</v>
      </c>
      <c r="F59" t="b">
        <v>1</v>
      </c>
    </row>
    <row r="60" spans="1:6">
      <c r="A60">
        <v>9644</v>
      </c>
      <c r="B60" t="s">
        <v>106</v>
      </c>
      <c r="C60" t="s">
        <v>30</v>
      </c>
      <c r="D60">
        <v>790</v>
      </c>
      <c r="F60" t="b">
        <v>1</v>
      </c>
    </row>
    <row r="61" spans="1:6">
      <c r="A61">
        <v>7239</v>
      </c>
      <c r="B61" t="s">
        <v>166</v>
      </c>
      <c r="C61" t="s">
        <v>30</v>
      </c>
      <c r="D61">
        <v>4732</v>
      </c>
      <c r="F61" t="b">
        <v>0</v>
      </c>
    </row>
    <row r="62" spans="1:6">
      <c r="A62">
        <v>6415</v>
      </c>
      <c r="B62" t="s">
        <v>169</v>
      </c>
      <c r="C62" t="s">
        <v>30</v>
      </c>
      <c r="D62">
        <v>4599</v>
      </c>
      <c r="F62" t="b">
        <v>0</v>
      </c>
    </row>
    <row r="63" spans="1:6">
      <c r="A63">
        <v>9020</v>
      </c>
      <c r="B63" t="s">
        <v>170</v>
      </c>
      <c r="C63" t="s">
        <v>30</v>
      </c>
      <c r="D63">
        <v>965</v>
      </c>
      <c r="F63" t="b">
        <v>1</v>
      </c>
    </row>
    <row r="64" spans="1:6">
      <c r="A64">
        <v>2324</v>
      </c>
      <c r="B64" t="s">
        <v>171</v>
      </c>
      <c r="C64" t="s">
        <v>30</v>
      </c>
      <c r="D64">
        <v>1155</v>
      </c>
      <c r="F64" t="b">
        <v>0</v>
      </c>
    </row>
    <row r="65" spans="1:6">
      <c r="A65">
        <v>1354</v>
      </c>
      <c r="B65" t="s">
        <v>172</v>
      </c>
      <c r="C65" t="s">
        <v>30</v>
      </c>
      <c r="D65">
        <v>1110</v>
      </c>
      <c r="F65" t="b">
        <v>0</v>
      </c>
    </row>
    <row r="66" spans="1:6">
      <c r="A66">
        <v>4019</v>
      </c>
      <c r="B66" t="s">
        <v>174</v>
      </c>
      <c r="C66" t="s">
        <v>30</v>
      </c>
      <c r="D66">
        <v>1911</v>
      </c>
      <c r="F66" t="b">
        <v>0</v>
      </c>
    </row>
    <row r="67" spans="1:6">
      <c r="A67">
        <v>6178</v>
      </c>
      <c r="B67" t="s">
        <v>176</v>
      </c>
      <c r="C67" t="s">
        <v>30</v>
      </c>
      <c r="D67">
        <v>1721</v>
      </c>
      <c r="F67" t="b">
        <v>0</v>
      </c>
    </row>
    <row r="68" spans="1:6">
      <c r="A68">
        <v>8673</v>
      </c>
      <c r="B68" t="s">
        <v>135</v>
      </c>
      <c r="C68" t="s">
        <v>30</v>
      </c>
      <c r="D68">
        <v>353</v>
      </c>
      <c r="F68" t="b">
        <v>0</v>
      </c>
    </row>
    <row r="69" spans="1:6">
      <c r="A69">
        <v>8250</v>
      </c>
      <c r="B69" t="s">
        <v>177</v>
      </c>
      <c r="C69" t="s">
        <v>30</v>
      </c>
      <c r="D69">
        <v>423</v>
      </c>
      <c r="F69" t="b">
        <v>1</v>
      </c>
    </row>
    <row r="70" spans="1:6">
      <c r="A70">
        <v>1609</v>
      </c>
      <c r="B70" t="s">
        <v>179</v>
      </c>
      <c r="C70" t="s">
        <v>30</v>
      </c>
      <c r="D70">
        <v>344</v>
      </c>
      <c r="F70" t="b">
        <v>0</v>
      </c>
    </row>
    <row r="71" spans="1:6">
      <c r="A71">
        <v>3806</v>
      </c>
      <c r="B71" t="s">
        <v>181</v>
      </c>
      <c r="C71" t="s">
        <v>30</v>
      </c>
      <c r="D71">
        <v>4117</v>
      </c>
      <c r="F71" t="b">
        <v>1</v>
      </c>
    </row>
    <row r="72" spans="1:6">
      <c r="A72">
        <v>7973</v>
      </c>
      <c r="B72" t="s">
        <v>183</v>
      </c>
      <c r="C72" t="s">
        <v>30</v>
      </c>
      <c r="D72">
        <v>3983</v>
      </c>
      <c r="F72" t="b">
        <v>1</v>
      </c>
    </row>
    <row r="73" spans="1:6">
      <c r="A73">
        <v>7948</v>
      </c>
      <c r="B73" t="s">
        <v>184</v>
      </c>
      <c r="C73" t="s">
        <v>30</v>
      </c>
      <c r="D73">
        <v>3941</v>
      </c>
      <c r="F73" t="b">
        <v>0</v>
      </c>
    </row>
    <row r="74" spans="1:6">
      <c r="A74">
        <v>3195</v>
      </c>
      <c r="B74" t="s">
        <v>186</v>
      </c>
      <c r="C74" t="s">
        <v>30</v>
      </c>
      <c r="D74">
        <v>3085</v>
      </c>
      <c r="F74" t="b">
        <v>0</v>
      </c>
    </row>
    <row r="75" spans="1:6">
      <c r="A75">
        <v>6285</v>
      </c>
      <c r="B75" t="s">
        <v>188</v>
      </c>
      <c r="C75" t="s">
        <v>30</v>
      </c>
      <c r="D75">
        <v>48</v>
      </c>
      <c r="F75" t="b">
        <v>1</v>
      </c>
    </row>
    <row r="76" spans="1:6">
      <c r="A76">
        <v>4303</v>
      </c>
      <c r="B76" t="s">
        <v>179</v>
      </c>
      <c r="C76" t="s">
        <v>30</v>
      </c>
      <c r="D76">
        <v>1520</v>
      </c>
      <c r="F76" t="b">
        <v>0</v>
      </c>
    </row>
    <row r="77" spans="1:6">
      <c r="A77">
        <v>7751</v>
      </c>
      <c r="B77" t="s">
        <v>190</v>
      </c>
      <c r="C77" t="s">
        <v>30</v>
      </c>
      <c r="D77">
        <v>935</v>
      </c>
      <c r="F77" t="b">
        <v>1</v>
      </c>
    </row>
    <row r="78" spans="1:6">
      <c r="A78">
        <v>7813</v>
      </c>
      <c r="B78" t="s">
        <v>191</v>
      </c>
      <c r="C78" t="s">
        <v>30</v>
      </c>
      <c r="D78">
        <v>4641</v>
      </c>
      <c r="F78" t="b">
        <v>1</v>
      </c>
    </row>
    <row r="79" spans="1:6">
      <c r="A79">
        <v>9028</v>
      </c>
      <c r="B79" t="s">
        <v>193</v>
      </c>
      <c r="C79" t="s">
        <v>30</v>
      </c>
      <c r="D79">
        <v>2941</v>
      </c>
      <c r="F79" t="b">
        <v>1</v>
      </c>
    </row>
    <row r="80" spans="1:6">
      <c r="A80">
        <v>6109</v>
      </c>
      <c r="B80" t="s">
        <v>194</v>
      </c>
      <c r="C80" t="s">
        <v>30</v>
      </c>
      <c r="D80">
        <v>1325</v>
      </c>
      <c r="F80" t="b">
        <v>1</v>
      </c>
    </row>
    <row r="81" spans="1:6">
      <c r="A81">
        <v>2565</v>
      </c>
      <c r="B81" t="s">
        <v>196</v>
      </c>
      <c r="C81" t="s">
        <v>30</v>
      </c>
      <c r="D81">
        <v>4465</v>
      </c>
      <c r="F81" t="b">
        <v>0</v>
      </c>
    </row>
    <row r="82" spans="1:6">
      <c r="A82">
        <v>7551</v>
      </c>
      <c r="B82" t="s">
        <v>197</v>
      </c>
      <c r="C82" t="s">
        <v>30</v>
      </c>
      <c r="D82">
        <v>3517</v>
      </c>
      <c r="F82" t="b">
        <v>1</v>
      </c>
    </row>
    <row r="83" spans="1:6">
      <c r="A83">
        <v>6398</v>
      </c>
      <c r="B83" t="s">
        <v>199</v>
      </c>
      <c r="C83" t="s">
        <v>30</v>
      </c>
      <c r="D83">
        <v>1672</v>
      </c>
      <c r="F83" t="b">
        <v>0</v>
      </c>
    </row>
    <row r="84" spans="1:6">
      <c r="A84">
        <v>4982</v>
      </c>
      <c r="B84" t="s">
        <v>201</v>
      </c>
      <c r="C84" t="s">
        <v>30</v>
      </c>
      <c r="D84">
        <v>2164</v>
      </c>
      <c r="F84" t="b">
        <v>1</v>
      </c>
    </row>
    <row r="85" spans="1:6">
      <c r="A85">
        <v>8108</v>
      </c>
      <c r="B85" t="s">
        <v>202</v>
      </c>
      <c r="C85" t="s">
        <v>30</v>
      </c>
      <c r="D85">
        <v>3663</v>
      </c>
      <c r="F85" t="b">
        <v>0</v>
      </c>
    </row>
    <row r="86" spans="1:6">
      <c r="A86">
        <v>6779</v>
      </c>
      <c r="B86" t="s">
        <v>204</v>
      </c>
      <c r="C86" t="s">
        <v>30</v>
      </c>
      <c r="D86">
        <v>2845</v>
      </c>
      <c r="F86" t="b">
        <v>1</v>
      </c>
    </row>
    <row r="87" spans="1:6">
      <c r="A87">
        <v>1169</v>
      </c>
      <c r="B87" t="s">
        <v>157</v>
      </c>
      <c r="C87" t="s">
        <v>30</v>
      </c>
      <c r="D87">
        <v>2390</v>
      </c>
      <c r="F87" t="b">
        <v>0</v>
      </c>
    </row>
    <row r="88" spans="1:6">
      <c r="A88">
        <v>5067</v>
      </c>
      <c r="B88" t="s">
        <v>207</v>
      </c>
      <c r="C88" t="s">
        <v>30</v>
      </c>
      <c r="D88">
        <v>234</v>
      </c>
      <c r="F88" t="b">
        <v>0</v>
      </c>
    </row>
    <row r="89" spans="1:6">
      <c r="A89">
        <v>5299</v>
      </c>
      <c r="B89" t="s">
        <v>209</v>
      </c>
      <c r="C89" t="s">
        <v>30</v>
      </c>
      <c r="D89">
        <v>3975</v>
      </c>
      <c r="F89" t="b">
        <v>0</v>
      </c>
    </row>
    <row r="90" spans="1:6">
      <c r="A90">
        <v>3978</v>
      </c>
      <c r="B90" t="s">
        <v>143</v>
      </c>
      <c r="C90" t="s">
        <v>30</v>
      </c>
      <c r="D90">
        <v>561</v>
      </c>
      <c r="F90" t="b">
        <v>1</v>
      </c>
    </row>
    <row r="91" spans="1:6">
      <c r="A91">
        <v>8634</v>
      </c>
      <c r="B91" t="s">
        <v>211</v>
      </c>
      <c r="C91" t="s">
        <v>30</v>
      </c>
      <c r="D91">
        <v>4647</v>
      </c>
      <c r="F91" t="b">
        <v>0</v>
      </c>
    </row>
    <row r="92" spans="1:6">
      <c r="A92">
        <v>9635</v>
      </c>
      <c r="B92" t="s">
        <v>212</v>
      </c>
      <c r="C92" t="s">
        <v>30</v>
      </c>
      <c r="D92">
        <v>581</v>
      </c>
      <c r="F92" t="b">
        <v>1</v>
      </c>
    </row>
    <row r="93" spans="1:6">
      <c r="A93">
        <v>1776</v>
      </c>
      <c r="B93" t="s">
        <v>215</v>
      </c>
      <c r="C93" t="s">
        <v>30</v>
      </c>
      <c r="D93">
        <v>1250</v>
      </c>
      <c r="F93" t="b">
        <v>1</v>
      </c>
    </row>
    <row r="94" spans="1:6">
      <c r="A94">
        <v>9703</v>
      </c>
      <c r="B94" t="s">
        <v>106</v>
      </c>
      <c r="C94" t="s">
        <v>30</v>
      </c>
      <c r="D94">
        <v>3441</v>
      </c>
      <c r="F94" t="b">
        <v>0</v>
      </c>
    </row>
    <row r="95" spans="1:6">
      <c r="A95">
        <v>3498</v>
      </c>
      <c r="B95" t="s">
        <v>218</v>
      </c>
      <c r="C95" t="s">
        <v>30</v>
      </c>
      <c r="D95">
        <v>3211</v>
      </c>
      <c r="F95" t="b">
        <v>0</v>
      </c>
    </row>
    <row r="96" spans="1:6">
      <c r="A96">
        <v>4260</v>
      </c>
      <c r="B96" t="s">
        <v>219</v>
      </c>
      <c r="C96" t="s">
        <v>30</v>
      </c>
      <c r="D96">
        <v>647</v>
      </c>
      <c r="F96" t="b">
        <v>0</v>
      </c>
    </row>
    <row r="97" spans="1:6">
      <c r="A97">
        <v>7152</v>
      </c>
      <c r="B97" t="s">
        <v>153</v>
      </c>
      <c r="C97" t="s">
        <v>30</v>
      </c>
      <c r="D97">
        <v>3751</v>
      </c>
      <c r="F97" t="b">
        <v>1</v>
      </c>
    </row>
    <row r="98" spans="1:6">
      <c r="A98">
        <v>2457</v>
      </c>
      <c r="B98" t="s">
        <v>179</v>
      </c>
      <c r="C98" t="s">
        <v>30</v>
      </c>
      <c r="D98">
        <v>2925</v>
      </c>
      <c r="F98" t="b">
        <v>0</v>
      </c>
    </row>
    <row r="99" spans="1:6">
      <c r="A99">
        <v>8530</v>
      </c>
      <c r="B99" t="s">
        <v>222</v>
      </c>
      <c r="C99" t="s">
        <v>30</v>
      </c>
      <c r="D99">
        <v>4646</v>
      </c>
      <c r="F99" t="b">
        <v>0</v>
      </c>
    </row>
    <row r="100" spans="1:6">
      <c r="A100">
        <v>9131</v>
      </c>
      <c r="B100" t="s">
        <v>223</v>
      </c>
      <c r="C100" t="s">
        <v>30</v>
      </c>
      <c r="D100">
        <v>2867</v>
      </c>
      <c r="F100" t="b">
        <v>0</v>
      </c>
    </row>
    <row r="101" spans="1:6">
      <c r="A101">
        <v>9770</v>
      </c>
      <c r="B101" t="s">
        <v>224</v>
      </c>
      <c r="C101" t="s">
        <v>30</v>
      </c>
      <c r="D101">
        <v>4131</v>
      </c>
      <c r="F101" t="b">
        <v>1</v>
      </c>
    </row>
    <row r="102" spans="1:6">
      <c r="A102">
        <v>8095</v>
      </c>
      <c r="B102" t="s">
        <v>226</v>
      </c>
      <c r="C102" t="s">
        <v>30</v>
      </c>
      <c r="D102">
        <v>2927</v>
      </c>
      <c r="F102" t="b">
        <v>1</v>
      </c>
    </row>
    <row r="103" spans="1:6">
      <c r="A103">
        <v>3763</v>
      </c>
      <c r="B103" t="s">
        <v>228</v>
      </c>
      <c r="C103" t="s">
        <v>30</v>
      </c>
      <c r="D103">
        <v>3314</v>
      </c>
      <c r="F103" t="b">
        <v>0</v>
      </c>
    </row>
    <row r="104" spans="1:6">
      <c r="A104">
        <v>4346</v>
      </c>
      <c r="B104" t="s">
        <v>230</v>
      </c>
      <c r="C104" t="s">
        <v>30</v>
      </c>
      <c r="D104">
        <v>1782</v>
      </c>
      <c r="F104" t="b">
        <v>1</v>
      </c>
    </row>
    <row r="105" spans="1:6">
      <c r="A105">
        <v>5866</v>
      </c>
      <c r="B105" t="s">
        <v>191</v>
      </c>
      <c r="C105" t="s">
        <v>30</v>
      </c>
      <c r="D105">
        <v>1938</v>
      </c>
      <c r="F105" t="b">
        <v>1</v>
      </c>
    </row>
    <row r="106" spans="1:6">
      <c r="A106">
        <v>5865</v>
      </c>
      <c r="B106" t="s">
        <v>232</v>
      </c>
      <c r="C106" t="s">
        <v>30</v>
      </c>
      <c r="D106">
        <v>3935</v>
      </c>
      <c r="F106" t="b">
        <v>0</v>
      </c>
    </row>
    <row r="107" spans="1:6">
      <c r="A107">
        <v>9398</v>
      </c>
      <c r="B107" t="s">
        <v>234</v>
      </c>
      <c r="C107" t="s">
        <v>30</v>
      </c>
      <c r="D107">
        <v>3206</v>
      </c>
      <c r="F107" t="b">
        <v>0</v>
      </c>
    </row>
    <row r="108" spans="1:6">
      <c r="A108">
        <v>9695</v>
      </c>
      <c r="B108" t="s">
        <v>236</v>
      </c>
      <c r="C108" t="s">
        <v>30</v>
      </c>
      <c r="D108">
        <v>2523</v>
      </c>
      <c r="F108" t="b">
        <v>0</v>
      </c>
    </row>
    <row r="109" spans="1:6">
      <c r="A109">
        <v>8805</v>
      </c>
      <c r="B109" t="s">
        <v>85</v>
      </c>
      <c r="C109" t="s">
        <v>30</v>
      </c>
      <c r="D109">
        <v>2727</v>
      </c>
      <c r="F109" t="b">
        <v>1</v>
      </c>
    </row>
    <row r="110" spans="1:6">
      <c r="A110">
        <v>8353</v>
      </c>
      <c r="B110" t="s">
        <v>148</v>
      </c>
      <c r="C110" t="s">
        <v>30</v>
      </c>
      <c r="D110">
        <v>2864</v>
      </c>
      <c r="F110" t="b">
        <v>1</v>
      </c>
    </row>
    <row r="111" spans="1:6">
      <c r="A111">
        <v>3178</v>
      </c>
      <c r="B111" t="s">
        <v>238</v>
      </c>
      <c r="C111" t="s">
        <v>30</v>
      </c>
      <c r="D111">
        <v>3698</v>
      </c>
      <c r="F111" t="b">
        <v>1</v>
      </c>
    </row>
    <row r="112" spans="1:6">
      <c r="A112">
        <v>4917</v>
      </c>
      <c r="B112" t="s">
        <v>240</v>
      </c>
      <c r="C112" t="s">
        <v>30</v>
      </c>
      <c r="D112">
        <v>1531</v>
      </c>
      <c r="F112" t="b">
        <v>0</v>
      </c>
    </row>
    <row r="113" spans="1:6">
      <c r="A113">
        <v>8878</v>
      </c>
      <c r="B113" t="s">
        <v>241</v>
      </c>
      <c r="C113" t="s">
        <v>30</v>
      </c>
      <c r="D113">
        <v>4884</v>
      </c>
      <c r="F113" t="b">
        <v>0</v>
      </c>
    </row>
    <row r="114" spans="1:6">
      <c r="A114">
        <v>3810</v>
      </c>
      <c r="B114" t="s">
        <v>242</v>
      </c>
      <c r="C114" t="s">
        <v>30</v>
      </c>
      <c r="D114">
        <v>3633</v>
      </c>
      <c r="F114" t="b">
        <v>0</v>
      </c>
    </row>
    <row r="115" spans="1:6">
      <c r="A115">
        <v>9353</v>
      </c>
      <c r="B115" t="s">
        <v>244</v>
      </c>
      <c r="C115" t="s">
        <v>30</v>
      </c>
      <c r="D115">
        <v>4719</v>
      </c>
      <c r="F115" t="b">
        <v>1</v>
      </c>
    </row>
    <row r="116" spans="1:6">
      <c r="A116">
        <v>1672</v>
      </c>
      <c r="B116" t="s">
        <v>245</v>
      </c>
      <c r="C116" t="s">
        <v>30</v>
      </c>
      <c r="D116">
        <v>3161</v>
      </c>
      <c r="F116" t="b">
        <v>1</v>
      </c>
    </row>
    <row r="117" spans="1:6">
      <c r="A117">
        <v>6650</v>
      </c>
      <c r="B117" t="s">
        <v>247</v>
      </c>
      <c r="C117" t="s">
        <v>30</v>
      </c>
      <c r="D117">
        <v>3607</v>
      </c>
      <c r="F117" t="b">
        <v>1</v>
      </c>
    </row>
    <row r="118" spans="1:6">
      <c r="A118">
        <v>2581</v>
      </c>
      <c r="B118" t="s">
        <v>248</v>
      </c>
      <c r="C118" t="s">
        <v>30</v>
      </c>
      <c r="D118">
        <v>944</v>
      </c>
      <c r="F118" t="b">
        <v>0</v>
      </c>
    </row>
    <row r="119" spans="1:6">
      <c r="A119">
        <v>6860</v>
      </c>
      <c r="B119" t="s">
        <v>249</v>
      </c>
      <c r="C119" t="s">
        <v>30</v>
      </c>
      <c r="D119">
        <v>2757</v>
      </c>
      <c r="F119" t="b">
        <v>0</v>
      </c>
    </row>
    <row r="120" spans="1:6">
      <c r="A120">
        <v>4584</v>
      </c>
      <c r="B120" t="s">
        <v>138</v>
      </c>
      <c r="C120" t="s">
        <v>30</v>
      </c>
      <c r="D120">
        <v>727</v>
      </c>
      <c r="F120" t="b">
        <v>0</v>
      </c>
    </row>
    <row r="121" spans="1:6">
      <c r="A121">
        <v>3354</v>
      </c>
      <c r="B121" t="s">
        <v>148</v>
      </c>
      <c r="C121" t="s">
        <v>30</v>
      </c>
      <c r="D121">
        <v>3496</v>
      </c>
      <c r="F121" t="b">
        <v>1</v>
      </c>
    </row>
    <row r="122" spans="1:6">
      <c r="A122">
        <v>4668</v>
      </c>
      <c r="B122" t="s">
        <v>251</v>
      </c>
      <c r="C122" t="s">
        <v>30</v>
      </c>
      <c r="D122">
        <v>4293</v>
      </c>
      <c r="F122" t="b">
        <v>1</v>
      </c>
    </row>
    <row r="123" spans="1:6">
      <c r="A123">
        <v>6684</v>
      </c>
      <c r="B123" t="s">
        <v>252</v>
      </c>
      <c r="C123" t="s">
        <v>30</v>
      </c>
      <c r="D123">
        <v>1357</v>
      </c>
      <c r="F123" t="b">
        <v>0</v>
      </c>
    </row>
    <row r="124" spans="1:6">
      <c r="A124">
        <v>8058</v>
      </c>
      <c r="B124" t="s">
        <v>253</v>
      </c>
      <c r="C124" t="s">
        <v>30</v>
      </c>
      <c r="D124">
        <v>3596</v>
      </c>
      <c r="F124" t="b">
        <v>1</v>
      </c>
    </row>
    <row r="125" spans="1:6">
      <c r="A125">
        <v>3035</v>
      </c>
      <c r="B125" t="s">
        <v>157</v>
      </c>
      <c r="C125" t="s">
        <v>30</v>
      </c>
      <c r="D125">
        <v>613</v>
      </c>
      <c r="F125" t="b">
        <v>1</v>
      </c>
    </row>
    <row r="126" spans="1:6">
      <c r="A126">
        <v>2146</v>
      </c>
      <c r="B126" t="s">
        <v>254</v>
      </c>
      <c r="C126" t="s">
        <v>30</v>
      </c>
      <c r="D126">
        <v>2381</v>
      </c>
      <c r="F126" t="b">
        <v>0</v>
      </c>
    </row>
    <row r="127" spans="1:6">
      <c r="A127">
        <v>5761</v>
      </c>
      <c r="B127" t="s">
        <v>255</v>
      </c>
      <c r="C127" t="s">
        <v>30</v>
      </c>
      <c r="D127">
        <v>2159</v>
      </c>
      <c r="F127" t="b">
        <v>1</v>
      </c>
    </row>
    <row r="128" spans="1:6">
      <c r="A128">
        <v>5256</v>
      </c>
      <c r="B128" t="s">
        <v>257</v>
      </c>
      <c r="C128" t="s">
        <v>30</v>
      </c>
      <c r="D128">
        <v>119</v>
      </c>
      <c r="F128" t="b">
        <v>1</v>
      </c>
    </row>
    <row r="129" spans="1:6">
      <c r="A129">
        <v>5995</v>
      </c>
      <c r="B129" t="s">
        <v>238</v>
      </c>
      <c r="C129" t="s">
        <v>30</v>
      </c>
      <c r="D129">
        <v>2798</v>
      </c>
      <c r="F129" t="b">
        <v>0</v>
      </c>
    </row>
    <row r="130" spans="1:6">
      <c r="A130">
        <v>4155</v>
      </c>
      <c r="B130" t="s">
        <v>259</v>
      </c>
      <c r="C130" t="s">
        <v>30</v>
      </c>
      <c r="D130">
        <v>496</v>
      </c>
      <c r="F130" t="b">
        <v>0</v>
      </c>
    </row>
    <row r="131" spans="1:6">
      <c r="A131">
        <v>1851</v>
      </c>
      <c r="B131" t="s">
        <v>88</v>
      </c>
      <c r="C131" t="s">
        <v>30</v>
      </c>
      <c r="D131">
        <v>3599</v>
      </c>
      <c r="F131" t="b">
        <v>0</v>
      </c>
    </row>
    <row r="132" spans="1:6">
      <c r="A132">
        <v>8068</v>
      </c>
      <c r="B132" t="s">
        <v>260</v>
      </c>
      <c r="C132" t="s">
        <v>30</v>
      </c>
      <c r="D132">
        <v>1752</v>
      </c>
      <c r="F132" t="b">
        <v>0</v>
      </c>
    </row>
    <row r="133" spans="1:6">
      <c r="A133">
        <v>8425</v>
      </c>
      <c r="B133" t="s">
        <v>34</v>
      </c>
      <c r="C133" t="s">
        <v>30</v>
      </c>
      <c r="D133">
        <v>3633</v>
      </c>
      <c r="F133" t="b">
        <v>1</v>
      </c>
    </row>
    <row r="134" spans="1:6">
      <c r="A134">
        <v>4706</v>
      </c>
      <c r="B134" t="s">
        <v>170</v>
      </c>
      <c r="C134" t="s">
        <v>30</v>
      </c>
      <c r="D134">
        <v>3568</v>
      </c>
      <c r="F134" t="b">
        <v>0</v>
      </c>
    </row>
    <row r="135" spans="1:6">
      <c r="A135">
        <v>7544</v>
      </c>
      <c r="B135" t="s">
        <v>262</v>
      </c>
      <c r="C135" t="s">
        <v>30</v>
      </c>
      <c r="D135">
        <v>4361</v>
      </c>
      <c r="F135" t="b">
        <v>0</v>
      </c>
    </row>
    <row r="136" spans="1:6">
      <c r="A136">
        <v>4029</v>
      </c>
      <c r="B136" t="s">
        <v>263</v>
      </c>
      <c r="C136" t="s">
        <v>30</v>
      </c>
      <c r="D136">
        <v>1176</v>
      </c>
      <c r="F136" t="b">
        <v>1</v>
      </c>
    </row>
    <row r="137" spans="1:6">
      <c r="A137">
        <v>6117</v>
      </c>
      <c r="B137" t="s">
        <v>147</v>
      </c>
      <c r="C137" t="s">
        <v>30</v>
      </c>
      <c r="D137">
        <v>1849</v>
      </c>
      <c r="F137" t="b">
        <v>0</v>
      </c>
    </row>
    <row r="138" spans="1:6">
      <c r="A138">
        <v>1408</v>
      </c>
      <c r="B138" t="s">
        <v>266</v>
      </c>
      <c r="C138" t="s">
        <v>30</v>
      </c>
      <c r="D138">
        <v>3953</v>
      </c>
      <c r="F138" t="b">
        <v>1</v>
      </c>
    </row>
    <row r="139" spans="1:6">
      <c r="A139">
        <v>8396</v>
      </c>
      <c r="B139" t="s">
        <v>52</v>
      </c>
      <c r="C139" t="s">
        <v>30</v>
      </c>
      <c r="D139">
        <v>3277</v>
      </c>
      <c r="F139" t="b">
        <v>0</v>
      </c>
    </row>
    <row r="140" spans="1:6">
      <c r="A140">
        <v>6806</v>
      </c>
      <c r="B140" t="s">
        <v>268</v>
      </c>
      <c r="C140" t="s">
        <v>30</v>
      </c>
      <c r="D140">
        <v>1572</v>
      </c>
      <c r="F140" t="b">
        <v>1</v>
      </c>
    </row>
    <row r="141" spans="1:6">
      <c r="A141">
        <v>3496</v>
      </c>
      <c r="B141" t="s">
        <v>242</v>
      </c>
      <c r="C141" t="s">
        <v>30</v>
      </c>
      <c r="D141">
        <v>2676</v>
      </c>
      <c r="F141" t="b">
        <v>1</v>
      </c>
    </row>
    <row r="142" spans="1:6">
      <c r="A142">
        <v>7840</v>
      </c>
      <c r="B142" t="s">
        <v>270</v>
      </c>
      <c r="C142" t="s">
        <v>30</v>
      </c>
      <c r="D142">
        <v>3053</v>
      </c>
      <c r="F142" t="b">
        <v>1</v>
      </c>
    </row>
    <row r="143" spans="1:6">
      <c r="A143">
        <v>2099</v>
      </c>
      <c r="B143" t="s">
        <v>157</v>
      </c>
      <c r="C143" t="s">
        <v>30</v>
      </c>
      <c r="D143">
        <v>2620</v>
      </c>
      <c r="F143" t="b">
        <v>1</v>
      </c>
    </row>
    <row r="144" spans="1:6">
      <c r="A144">
        <v>6518</v>
      </c>
      <c r="B144" t="s">
        <v>271</v>
      </c>
      <c r="C144" t="s">
        <v>30</v>
      </c>
      <c r="D144">
        <v>4068</v>
      </c>
      <c r="F144" t="b">
        <v>0</v>
      </c>
    </row>
    <row r="145" spans="1:6">
      <c r="A145">
        <v>1976</v>
      </c>
      <c r="B145" t="s">
        <v>249</v>
      </c>
      <c r="C145" t="s">
        <v>30</v>
      </c>
      <c r="D145">
        <v>172</v>
      </c>
      <c r="F145" t="b">
        <v>1</v>
      </c>
    </row>
    <row r="146" spans="1:6">
      <c r="A146">
        <v>8777</v>
      </c>
      <c r="B146" t="s">
        <v>272</v>
      </c>
      <c r="C146" t="s">
        <v>30</v>
      </c>
      <c r="D146">
        <v>1040</v>
      </c>
      <c r="F146" t="b">
        <v>0</v>
      </c>
    </row>
    <row r="147" spans="1:6">
      <c r="A147">
        <v>1576</v>
      </c>
      <c r="B147" t="s">
        <v>166</v>
      </c>
      <c r="C147" t="s">
        <v>30</v>
      </c>
      <c r="D147">
        <v>3574</v>
      </c>
      <c r="F147" t="b">
        <v>0</v>
      </c>
    </row>
    <row r="148" spans="1:6">
      <c r="A148">
        <v>7979</v>
      </c>
      <c r="B148" t="s">
        <v>274</v>
      </c>
      <c r="C148" t="s">
        <v>30</v>
      </c>
      <c r="D148">
        <v>3659</v>
      </c>
      <c r="F148" t="b">
        <v>1</v>
      </c>
    </row>
    <row r="149" spans="1:6">
      <c r="A149">
        <v>6300</v>
      </c>
      <c r="B149" t="s">
        <v>275</v>
      </c>
      <c r="C149" t="s">
        <v>30</v>
      </c>
      <c r="D149">
        <v>1991</v>
      </c>
      <c r="F149" t="b">
        <v>1</v>
      </c>
    </row>
    <row r="150" spans="1:6">
      <c r="A150">
        <v>1003</v>
      </c>
      <c r="B150" t="s">
        <v>276</v>
      </c>
      <c r="C150" t="s">
        <v>30</v>
      </c>
      <c r="D150">
        <v>2043</v>
      </c>
      <c r="F150" t="b">
        <v>1</v>
      </c>
    </row>
    <row r="151" spans="1:6">
      <c r="A151">
        <v>8238</v>
      </c>
      <c r="B151" t="s">
        <v>277</v>
      </c>
      <c r="C151" t="s">
        <v>30</v>
      </c>
      <c r="D151">
        <v>882</v>
      </c>
      <c r="F151" t="b">
        <v>0</v>
      </c>
    </row>
    <row r="152" spans="1:6">
      <c r="A152">
        <v>8261</v>
      </c>
      <c r="B152" t="s">
        <v>153</v>
      </c>
      <c r="C152" t="s">
        <v>30</v>
      </c>
      <c r="D152">
        <v>4243</v>
      </c>
      <c r="F152" t="b">
        <v>1</v>
      </c>
    </row>
    <row r="153" spans="1:6">
      <c r="A153">
        <v>7729</v>
      </c>
      <c r="B153" t="s">
        <v>118</v>
      </c>
      <c r="C153" t="s">
        <v>30</v>
      </c>
      <c r="D153">
        <v>2218</v>
      </c>
      <c r="F153" t="b">
        <v>1</v>
      </c>
    </row>
    <row r="154" spans="1:6">
      <c r="A154">
        <v>8616</v>
      </c>
      <c r="B154" t="s">
        <v>224</v>
      </c>
      <c r="C154" t="s">
        <v>30</v>
      </c>
      <c r="D154">
        <v>97</v>
      </c>
      <c r="F154" t="b">
        <v>1</v>
      </c>
    </row>
    <row r="155" spans="1:6">
      <c r="A155">
        <v>9734</v>
      </c>
      <c r="B155" t="s">
        <v>116</v>
      </c>
      <c r="C155" t="s">
        <v>30</v>
      </c>
      <c r="D155">
        <v>4928</v>
      </c>
      <c r="F155" t="b">
        <v>1</v>
      </c>
    </row>
    <row r="156" spans="1:6">
      <c r="A156">
        <v>2086</v>
      </c>
      <c r="B156" t="s">
        <v>280</v>
      </c>
      <c r="C156" t="s">
        <v>30</v>
      </c>
      <c r="D156">
        <v>1982</v>
      </c>
      <c r="F156" t="b">
        <v>1</v>
      </c>
    </row>
    <row r="157" spans="1:6">
      <c r="A157">
        <v>8721</v>
      </c>
      <c r="B157" t="s">
        <v>281</v>
      </c>
      <c r="C157" t="s">
        <v>30</v>
      </c>
      <c r="D157">
        <v>510</v>
      </c>
      <c r="F157" t="b">
        <v>1</v>
      </c>
    </row>
    <row r="158" spans="1:6">
      <c r="A158">
        <v>1075</v>
      </c>
      <c r="B158" t="s">
        <v>283</v>
      </c>
      <c r="C158" t="s">
        <v>30</v>
      </c>
      <c r="D158">
        <v>2508</v>
      </c>
      <c r="F158" t="b">
        <v>0</v>
      </c>
    </row>
    <row r="159" spans="1:6">
      <c r="A159">
        <v>2690</v>
      </c>
      <c r="B159" t="s">
        <v>177</v>
      </c>
      <c r="C159" t="s">
        <v>30</v>
      </c>
      <c r="D159">
        <v>4004</v>
      </c>
      <c r="F159" t="b">
        <v>1</v>
      </c>
    </row>
    <row r="160" spans="1:6">
      <c r="A160">
        <v>7654</v>
      </c>
      <c r="B160" t="s">
        <v>120</v>
      </c>
      <c r="C160" t="s">
        <v>30</v>
      </c>
      <c r="D160">
        <v>494</v>
      </c>
      <c r="F160" t="b">
        <v>0</v>
      </c>
    </row>
    <row r="161" spans="1:6">
      <c r="A161">
        <v>7577</v>
      </c>
      <c r="B161" t="s">
        <v>284</v>
      </c>
      <c r="C161" t="s">
        <v>30</v>
      </c>
      <c r="D161">
        <v>460</v>
      </c>
      <c r="F161" t="b">
        <v>0</v>
      </c>
    </row>
    <row r="162" spans="1:6">
      <c r="A162">
        <v>9814</v>
      </c>
      <c r="B162" t="s">
        <v>286</v>
      </c>
      <c r="C162" t="s">
        <v>30</v>
      </c>
      <c r="D162">
        <v>1416</v>
      </c>
      <c r="F162" t="b">
        <v>1</v>
      </c>
    </row>
    <row r="163" spans="1:6">
      <c r="A163">
        <v>5423</v>
      </c>
      <c r="B163" t="s">
        <v>50</v>
      </c>
      <c r="C163" t="s">
        <v>30</v>
      </c>
      <c r="D163">
        <v>4798</v>
      </c>
      <c r="F163" t="b">
        <v>0</v>
      </c>
    </row>
    <row r="164" spans="1:6">
      <c r="A164">
        <v>2660</v>
      </c>
      <c r="B164" t="s">
        <v>288</v>
      </c>
      <c r="C164" t="s">
        <v>30</v>
      </c>
      <c r="D164">
        <v>732</v>
      </c>
      <c r="F164" t="b">
        <v>1</v>
      </c>
    </row>
    <row r="165" spans="1:6">
      <c r="A165">
        <v>4206</v>
      </c>
      <c r="B165" t="s">
        <v>190</v>
      </c>
      <c r="C165" t="s">
        <v>30</v>
      </c>
      <c r="D165">
        <v>4008</v>
      </c>
      <c r="F165" t="b">
        <v>0</v>
      </c>
    </row>
    <row r="166" spans="1:6">
      <c r="A166">
        <v>5269</v>
      </c>
      <c r="B166" t="s">
        <v>50</v>
      </c>
      <c r="C166" t="s">
        <v>30</v>
      </c>
      <c r="D166">
        <v>4868</v>
      </c>
      <c r="F166" t="b">
        <v>1</v>
      </c>
    </row>
    <row r="167" spans="1:6">
      <c r="A167">
        <v>7922</v>
      </c>
      <c r="B167" t="s">
        <v>290</v>
      </c>
      <c r="C167" t="s">
        <v>30</v>
      </c>
      <c r="D167">
        <v>2600</v>
      </c>
      <c r="F167" t="b">
        <v>1</v>
      </c>
    </row>
    <row r="168" spans="1:6">
      <c r="A168">
        <v>7829</v>
      </c>
      <c r="B168" t="s">
        <v>291</v>
      </c>
      <c r="C168" t="s">
        <v>30</v>
      </c>
      <c r="D168">
        <v>3247</v>
      </c>
      <c r="F168" t="b">
        <v>1</v>
      </c>
    </row>
    <row r="169" spans="1:6">
      <c r="A169">
        <v>1715</v>
      </c>
      <c r="B169" t="s">
        <v>254</v>
      </c>
      <c r="C169" t="s">
        <v>30</v>
      </c>
      <c r="D169">
        <v>941</v>
      </c>
      <c r="F169" t="b">
        <v>1</v>
      </c>
    </row>
    <row r="170" spans="1:6">
      <c r="A170">
        <v>2639</v>
      </c>
      <c r="B170" t="s">
        <v>294</v>
      </c>
      <c r="C170" t="s">
        <v>30</v>
      </c>
      <c r="D170">
        <v>1934</v>
      </c>
      <c r="F170" t="b">
        <v>0</v>
      </c>
    </row>
    <row r="171" spans="1:6">
      <c r="A171">
        <v>1801</v>
      </c>
      <c r="B171" t="s">
        <v>174</v>
      </c>
      <c r="C171" t="s">
        <v>30</v>
      </c>
      <c r="D171">
        <v>4650</v>
      </c>
      <c r="F171" t="b">
        <v>0</v>
      </c>
    </row>
    <row r="172" spans="1:6">
      <c r="A172">
        <v>9163</v>
      </c>
      <c r="B172" t="s">
        <v>274</v>
      </c>
      <c r="C172" t="s">
        <v>30</v>
      </c>
      <c r="D172">
        <v>4450</v>
      </c>
      <c r="F172" t="b">
        <v>1</v>
      </c>
    </row>
    <row r="173" spans="1:6">
      <c r="A173">
        <v>1284</v>
      </c>
      <c r="B173" t="s">
        <v>157</v>
      </c>
      <c r="C173" t="s">
        <v>30</v>
      </c>
      <c r="D173">
        <v>2395</v>
      </c>
      <c r="F173" t="b">
        <v>0</v>
      </c>
    </row>
    <row r="174" spans="1:6">
      <c r="A174">
        <v>8774</v>
      </c>
      <c r="B174" t="s">
        <v>296</v>
      </c>
      <c r="C174" t="s">
        <v>30</v>
      </c>
      <c r="D174">
        <v>4504</v>
      </c>
      <c r="F174" t="b">
        <v>0</v>
      </c>
    </row>
    <row r="175" spans="1:6">
      <c r="A175">
        <v>3866</v>
      </c>
      <c r="B175" t="s">
        <v>297</v>
      </c>
      <c r="C175" t="s">
        <v>30</v>
      </c>
      <c r="D175">
        <v>3015</v>
      </c>
      <c r="F175" t="b">
        <v>1</v>
      </c>
    </row>
    <row r="176" spans="1:6">
      <c r="A176">
        <v>4477</v>
      </c>
      <c r="B176" t="s">
        <v>272</v>
      </c>
      <c r="C176" t="s">
        <v>30</v>
      </c>
      <c r="D176">
        <v>4971</v>
      </c>
      <c r="F176" t="b">
        <v>0</v>
      </c>
    </row>
    <row r="177" spans="1:6">
      <c r="A177">
        <v>4829</v>
      </c>
      <c r="B177" t="s">
        <v>299</v>
      </c>
      <c r="C177" t="s">
        <v>30</v>
      </c>
      <c r="D177">
        <v>2377</v>
      </c>
      <c r="F177" t="b">
        <v>0</v>
      </c>
    </row>
    <row r="178" spans="1:6">
      <c r="A178">
        <v>1257</v>
      </c>
      <c r="B178" t="s">
        <v>257</v>
      </c>
      <c r="C178" t="s">
        <v>30</v>
      </c>
      <c r="D178">
        <v>212</v>
      </c>
      <c r="F178" t="b">
        <v>0</v>
      </c>
    </row>
    <row r="179" spans="1:6">
      <c r="A179">
        <v>1897</v>
      </c>
      <c r="B179" t="s">
        <v>301</v>
      </c>
      <c r="C179" t="s">
        <v>30</v>
      </c>
      <c r="D179">
        <v>188</v>
      </c>
      <c r="F179" t="b">
        <v>1</v>
      </c>
    </row>
    <row r="180" spans="1:6">
      <c r="A180">
        <v>3603</v>
      </c>
      <c r="B180" t="s">
        <v>302</v>
      </c>
      <c r="C180" t="s">
        <v>30</v>
      </c>
      <c r="D180">
        <v>4435</v>
      </c>
      <c r="F180" t="b">
        <v>0</v>
      </c>
    </row>
    <row r="181" spans="1:6">
      <c r="A181">
        <v>9256</v>
      </c>
      <c r="B181" t="s">
        <v>257</v>
      </c>
      <c r="C181" t="s">
        <v>30</v>
      </c>
      <c r="D181">
        <v>1454</v>
      </c>
      <c r="F181" t="b">
        <v>1</v>
      </c>
    </row>
    <row r="182" spans="1:6">
      <c r="A182">
        <v>9469</v>
      </c>
      <c r="B182" t="s">
        <v>101</v>
      </c>
      <c r="C182" t="s">
        <v>30</v>
      </c>
      <c r="D182">
        <v>2841</v>
      </c>
      <c r="F182" t="b">
        <v>1</v>
      </c>
    </row>
    <row r="183" spans="1:6">
      <c r="A183">
        <v>7136</v>
      </c>
      <c r="B183" t="s">
        <v>143</v>
      </c>
      <c r="C183" t="s">
        <v>30</v>
      </c>
      <c r="D183">
        <v>1626</v>
      </c>
      <c r="F183" t="b">
        <v>0</v>
      </c>
    </row>
    <row r="184" spans="1:6">
      <c r="A184">
        <v>2321</v>
      </c>
      <c r="B184" t="s">
        <v>304</v>
      </c>
      <c r="C184" t="s">
        <v>30</v>
      </c>
      <c r="D184">
        <v>111</v>
      </c>
      <c r="F184" t="b">
        <v>0</v>
      </c>
    </row>
    <row r="185" spans="1:6">
      <c r="A185">
        <v>4243</v>
      </c>
      <c r="B185" t="s">
        <v>272</v>
      </c>
      <c r="C185" t="s">
        <v>30</v>
      </c>
      <c r="D185">
        <v>450</v>
      </c>
      <c r="F185" t="b">
        <v>0</v>
      </c>
    </row>
    <row r="186" spans="1:6">
      <c r="A186">
        <v>8015</v>
      </c>
      <c r="B186" t="s">
        <v>307</v>
      </c>
      <c r="C186" t="s">
        <v>30</v>
      </c>
      <c r="D186">
        <v>3325</v>
      </c>
      <c r="F186" t="b">
        <v>0</v>
      </c>
    </row>
    <row r="187" spans="1:6">
      <c r="A187">
        <v>3440</v>
      </c>
      <c r="B187" t="s">
        <v>101</v>
      </c>
      <c r="C187" t="s">
        <v>30</v>
      </c>
      <c r="D187">
        <v>3059</v>
      </c>
      <c r="F187" t="b">
        <v>1</v>
      </c>
    </row>
    <row r="188" spans="1:6">
      <c r="A188">
        <v>9914</v>
      </c>
      <c r="B188" t="s">
        <v>197</v>
      </c>
      <c r="C188" t="s">
        <v>30</v>
      </c>
      <c r="D188">
        <v>1065</v>
      </c>
      <c r="F188" t="b">
        <v>0</v>
      </c>
    </row>
    <row r="189" spans="1:6">
      <c r="A189">
        <v>5045</v>
      </c>
      <c r="B189" t="s">
        <v>140</v>
      </c>
      <c r="C189" t="s">
        <v>30</v>
      </c>
      <c r="D189">
        <v>2575</v>
      </c>
      <c r="F189" t="b">
        <v>0</v>
      </c>
    </row>
    <row r="190" spans="1:6">
      <c r="A190">
        <v>1379</v>
      </c>
      <c r="B190" t="s">
        <v>240</v>
      </c>
      <c r="C190" t="s">
        <v>30</v>
      </c>
      <c r="D190">
        <v>1690</v>
      </c>
      <c r="F190" t="b">
        <v>0</v>
      </c>
    </row>
    <row r="191" spans="1:6">
      <c r="A191">
        <v>6099</v>
      </c>
      <c r="B191" t="s">
        <v>311</v>
      </c>
      <c r="C191" t="s">
        <v>30</v>
      </c>
      <c r="D191">
        <v>1382</v>
      </c>
      <c r="F191" t="b">
        <v>0</v>
      </c>
    </row>
    <row r="192" spans="1:6">
      <c r="A192">
        <v>4696</v>
      </c>
      <c r="B192" t="s">
        <v>313</v>
      </c>
      <c r="C192" t="s">
        <v>30</v>
      </c>
      <c r="D192">
        <v>1050</v>
      </c>
      <c r="F192" t="b">
        <v>0</v>
      </c>
    </row>
    <row r="193" spans="1:6">
      <c r="A193">
        <v>4808</v>
      </c>
      <c r="B193" t="s">
        <v>280</v>
      </c>
      <c r="C193" t="s">
        <v>30</v>
      </c>
      <c r="D193">
        <v>2328</v>
      </c>
      <c r="F193" t="b">
        <v>1</v>
      </c>
    </row>
    <row r="194" spans="1:6">
      <c r="A194">
        <v>3633</v>
      </c>
      <c r="B194" t="s">
        <v>316</v>
      </c>
      <c r="C194" t="s">
        <v>30</v>
      </c>
      <c r="D194">
        <v>4414</v>
      </c>
      <c r="F194" t="b">
        <v>0</v>
      </c>
    </row>
    <row r="195" spans="1:6">
      <c r="A195">
        <v>4979</v>
      </c>
      <c r="B195" t="s">
        <v>255</v>
      </c>
      <c r="C195" t="s">
        <v>30</v>
      </c>
      <c r="D195">
        <v>3980</v>
      </c>
      <c r="F195" t="b">
        <v>1</v>
      </c>
    </row>
    <row r="196" spans="1:6">
      <c r="A196">
        <v>2214</v>
      </c>
      <c r="B196" t="s">
        <v>318</v>
      </c>
      <c r="C196" t="s">
        <v>30</v>
      </c>
      <c r="D196">
        <v>3596</v>
      </c>
      <c r="F196" t="b">
        <v>1</v>
      </c>
    </row>
    <row r="197" spans="1:6">
      <c r="A197">
        <v>6606</v>
      </c>
      <c r="B197" t="s">
        <v>311</v>
      </c>
      <c r="C197" t="s">
        <v>30</v>
      </c>
      <c r="D197">
        <v>1150</v>
      </c>
      <c r="F197" t="b">
        <v>1</v>
      </c>
    </row>
    <row r="198" spans="1:6">
      <c r="A198">
        <v>4246</v>
      </c>
      <c r="B198" t="s">
        <v>259</v>
      </c>
      <c r="C198" t="s">
        <v>30</v>
      </c>
      <c r="D198">
        <v>1858</v>
      </c>
      <c r="F198" t="b">
        <v>0</v>
      </c>
    </row>
    <row r="199" spans="1:6">
      <c r="A199">
        <v>2836</v>
      </c>
      <c r="B199" t="s">
        <v>232</v>
      </c>
      <c r="C199" t="s">
        <v>30</v>
      </c>
      <c r="D199">
        <v>1926</v>
      </c>
      <c r="F199" t="b">
        <v>0</v>
      </c>
    </row>
    <row r="200" spans="1:6">
      <c r="A200">
        <v>6963</v>
      </c>
      <c r="B200" t="s">
        <v>322</v>
      </c>
      <c r="C200" t="s">
        <v>30</v>
      </c>
      <c r="D200">
        <v>2933</v>
      </c>
      <c r="F200" t="b">
        <v>1</v>
      </c>
    </row>
    <row r="201" spans="1:6">
      <c r="A201">
        <v>2243</v>
      </c>
      <c r="B201" t="s">
        <v>323</v>
      </c>
      <c r="C201" t="s">
        <v>30</v>
      </c>
      <c r="D201">
        <v>2397</v>
      </c>
      <c r="F201" t="b">
        <v>0</v>
      </c>
    </row>
    <row r="202" spans="1:6">
      <c r="A202">
        <v>5081</v>
      </c>
      <c r="B202" t="s">
        <v>325</v>
      </c>
      <c r="C202" t="s">
        <v>30</v>
      </c>
      <c r="D202">
        <v>1946</v>
      </c>
      <c r="F202" t="b">
        <v>1</v>
      </c>
    </row>
    <row r="203" spans="1:6">
      <c r="A203">
        <v>4171</v>
      </c>
      <c r="B203" t="s">
        <v>224</v>
      </c>
      <c r="C203" t="s">
        <v>30</v>
      </c>
      <c r="D203">
        <v>2576</v>
      </c>
      <c r="F203" t="b">
        <v>0</v>
      </c>
    </row>
    <row r="204" spans="1:6">
      <c r="A204">
        <v>7399</v>
      </c>
      <c r="B204" t="s">
        <v>201</v>
      </c>
      <c r="C204" t="s">
        <v>30</v>
      </c>
      <c r="D204">
        <v>2259</v>
      </c>
      <c r="F204" t="b">
        <v>0</v>
      </c>
    </row>
    <row r="205" spans="1:6">
      <c r="A205">
        <v>1110</v>
      </c>
      <c r="B205" t="s">
        <v>247</v>
      </c>
      <c r="C205" t="s">
        <v>30</v>
      </c>
      <c r="D205">
        <v>1068</v>
      </c>
      <c r="F205" t="b">
        <v>1</v>
      </c>
    </row>
    <row r="206" spans="1:6">
      <c r="A206">
        <v>5630</v>
      </c>
      <c r="B206" t="s">
        <v>328</v>
      </c>
      <c r="C206" t="s">
        <v>30</v>
      </c>
      <c r="D206">
        <v>2928</v>
      </c>
      <c r="F206" t="b">
        <v>1</v>
      </c>
    </row>
    <row r="207" spans="1:6">
      <c r="A207">
        <v>9430</v>
      </c>
      <c r="B207" t="s">
        <v>329</v>
      </c>
      <c r="C207" t="s">
        <v>30</v>
      </c>
      <c r="D207">
        <v>3674</v>
      </c>
      <c r="F207" t="b">
        <v>1</v>
      </c>
    </row>
    <row r="208" spans="1:6">
      <c r="A208">
        <v>7436</v>
      </c>
      <c r="B208" t="s">
        <v>330</v>
      </c>
      <c r="C208" t="s">
        <v>30</v>
      </c>
      <c r="D208">
        <v>130</v>
      </c>
      <c r="F208" t="b">
        <v>0</v>
      </c>
    </row>
    <row r="209" spans="1:6">
      <c r="A209">
        <v>2147</v>
      </c>
      <c r="B209" t="s">
        <v>332</v>
      </c>
      <c r="C209" t="s">
        <v>30</v>
      </c>
      <c r="D209">
        <v>4873</v>
      </c>
      <c r="F209" t="b">
        <v>1</v>
      </c>
    </row>
    <row r="210" spans="1:6">
      <c r="A210">
        <v>3264</v>
      </c>
      <c r="B210" t="s">
        <v>118</v>
      </c>
      <c r="C210" t="s">
        <v>30</v>
      </c>
      <c r="D210">
        <v>96</v>
      </c>
      <c r="F210" t="b">
        <v>0</v>
      </c>
    </row>
    <row r="211" spans="1:6">
      <c r="A211">
        <v>1214</v>
      </c>
      <c r="B211" t="s">
        <v>334</v>
      </c>
      <c r="C211" t="s">
        <v>30</v>
      </c>
      <c r="D211">
        <v>110</v>
      </c>
      <c r="F211" t="b">
        <v>1</v>
      </c>
    </row>
    <row r="212" spans="1:6">
      <c r="A212">
        <v>6050</v>
      </c>
      <c r="B212" t="s">
        <v>335</v>
      </c>
      <c r="C212" t="s">
        <v>30</v>
      </c>
      <c r="D212">
        <v>225</v>
      </c>
      <c r="F212" t="b">
        <v>0</v>
      </c>
    </row>
    <row r="213" spans="1:6">
      <c r="A213">
        <v>7395</v>
      </c>
      <c r="B213" t="s">
        <v>130</v>
      </c>
      <c r="C213" t="s">
        <v>30</v>
      </c>
      <c r="D213">
        <v>4083</v>
      </c>
      <c r="F213" t="b">
        <v>1</v>
      </c>
    </row>
    <row r="214" spans="1:6">
      <c r="A214">
        <v>3904</v>
      </c>
      <c r="B214" t="s">
        <v>224</v>
      </c>
      <c r="C214" t="s">
        <v>30</v>
      </c>
      <c r="D214">
        <v>2714</v>
      </c>
      <c r="F214" t="b">
        <v>0</v>
      </c>
    </row>
    <row r="215" spans="1:6">
      <c r="A215">
        <v>6545</v>
      </c>
      <c r="B215" t="s">
        <v>147</v>
      </c>
      <c r="C215" t="s">
        <v>30</v>
      </c>
      <c r="D215">
        <v>674</v>
      </c>
      <c r="F215" t="b">
        <v>1</v>
      </c>
    </row>
    <row r="216" spans="1:6">
      <c r="A216">
        <v>3131</v>
      </c>
      <c r="B216" t="s">
        <v>153</v>
      </c>
      <c r="C216" t="s">
        <v>30</v>
      </c>
      <c r="D216">
        <v>948</v>
      </c>
      <c r="F216" t="b">
        <v>1</v>
      </c>
    </row>
    <row r="217" spans="1:6">
      <c r="A217">
        <v>8589</v>
      </c>
      <c r="B217" t="s">
        <v>207</v>
      </c>
      <c r="C217" t="s">
        <v>30</v>
      </c>
      <c r="D217">
        <v>933</v>
      </c>
      <c r="F217" t="b">
        <v>0</v>
      </c>
    </row>
    <row r="218" spans="1:6">
      <c r="A218">
        <v>2908</v>
      </c>
      <c r="B218" t="s">
        <v>248</v>
      </c>
      <c r="C218" t="s">
        <v>30</v>
      </c>
      <c r="D218">
        <v>2914</v>
      </c>
      <c r="F218" t="b">
        <v>1</v>
      </c>
    </row>
    <row r="219" spans="1:6">
      <c r="A219">
        <v>5209</v>
      </c>
      <c r="B219" t="s">
        <v>238</v>
      </c>
      <c r="C219" t="s">
        <v>30</v>
      </c>
      <c r="D219">
        <v>3928</v>
      </c>
      <c r="F219" t="b">
        <v>1</v>
      </c>
    </row>
    <row r="220" spans="1:6">
      <c r="A220">
        <v>2319</v>
      </c>
      <c r="B220" t="s">
        <v>150</v>
      </c>
      <c r="C220" t="s">
        <v>30</v>
      </c>
      <c r="D220">
        <v>2559</v>
      </c>
      <c r="F220" t="b">
        <v>0</v>
      </c>
    </row>
    <row r="221" spans="1:6">
      <c r="A221">
        <v>9026</v>
      </c>
      <c r="B221" t="s">
        <v>197</v>
      </c>
      <c r="C221" t="s">
        <v>30</v>
      </c>
      <c r="D221">
        <v>2571</v>
      </c>
      <c r="F221" t="b">
        <v>1</v>
      </c>
    </row>
    <row r="222" spans="1:6">
      <c r="A222">
        <v>2723</v>
      </c>
      <c r="B222" t="s">
        <v>337</v>
      </c>
      <c r="C222" t="s">
        <v>30</v>
      </c>
      <c r="D222">
        <v>3834</v>
      </c>
      <c r="F222" t="b">
        <v>0</v>
      </c>
    </row>
    <row r="223" spans="1:6">
      <c r="A223">
        <v>5487</v>
      </c>
      <c r="B223" t="s">
        <v>148</v>
      </c>
      <c r="C223" t="s">
        <v>30</v>
      </c>
      <c r="D223">
        <v>4714</v>
      </c>
      <c r="F223" t="b">
        <v>0</v>
      </c>
    </row>
    <row r="224" spans="1:6">
      <c r="A224">
        <v>4656</v>
      </c>
      <c r="B224" t="s">
        <v>207</v>
      </c>
      <c r="C224" t="s">
        <v>30</v>
      </c>
      <c r="D224">
        <v>4800</v>
      </c>
      <c r="F224" t="b">
        <v>1</v>
      </c>
    </row>
    <row r="225" spans="1:6">
      <c r="A225">
        <v>5718</v>
      </c>
      <c r="B225" t="s">
        <v>340</v>
      </c>
      <c r="C225" t="s">
        <v>30</v>
      </c>
      <c r="D225">
        <v>1610</v>
      </c>
      <c r="F225" t="b">
        <v>0</v>
      </c>
    </row>
    <row r="226" spans="1:6">
      <c r="A226">
        <v>1215</v>
      </c>
      <c r="B226" t="s">
        <v>342</v>
      </c>
      <c r="C226" t="s">
        <v>30</v>
      </c>
      <c r="D226">
        <v>2780</v>
      </c>
      <c r="F226" t="b">
        <v>1</v>
      </c>
    </row>
    <row r="227" spans="1:6">
      <c r="A227">
        <v>3427</v>
      </c>
      <c r="B227" t="s">
        <v>344</v>
      </c>
      <c r="C227" t="s">
        <v>30</v>
      </c>
      <c r="D227">
        <v>639</v>
      </c>
      <c r="F227" t="b">
        <v>1</v>
      </c>
    </row>
    <row r="228" spans="1:6">
      <c r="A228">
        <v>2428</v>
      </c>
      <c r="B228" t="s">
        <v>345</v>
      </c>
      <c r="C228" t="s">
        <v>30</v>
      </c>
      <c r="D228">
        <v>1960</v>
      </c>
      <c r="F228" t="b">
        <v>0</v>
      </c>
    </row>
    <row r="229" spans="1:6">
      <c r="A229">
        <v>1947</v>
      </c>
      <c r="B229" t="s">
        <v>347</v>
      </c>
      <c r="C229" t="s">
        <v>30</v>
      </c>
      <c r="D229">
        <v>1764</v>
      </c>
      <c r="F229" t="b">
        <v>1</v>
      </c>
    </row>
    <row r="230" spans="1:6">
      <c r="A230">
        <v>5036</v>
      </c>
      <c r="B230" t="s">
        <v>290</v>
      </c>
      <c r="C230" t="s">
        <v>30</v>
      </c>
      <c r="D230">
        <v>967</v>
      </c>
      <c r="F230" t="b">
        <v>1</v>
      </c>
    </row>
    <row r="231" spans="1:6">
      <c r="A231">
        <v>5857</v>
      </c>
      <c r="B231" t="s">
        <v>88</v>
      </c>
      <c r="C231" t="s">
        <v>30</v>
      </c>
      <c r="D231">
        <v>2086</v>
      </c>
      <c r="F231" t="b">
        <v>1</v>
      </c>
    </row>
    <row r="232" spans="1:6">
      <c r="A232">
        <v>8770</v>
      </c>
      <c r="B232" t="s">
        <v>106</v>
      </c>
      <c r="C232" t="s">
        <v>30</v>
      </c>
      <c r="D232">
        <v>3288</v>
      </c>
      <c r="F232" t="b">
        <v>1</v>
      </c>
    </row>
    <row r="233" spans="1:6">
      <c r="A233">
        <v>4118</v>
      </c>
      <c r="B233" t="s">
        <v>349</v>
      </c>
      <c r="C233" t="s">
        <v>30</v>
      </c>
      <c r="D233">
        <v>1486</v>
      </c>
      <c r="F233" t="b">
        <v>0</v>
      </c>
    </row>
    <row r="234" spans="1:6">
      <c r="A234">
        <v>7162</v>
      </c>
      <c r="B234" t="s">
        <v>351</v>
      </c>
      <c r="C234" t="s">
        <v>30</v>
      </c>
      <c r="D234">
        <v>223</v>
      </c>
      <c r="F234" t="b">
        <v>0</v>
      </c>
    </row>
    <row r="235" spans="1:6">
      <c r="A235">
        <v>9278</v>
      </c>
      <c r="B235" t="s">
        <v>304</v>
      </c>
      <c r="C235" t="s">
        <v>30</v>
      </c>
      <c r="D235">
        <v>2394</v>
      </c>
      <c r="F235" t="b">
        <v>1</v>
      </c>
    </row>
    <row r="236" spans="1:6">
      <c r="A236">
        <v>5406</v>
      </c>
      <c r="B236" t="s">
        <v>353</v>
      </c>
      <c r="C236" t="s">
        <v>30</v>
      </c>
      <c r="D236">
        <v>4329</v>
      </c>
      <c r="F236" t="b">
        <v>0</v>
      </c>
    </row>
    <row r="237" spans="1:6">
      <c r="A237">
        <v>4641</v>
      </c>
      <c r="B237" t="s">
        <v>311</v>
      </c>
      <c r="C237" t="s">
        <v>30</v>
      </c>
      <c r="D237">
        <v>2193</v>
      </c>
      <c r="F237" t="b">
        <v>1</v>
      </c>
    </row>
    <row r="238" spans="1:6">
      <c r="A238">
        <v>3969</v>
      </c>
      <c r="B238" t="s">
        <v>329</v>
      </c>
      <c r="C238" t="s">
        <v>30</v>
      </c>
      <c r="D238">
        <v>3730</v>
      </c>
      <c r="F238" t="b">
        <v>1</v>
      </c>
    </row>
    <row r="239" spans="1:6">
      <c r="A239">
        <v>3078</v>
      </c>
      <c r="B239" t="s">
        <v>355</v>
      </c>
      <c r="C239" t="s">
        <v>30</v>
      </c>
      <c r="D239">
        <v>2234</v>
      </c>
      <c r="F239" t="b">
        <v>0</v>
      </c>
    </row>
    <row r="240" spans="1:6">
      <c r="A240">
        <v>2808</v>
      </c>
      <c r="B240" t="s">
        <v>177</v>
      </c>
      <c r="C240" t="s">
        <v>30</v>
      </c>
      <c r="D240">
        <v>718</v>
      </c>
      <c r="F240" t="b">
        <v>0</v>
      </c>
    </row>
    <row r="241" spans="1:6">
      <c r="A241">
        <v>7484</v>
      </c>
      <c r="B241" t="s">
        <v>340</v>
      </c>
      <c r="C241" t="s">
        <v>30</v>
      </c>
      <c r="D241">
        <v>1594</v>
      </c>
      <c r="F241" t="b">
        <v>1</v>
      </c>
    </row>
    <row r="242" spans="1:6">
      <c r="A242">
        <v>2396</v>
      </c>
      <c r="B242" t="s">
        <v>272</v>
      </c>
      <c r="C242" t="s">
        <v>30</v>
      </c>
      <c r="D242">
        <v>681</v>
      </c>
      <c r="F242" t="b">
        <v>1</v>
      </c>
    </row>
    <row r="243" spans="1:6">
      <c r="A243">
        <v>2472</v>
      </c>
      <c r="B243" t="s">
        <v>325</v>
      </c>
      <c r="C243" t="s">
        <v>30</v>
      </c>
      <c r="D243">
        <v>428</v>
      </c>
      <c r="F243" t="b">
        <v>1</v>
      </c>
    </row>
    <row r="244" spans="1:6">
      <c r="A244">
        <v>7939</v>
      </c>
      <c r="B244" t="s">
        <v>357</v>
      </c>
      <c r="C244" t="s">
        <v>30</v>
      </c>
      <c r="D244">
        <v>2542</v>
      </c>
      <c r="F244" t="b">
        <v>0</v>
      </c>
    </row>
    <row r="245" spans="1:6">
      <c r="A245">
        <v>8269</v>
      </c>
      <c r="B245" t="s">
        <v>88</v>
      </c>
      <c r="C245" t="s">
        <v>30</v>
      </c>
      <c r="D245">
        <v>4763</v>
      </c>
      <c r="F245" t="b">
        <v>0</v>
      </c>
    </row>
    <row r="246" spans="1:6">
      <c r="A246">
        <v>9073</v>
      </c>
      <c r="B246" t="s">
        <v>104</v>
      </c>
      <c r="C246" t="s">
        <v>30</v>
      </c>
      <c r="D246">
        <v>486</v>
      </c>
      <c r="F246" t="b">
        <v>0</v>
      </c>
    </row>
    <row r="247" spans="1:6">
      <c r="A247">
        <v>9879</v>
      </c>
      <c r="B247" t="s">
        <v>143</v>
      </c>
      <c r="C247" t="s">
        <v>30</v>
      </c>
      <c r="D247">
        <v>4327</v>
      </c>
      <c r="F247" t="b">
        <v>1</v>
      </c>
    </row>
    <row r="248" spans="1:6">
      <c r="A248">
        <v>3822</v>
      </c>
      <c r="B248" t="s">
        <v>359</v>
      </c>
      <c r="C248" t="s">
        <v>30</v>
      </c>
      <c r="D248">
        <v>2938</v>
      </c>
      <c r="F248" t="b">
        <v>1</v>
      </c>
    </row>
    <row r="249" spans="1:6">
      <c r="A249">
        <v>9183</v>
      </c>
      <c r="B249" t="s">
        <v>101</v>
      </c>
      <c r="C249" t="s">
        <v>30</v>
      </c>
      <c r="D249">
        <v>1429</v>
      </c>
      <c r="F249" t="b">
        <v>0</v>
      </c>
    </row>
    <row r="250" spans="1:6">
      <c r="A250">
        <v>8674</v>
      </c>
      <c r="B250" t="s">
        <v>360</v>
      </c>
      <c r="C250" t="s">
        <v>30</v>
      </c>
      <c r="D250">
        <v>2897</v>
      </c>
      <c r="F250" t="b">
        <v>1</v>
      </c>
    </row>
    <row r="251" spans="1:6">
      <c r="A251">
        <v>2481</v>
      </c>
      <c r="B251" t="s">
        <v>361</v>
      </c>
      <c r="C251" t="s">
        <v>30</v>
      </c>
      <c r="D251">
        <v>274</v>
      </c>
      <c r="F251" t="b">
        <v>1</v>
      </c>
    </row>
    <row r="252" spans="1:6">
      <c r="A252">
        <v>8729</v>
      </c>
      <c r="B252" t="s">
        <v>363</v>
      </c>
      <c r="C252" t="s">
        <v>30</v>
      </c>
      <c r="D252">
        <v>3910</v>
      </c>
      <c r="F252" t="b">
        <v>0</v>
      </c>
    </row>
    <row r="253" spans="1:6">
      <c r="A253">
        <v>5534</v>
      </c>
      <c r="B253" t="s">
        <v>364</v>
      </c>
      <c r="C253" t="s">
        <v>30</v>
      </c>
      <c r="D253">
        <v>130</v>
      </c>
      <c r="F253" t="b">
        <v>0</v>
      </c>
    </row>
    <row r="254" spans="1:6">
      <c r="A254">
        <v>9785</v>
      </c>
      <c r="B254" t="s">
        <v>259</v>
      </c>
      <c r="C254" t="s">
        <v>30</v>
      </c>
      <c r="D254">
        <v>2557</v>
      </c>
      <c r="F254" t="b">
        <v>1</v>
      </c>
    </row>
    <row r="255" spans="1:6">
      <c r="A255">
        <v>9609</v>
      </c>
      <c r="B255" t="s">
        <v>344</v>
      </c>
      <c r="C255" t="s">
        <v>30</v>
      </c>
      <c r="D255">
        <v>3823</v>
      </c>
      <c r="F255" t="b">
        <v>0</v>
      </c>
    </row>
    <row r="256" spans="1:6">
      <c r="A256">
        <v>2829</v>
      </c>
      <c r="B256" t="s">
        <v>365</v>
      </c>
      <c r="C256" t="s">
        <v>30</v>
      </c>
      <c r="D256">
        <v>4048</v>
      </c>
      <c r="F256" t="b">
        <v>0</v>
      </c>
    </row>
    <row r="257" spans="1:6">
      <c r="A257">
        <v>1714</v>
      </c>
      <c r="B257" t="s">
        <v>367</v>
      </c>
      <c r="C257" t="s">
        <v>30</v>
      </c>
      <c r="D257">
        <v>3173</v>
      </c>
      <c r="F257" t="b">
        <v>1</v>
      </c>
    </row>
    <row r="258" spans="1:6">
      <c r="A258">
        <v>4475</v>
      </c>
      <c r="B258" t="s">
        <v>369</v>
      </c>
      <c r="C258" t="s">
        <v>30</v>
      </c>
      <c r="D258">
        <v>3289</v>
      </c>
      <c r="F258" t="b">
        <v>0</v>
      </c>
    </row>
    <row r="259" spans="1:6">
      <c r="A259">
        <v>9820</v>
      </c>
      <c r="B259" t="s">
        <v>153</v>
      </c>
      <c r="C259" t="s">
        <v>30</v>
      </c>
      <c r="D259">
        <v>4377</v>
      </c>
      <c r="F259" t="b">
        <v>1</v>
      </c>
    </row>
    <row r="260" spans="1:6">
      <c r="A260">
        <v>3261</v>
      </c>
      <c r="B260" t="s">
        <v>179</v>
      </c>
      <c r="C260" t="s">
        <v>30</v>
      </c>
      <c r="D260">
        <v>995</v>
      </c>
      <c r="F260" t="b">
        <v>0</v>
      </c>
    </row>
    <row r="261" spans="1:6">
      <c r="A261">
        <v>6130</v>
      </c>
      <c r="B261" t="s">
        <v>157</v>
      </c>
      <c r="C261" t="s">
        <v>30</v>
      </c>
      <c r="D261">
        <v>2299</v>
      </c>
      <c r="F261" t="b">
        <v>1</v>
      </c>
    </row>
    <row r="262" spans="1:6">
      <c r="A262">
        <v>9399</v>
      </c>
      <c r="B262" t="s">
        <v>183</v>
      </c>
      <c r="C262" t="s">
        <v>30</v>
      </c>
      <c r="D262">
        <v>4644</v>
      </c>
      <c r="F262" t="b">
        <v>1</v>
      </c>
    </row>
    <row r="263" spans="1:6">
      <c r="A263">
        <v>6047</v>
      </c>
      <c r="B263" t="s">
        <v>284</v>
      </c>
      <c r="C263" t="s">
        <v>30</v>
      </c>
      <c r="D263">
        <v>746</v>
      </c>
      <c r="F263" t="b">
        <v>1</v>
      </c>
    </row>
    <row r="264" spans="1:6">
      <c r="A264">
        <v>7789</v>
      </c>
      <c r="B264" t="s">
        <v>120</v>
      </c>
      <c r="C264" t="s">
        <v>30</v>
      </c>
      <c r="D264">
        <v>2835</v>
      </c>
      <c r="F264" t="b">
        <v>1</v>
      </c>
    </row>
    <row r="265" spans="1:6">
      <c r="A265">
        <v>6111</v>
      </c>
      <c r="B265" t="s">
        <v>176</v>
      </c>
      <c r="C265" t="s">
        <v>30</v>
      </c>
      <c r="D265">
        <v>3626</v>
      </c>
      <c r="F265" t="b">
        <v>0</v>
      </c>
    </row>
    <row r="266" spans="1:6">
      <c r="A266">
        <v>4968</v>
      </c>
      <c r="B266" t="s">
        <v>373</v>
      </c>
      <c r="C266" t="s">
        <v>30</v>
      </c>
      <c r="D266">
        <v>1000</v>
      </c>
      <c r="F266" t="b">
        <v>0</v>
      </c>
    </row>
    <row r="267" spans="1:6">
      <c r="A267">
        <v>2739</v>
      </c>
      <c r="B267" t="s">
        <v>374</v>
      </c>
      <c r="C267" t="s">
        <v>30</v>
      </c>
      <c r="D267">
        <v>368</v>
      </c>
      <c r="F267" t="b">
        <v>1</v>
      </c>
    </row>
    <row r="268" spans="1:6">
      <c r="A268">
        <v>6974</v>
      </c>
      <c r="B268" t="s">
        <v>77</v>
      </c>
      <c r="C268" t="s">
        <v>30</v>
      </c>
      <c r="D268">
        <v>2229</v>
      </c>
      <c r="F268" t="b">
        <v>0</v>
      </c>
    </row>
    <row r="269" spans="1:6">
      <c r="A269">
        <v>1784</v>
      </c>
      <c r="B269" t="s">
        <v>244</v>
      </c>
      <c r="C269" t="s">
        <v>30</v>
      </c>
      <c r="D269">
        <v>2643</v>
      </c>
      <c r="F269" t="b">
        <v>1</v>
      </c>
    </row>
    <row r="270" spans="1:6">
      <c r="A270">
        <v>8077</v>
      </c>
      <c r="B270" t="s">
        <v>128</v>
      </c>
      <c r="C270" t="s">
        <v>30</v>
      </c>
      <c r="D270">
        <v>2647</v>
      </c>
      <c r="F270" t="b">
        <v>0</v>
      </c>
    </row>
    <row r="271" spans="1:6">
      <c r="A271">
        <v>2727</v>
      </c>
      <c r="B271" t="s">
        <v>376</v>
      </c>
      <c r="C271" t="s">
        <v>30</v>
      </c>
      <c r="D271">
        <v>4497</v>
      </c>
      <c r="F271" t="b">
        <v>0</v>
      </c>
    </row>
    <row r="272" spans="1:6">
      <c r="A272">
        <v>7661</v>
      </c>
      <c r="B272" t="s">
        <v>378</v>
      </c>
      <c r="C272" t="s">
        <v>30</v>
      </c>
      <c r="D272">
        <v>1121</v>
      </c>
      <c r="F272" t="b">
        <v>1</v>
      </c>
    </row>
    <row r="273" spans="1:6">
      <c r="A273">
        <v>5083</v>
      </c>
      <c r="B273" t="s">
        <v>148</v>
      </c>
      <c r="C273" t="s">
        <v>30</v>
      </c>
      <c r="D273">
        <v>1525</v>
      </c>
      <c r="F273" t="b">
        <v>0</v>
      </c>
    </row>
    <row r="274" spans="1:6">
      <c r="A274">
        <v>7275</v>
      </c>
      <c r="B274" t="s">
        <v>379</v>
      </c>
      <c r="C274" t="s">
        <v>30</v>
      </c>
      <c r="D274">
        <v>3488</v>
      </c>
      <c r="F274" t="b">
        <v>0</v>
      </c>
    </row>
    <row r="275" spans="1:6">
      <c r="A275">
        <v>7316</v>
      </c>
      <c r="B275" t="s">
        <v>380</v>
      </c>
      <c r="C275" t="s">
        <v>30</v>
      </c>
      <c r="D275">
        <v>3009</v>
      </c>
      <c r="F275" t="b">
        <v>0</v>
      </c>
    </row>
    <row r="276" spans="1:6">
      <c r="A276">
        <v>4497</v>
      </c>
      <c r="B276" t="s">
        <v>382</v>
      </c>
      <c r="C276" t="s">
        <v>30</v>
      </c>
      <c r="D276">
        <v>15</v>
      </c>
      <c r="F276" t="b">
        <v>0</v>
      </c>
    </row>
    <row r="277" spans="1:6">
      <c r="A277">
        <v>8685</v>
      </c>
      <c r="B277" t="s">
        <v>138</v>
      </c>
      <c r="C277" t="s">
        <v>30</v>
      </c>
      <c r="D277">
        <v>3007</v>
      </c>
      <c r="F277" t="b">
        <v>1</v>
      </c>
    </row>
    <row r="278" spans="1:6">
      <c r="A278">
        <v>8583</v>
      </c>
      <c r="B278" t="s">
        <v>118</v>
      </c>
      <c r="C278" t="s">
        <v>30</v>
      </c>
      <c r="D278">
        <v>4588</v>
      </c>
      <c r="F278" t="b">
        <v>1</v>
      </c>
    </row>
    <row r="279" spans="1:6">
      <c r="A279">
        <v>1062</v>
      </c>
      <c r="B279" t="s">
        <v>179</v>
      </c>
      <c r="C279" t="s">
        <v>30</v>
      </c>
      <c r="D279">
        <v>73</v>
      </c>
      <c r="F279" t="b">
        <v>1</v>
      </c>
    </row>
    <row r="280" spans="1:6">
      <c r="A280">
        <v>2593</v>
      </c>
      <c r="B280" t="s">
        <v>130</v>
      </c>
      <c r="C280" t="s">
        <v>30</v>
      </c>
      <c r="D280">
        <v>4635</v>
      </c>
      <c r="F280" t="b">
        <v>1</v>
      </c>
    </row>
    <row r="281" spans="1:6">
      <c r="A281">
        <v>3951</v>
      </c>
      <c r="B281" t="s">
        <v>383</v>
      </c>
      <c r="C281" t="s">
        <v>30</v>
      </c>
      <c r="D281">
        <v>1882</v>
      </c>
      <c r="F281" t="b">
        <v>0</v>
      </c>
    </row>
    <row r="282" spans="1:6">
      <c r="A282">
        <v>8580</v>
      </c>
      <c r="B282" t="s">
        <v>385</v>
      </c>
      <c r="C282" t="s">
        <v>30</v>
      </c>
      <c r="D282">
        <v>1690</v>
      </c>
      <c r="F282" t="b">
        <v>1</v>
      </c>
    </row>
    <row r="283" spans="1:6">
      <c r="A283">
        <v>4372</v>
      </c>
      <c r="B283" t="s">
        <v>157</v>
      </c>
      <c r="C283" t="s">
        <v>30</v>
      </c>
      <c r="D283">
        <v>2572</v>
      </c>
      <c r="F283" t="b">
        <v>0</v>
      </c>
    </row>
    <row r="284" spans="1:6">
      <c r="A284">
        <v>4463</v>
      </c>
      <c r="B284" t="s">
        <v>387</v>
      </c>
      <c r="C284" t="s">
        <v>30</v>
      </c>
      <c r="D284">
        <v>3865</v>
      </c>
      <c r="F284" t="b">
        <v>0</v>
      </c>
    </row>
    <row r="285" spans="1:6">
      <c r="A285">
        <v>7498</v>
      </c>
      <c r="B285" t="s">
        <v>389</v>
      </c>
      <c r="C285" t="s">
        <v>30</v>
      </c>
      <c r="D285">
        <v>380</v>
      </c>
      <c r="F285" t="b">
        <v>0</v>
      </c>
    </row>
    <row r="286" spans="1:6">
      <c r="A286">
        <v>9618</v>
      </c>
      <c r="B286" t="s">
        <v>234</v>
      </c>
      <c r="C286" t="s">
        <v>30</v>
      </c>
      <c r="D286">
        <v>3566</v>
      </c>
      <c r="F286" t="b">
        <v>1</v>
      </c>
    </row>
    <row r="287" spans="1:6">
      <c r="A287">
        <v>1813</v>
      </c>
      <c r="B287" t="s">
        <v>391</v>
      </c>
      <c r="C287" t="s">
        <v>30</v>
      </c>
      <c r="D287">
        <v>1835</v>
      </c>
      <c r="F287" t="b">
        <v>0</v>
      </c>
    </row>
    <row r="288" spans="1:6">
      <c r="A288">
        <v>3009</v>
      </c>
      <c r="B288" t="s">
        <v>393</v>
      </c>
      <c r="C288" t="s">
        <v>30</v>
      </c>
      <c r="D288">
        <v>1882</v>
      </c>
      <c r="F288" t="b">
        <v>0</v>
      </c>
    </row>
    <row r="289" spans="1:6">
      <c r="A289">
        <v>8210</v>
      </c>
      <c r="B289" t="s">
        <v>114</v>
      </c>
      <c r="C289" t="s">
        <v>30</v>
      </c>
      <c r="D289">
        <v>525</v>
      </c>
      <c r="F289" t="b">
        <v>0</v>
      </c>
    </row>
    <row r="290" spans="1:6">
      <c r="A290">
        <v>8439</v>
      </c>
      <c r="B290" t="s">
        <v>395</v>
      </c>
      <c r="C290" t="s">
        <v>30</v>
      </c>
      <c r="D290">
        <v>1025</v>
      </c>
      <c r="F290" t="b">
        <v>1</v>
      </c>
    </row>
    <row r="291" spans="1:6">
      <c r="A291">
        <v>8310</v>
      </c>
      <c r="B291" t="s">
        <v>344</v>
      </c>
      <c r="C291" t="s">
        <v>30</v>
      </c>
      <c r="D291">
        <v>2508</v>
      </c>
      <c r="F291" t="b">
        <v>0</v>
      </c>
    </row>
    <row r="292" spans="1:6">
      <c r="A292">
        <v>6369</v>
      </c>
      <c r="B292" t="s">
        <v>143</v>
      </c>
      <c r="C292" t="s">
        <v>30</v>
      </c>
      <c r="D292">
        <v>1546</v>
      </c>
      <c r="F292" t="b">
        <v>0</v>
      </c>
    </row>
    <row r="293" spans="1:6">
      <c r="A293">
        <v>5721</v>
      </c>
      <c r="B293" t="s">
        <v>399</v>
      </c>
      <c r="C293" t="s">
        <v>30</v>
      </c>
      <c r="D293">
        <v>1955</v>
      </c>
      <c r="F293" t="b">
        <v>1</v>
      </c>
    </row>
    <row r="294" spans="1:6">
      <c r="A294">
        <v>4204</v>
      </c>
      <c r="B294" t="s">
        <v>169</v>
      </c>
      <c r="C294" t="s">
        <v>30</v>
      </c>
      <c r="D294">
        <v>4889</v>
      </c>
      <c r="F294" t="b">
        <v>1</v>
      </c>
    </row>
    <row r="295" spans="1:6">
      <c r="A295">
        <v>5666</v>
      </c>
      <c r="B295" t="s">
        <v>272</v>
      </c>
      <c r="C295" t="s">
        <v>30</v>
      </c>
      <c r="D295">
        <v>1185</v>
      </c>
      <c r="F295" t="b">
        <v>0</v>
      </c>
    </row>
    <row r="296" spans="1:6">
      <c r="A296">
        <v>5943</v>
      </c>
      <c r="B296" t="s">
        <v>401</v>
      </c>
      <c r="C296" t="s">
        <v>30</v>
      </c>
      <c r="D296">
        <v>3040</v>
      </c>
      <c r="F296" t="b">
        <v>1</v>
      </c>
    </row>
    <row r="297" spans="1:6">
      <c r="A297">
        <v>3202</v>
      </c>
      <c r="B297" t="s">
        <v>52</v>
      </c>
      <c r="C297" t="s">
        <v>30</v>
      </c>
      <c r="D297">
        <v>4729</v>
      </c>
      <c r="F297" t="b">
        <v>1</v>
      </c>
    </row>
    <row r="298" spans="1:6">
      <c r="A298">
        <v>4512</v>
      </c>
      <c r="B298" t="s">
        <v>259</v>
      </c>
      <c r="C298" t="s">
        <v>30</v>
      </c>
      <c r="D298">
        <v>4193</v>
      </c>
      <c r="F298" t="b">
        <v>0</v>
      </c>
    </row>
    <row r="299" spans="1:6">
      <c r="A299">
        <v>2075</v>
      </c>
      <c r="B299" t="s">
        <v>347</v>
      </c>
      <c r="C299" t="s">
        <v>30</v>
      </c>
      <c r="D299">
        <v>4626</v>
      </c>
      <c r="F299" t="b">
        <v>0</v>
      </c>
    </row>
    <row r="300" spans="1:6">
      <c r="A300">
        <v>4057</v>
      </c>
      <c r="B300" t="s">
        <v>404</v>
      </c>
      <c r="C300" t="s">
        <v>30</v>
      </c>
      <c r="D300">
        <v>60</v>
      </c>
      <c r="F300" t="b">
        <v>0</v>
      </c>
    </row>
    <row r="301" spans="1:6">
      <c r="A301">
        <v>5537</v>
      </c>
      <c r="B301" t="s">
        <v>212</v>
      </c>
      <c r="C301" t="s">
        <v>30</v>
      </c>
      <c r="D301">
        <v>2597</v>
      </c>
      <c r="F301" t="b">
        <v>1</v>
      </c>
    </row>
    <row r="302" spans="1:6">
      <c r="A302">
        <v>9520</v>
      </c>
      <c r="B302" t="s">
        <v>405</v>
      </c>
      <c r="C302" t="s">
        <v>30</v>
      </c>
      <c r="D302">
        <v>260</v>
      </c>
      <c r="F302" t="b">
        <v>0</v>
      </c>
    </row>
    <row r="303" spans="1:6">
      <c r="A303">
        <v>1081</v>
      </c>
      <c r="B303" t="s">
        <v>406</v>
      </c>
      <c r="C303" t="s">
        <v>30</v>
      </c>
      <c r="D303">
        <v>1544</v>
      </c>
      <c r="F303" t="b">
        <v>0</v>
      </c>
    </row>
    <row r="304" spans="1:6">
      <c r="A304">
        <v>7621</v>
      </c>
      <c r="B304" t="s">
        <v>405</v>
      </c>
      <c r="C304" t="s">
        <v>30</v>
      </c>
      <c r="D304">
        <v>4528</v>
      </c>
      <c r="F304" t="b">
        <v>1</v>
      </c>
    </row>
    <row r="305" spans="1:6">
      <c r="A305">
        <v>4558</v>
      </c>
      <c r="B305" t="s">
        <v>204</v>
      </c>
      <c r="C305" t="s">
        <v>30</v>
      </c>
      <c r="D305">
        <v>1127</v>
      </c>
      <c r="F305" t="b">
        <v>0</v>
      </c>
    </row>
    <row r="306" spans="1:6">
      <c r="A306">
        <v>6628</v>
      </c>
      <c r="B306" t="s">
        <v>357</v>
      </c>
      <c r="C306" t="s">
        <v>30</v>
      </c>
      <c r="D306">
        <v>4542</v>
      </c>
      <c r="F306" t="b">
        <v>0</v>
      </c>
    </row>
    <row r="307" spans="1:6">
      <c r="A307">
        <v>7643</v>
      </c>
      <c r="B307" t="s">
        <v>408</v>
      </c>
      <c r="C307" t="s">
        <v>30</v>
      </c>
      <c r="D307">
        <v>1436</v>
      </c>
      <c r="F307" t="b">
        <v>1</v>
      </c>
    </row>
    <row r="308" spans="1:6">
      <c r="A308">
        <v>4709</v>
      </c>
      <c r="B308" t="s">
        <v>409</v>
      </c>
      <c r="C308" t="s">
        <v>30</v>
      </c>
      <c r="D308">
        <v>4438</v>
      </c>
      <c r="F308" t="b">
        <v>0</v>
      </c>
    </row>
    <row r="309" spans="1:6">
      <c r="A309">
        <v>8408</v>
      </c>
      <c r="B309" t="s">
        <v>176</v>
      </c>
      <c r="C309" t="s">
        <v>30</v>
      </c>
      <c r="D309">
        <v>3130</v>
      </c>
      <c r="F309" t="b">
        <v>1</v>
      </c>
    </row>
    <row r="310" spans="1:6">
      <c r="A310">
        <v>3530</v>
      </c>
      <c r="B310" t="s">
        <v>411</v>
      </c>
      <c r="C310" t="s">
        <v>30</v>
      </c>
      <c r="D310">
        <v>3379</v>
      </c>
      <c r="F310" t="b">
        <v>1</v>
      </c>
    </row>
    <row r="311" spans="1:6">
      <c r="A311">
        <v>3779</v>
      </c>
      <c r="B311" t="s">
        <v>291</v>
      </c>
      <c r="C311" t="s">
        <v>30</v>
      </c>
      <c r="D311">
        <v>3696</v>
      </c>
      <c r="F311" t="b">
        <v>0</v>
      </c>
    </row>
    <row r="312" spans="1:6">
      <c r="A312">
        <v>8564</v>
      </c>
      <c r="B312" t="s">
        <v>202</v>
      </c>
      <c r="C312" t="s">
        <v>30</v>
      </c>
      <c r="D312">
        <v>2416</v>
      </c>
      <c r="F312" t="b">
        <v>1</v>
      </c>
    </row>
    <row r="313" spans="1:6">
      <c r="A313">
        <v>8731</v>
      </c>
      <c r="B313" t="s">
        <v>177</v>
      </c>
      <c r="C313" t="s">
        <v>30</v>
      </c>
      <c r="D313">
        <v>2856</v>
      </c>
      <c r="F313" t="b">
        <v>0</v>
      </c>
    </row>
    <row r="314" spans="1:6">
      <c r="A314">
        <v>5000</v>
      </c>
      <c r="B314" t="s">
        <v>150</v>
      </c>
      <c r="C314" t="s">
        <v>30</v>
      </c>
      <c r="D314">
        <v>4177</v>
      </c>
      <c r="F314" t="b">
        <v>1</v>
      </c>
    </row>
    <row r="315" spans="1:6">
      <c r="A315">
        <v>3882</v>
      </c>
      <c r="B315" t="s">
        <v>318</v>
      </c>
      <c r="C315" t="s">
        <v>30</v>
      </c>
      <c r="D315">
        <v>1912</v>
      </c>
      <c r="F315" t="b">
        <v>0</v>
      </c>
    </row>
    <row r="316" spans="1:6">
      <c r="A316">
        <v>4551</v>
      </c>
      <c r="B316" t="s">
        <v>414</v>
      </c>
      <c r="C316" t="s">
        <v>30</v>
      </c>
      <c r="D316">
        <v>2388</v>
      </c>
      <c r="F316" t="b">
        <v>0</v>
      </c>
    </row>
    <row r="317" spans="1:6">
      <c r="A317">
        <v>7970</v>
      </c>
      <c r="B317" t="s">
        <v>169</v>
      </c>
      <c r="C317" t="s">
        <v>30</v>
      </c>
      <c r="D317">
        <v>4216</v>
      </c>
      <c r="F317" t="b">
        <v>0</v>
      </c>
    </row>
    <row r="318" spans="1:6">
      <c r="A318">
        <v>2466</v>
      </c>
      <c r="B318" t="s">
        <v>417</v>
      </c>
      <c r="C318" t="s">
        <v>30</v>
      </c>
      <c r="D318">
        <v>599</v>
      </c>
      <c r="F318" t="b">
        <v>1</v>
      </c>
    </row>
    <row r="319" spans="1:6">
      <c r="A319">
        <v>1303</v>
      </c>
      <c r="B319" t="s">
        <v>140</v>
      </c>
      <c r="C319" t="s">
        <v>30</v>
      </c>
      <c r="D319">
        <v>804</v>
      </c>
      <c r="F319" t="b">
        <v>1</v>
      </c>
    </row>
    <row r="320" spans="1:6">
      <c r="A320">
        <v>9832</v>
      </c>
      <c r="B320" t="s">
        <v>311</v>
      </c>
      <c r="C320" t="s">
        <v>30</v>
      </c>
      <c r="D320">
        <v>4565</v>
      </c>
      <c r="F320" t="b">
        <v>0</v>
      </c>
    </row>
    <row r="321" spans="1:6">
      <c r="A321">
        <v>3618</v>
      </c>
      <c r="B321" t="s">
        <v>284</v>
      </c>
      <c r="C321" t="s">
        <v>30</v>
      </c>
      <c r="D321">
        <v>1095</v>
      </c>
      <c r="F321" t="b">
        <v>0</v>
      </c>
    </row>
    <row r="322" spans="1:6">
      <c r="A322">
        <v>7424</v>
      </c>
      <c r="B322" t="s">
        <v>148</v>
      </c>
      <c r="C322" t="s">
        <v>30</v>
      </c>
      <c r="D322">
        <v>1512</v>
      </c>
      <c r="F322" t="b">
        <v>0</v>
      </c>
    </row>
    <row r="323" spans="1:6">
      <c r="A323">
        <v>8414</v>
      </c>
      <c r="B323" t="s">
        <v>148</v>
      </c>
      <c r="C323" t="s">
        <v>30</v>
      </c>
      <c r="D323">
        <v>1422</v>
      </c>
      <c r="F323" t="b">
        <v>0</v>
      </c>
    </row>
    <row r="324" spans="1:6">
      <c r="A324">
        <v>5688</v>
      </c>
      <c r="B324" t="s">
        <v>140</v>
      </c>
      <c r="C324" t="s">
        <v>30</v>
      </c>
      <c r="D324">
        <v>147</v>
      </c>
      <c r="F324" t="b">
        <v>0</v>
      </c>
    </row>
    <row r="325" spans="1:6">
      <c r="A325">
        <v>2062</v>
      </c>
      <c r="B325" t="s">
        <v>421</v>
      </c>
      <c r="C325" t="s">
        <v>30</v>
      </c>
      <c r="D325">
        <v>4317</v>
      </c>
      <c r="F325" t="b">
        <v>1</v>
      </c>
    </row>
    <row r="326" spans="1:6">
      <c r="A326">
        <v>5031</v>
      </c>
      <c r="B326" t="s">
        <v>422</v>
      </c>
      <c r="C326" t="s">
        <v>30</v>
      </c>
      <c r="D326">
        <v>3197</v>
      </c>
      <c r="F326" t="b">
        <v>1</v>
      </c>
    </row>
    <row r="327" spans="1:6">
      <c r="A327">
        <v>1162</v>
      </c>
      <c r="B327" t="s">
        <v>294</v>
      </c>
      <c r="C327" t="s">
        <v>30</v>
      </c>
      <c r="D327">
        <v>1413</v>
      </c>
      <c r="F327" t="b">
        <v>0</v>
      </c>
    </row>
    <row r="328" spans="1:6">
      <c r="A328">
        <v>6564</v>
      </c>
      <c r="B328" t="s">
        <v>153</v>
      </c>
      <c r="C328" t="s">
        <v>30</v>
      </c>
      <c r="D328">
        <v>747</v>
      </c>
      <c r="F328" t="b">
        <v>1</v>
      </c>
    </row>
    <row r="329" spans="1:6">
      <c r="A329">
        <v>9298</v>
      </c>
      <c r="B329" t="s">
        <v>174</v>
      </c>
      <c r="C329" t="s">
        <v>30</v>
      </c>
      <c r="D329">
        <v>1099</v>
      </c>
      <c r="F329" t="b">
        <v>0</v>
      </c>
    </row>
    <row r="330" spans="1:6">
      <c r="A330">
        <v>4216</v>
      </c>
      <c r="B330" t="s">
        <v>424</v>
      </c>
      <c r="C330" t="s">
        <v>30</v>
      </c>
      <c r="D330">
        <v>585</v>
      </c>
      <c r="F330" t="b">
        <v>1</v>
      </c>
    </row>
    <row r="331" spans="1:6">
      <c r="A331">
        <v>3677</v>
      </c>
      <c r="B331" t="s">
        <v>226</v>
      </c>
      <c r="C331" t="s">
        <v>30</v>
      </c>
      <c r="D331">
        <v>615</v>
      </c>
      <c r="F331" t="b">
        <v>1</v>
      </c>
    </row>
    <row r="332" spans="1:6">
      <c r="A332">
        <v>8453</v>
      </c>
      <c r="B332" t="s">
        <v>344</v>
      </c>
      <c r="C332" t="s">
        <v>30</v>
      </c>
      <c r="D332">
        <v>2634</v>
      </c>
      <c r="F332" t="b">
        <v>0</v>
      </c>
    </row>
    <row r="333" spans="1:6">
      <c r="A333">
        <v>6231</v>
      </c>
      <c r="B333" t="s">
        <v>186</v>
      </c>
      <c r="C333" t="s">
        <v>30</v>
      </c>
      <c r="D333">
        <v>136</v>
      </c>
      <c r="F333" t="b">
        <v>1</v>
      </c>
    </row>
    <row r="334" spans="1:6">
      <c r="A334">
        <v>1481</v>
      </c>
      <c r="B334" t="s">
        <v>52</v>
      </c>
      <c r="C334" t="s">
        <v>30</v>
      </c>
      <c r="D334">
        <v>4566</v>
      </c>
      <c r="F334" t="b">
        <v>1</v>
      </c>
    </row>
    <row r="335" spans="1:6">
      <c r="A335">
        <v>7400</v>
      </c>
      <c r="B335" t="s">
        <v>428</v>
      </c>
      <c r="C335" t="s">
        <v>30</v>
      </c>
      <c r="D335">
        <v>3281</v>
      </c>
      <c r="F335" t="b">
        <v>0</v>
      </c>
    </row>
    <row r="336" spans="1:6">
      <c r="A336">
        <v>7447</v>
      </c>
      <c r="B336" t="s">
        <v>130</v>
      </c>
      <c r="C336" t="s">
        <v>30</v>
      </c>
      <c r="D336">
        <v>1559</v>
      </c>
      <c r="F336" t="b">
        <v>0</v>
      </c>
    </row>
    <row r="337" spans="1:6">
      <c r="A337">
        <v>4597</v>
      </c>
      <c r="B337" t="s">
        <v>244</v>
      </c>
      <c r="C337" t="s">
        <v>30</v>
      </c>
      <c r="D337">
        <v>3113</v>
      </c>
      <c r="F337" t="b">
        <v>0</v>
      </c>
    </row>
    <row r="338" spans="1:6">
      <c r="A338">
        <v>3173</v>
      </c>
      <c r="B338" t="s">
        <v>236</v>
      </c>
      <c r="C338" t="s">
        <v>30</v>
      </c>
      <c r="D338">
        <v>3836</v>
      </c>
      <c r="F338" t="b">
        <v>0</v>
      </c>
    </row>
    <row r="339" spans="1:6">
      <c r="A339">
        <v>9514</v>
      </c>
      <c r="B339" t="s">
        <v>431</v>
      </c>
      <c r="C339" t="s">
        <v>30</v>
      </c>
      <c r="D339">
        <v>1522</v>
      </c>
      <c r="F339" t="b">
        <v>1</v>
      </c>
    </row>
    <row r="340" spans="1:6">
      <c r="A340">
        <v>4985</v>
      </c>
      <c r="B340" t="s">
        <v>157</v>
      </c>
      <c r="C340" t="s">
        <v>30</v>
      </c>
      <c r="D340">
        <v>1756</v>
      </c>
      <c r="F340" t="b">
        <v>1</v>
      </c>
    </row>
    <row r="341" spans="1:6">
      <c r="A341">
        <v>4486</v>
      </c>
      <c r="B341" t="s">
        <v>395</v>
      </c>
      <c r="C341" t="s">
        <v>30</v>
      </c>
      <c r="D341">
        <v>1542</v>
      </c>
      <c r="F341" t="b">
        <v>0</v>
      </c>
    </row>
    <row r="342" spans="1:6">
      <c r="A342">
        <v>8756</v>
      </c>
      <c r="B342" t="s">
        <v>143</v>
      </c>
      <c r="C342" t="s">
        <v>30</v>
      </c>
      <c r="D342">
        <v>77</v>
      </c>
      <c r="F342" t="b">
        <v>0</v>
      </c>
    </row>
    <row r="343" spans="1:6">
      <c r="A343">
        <v>9121</v>
      </c>
      <c r="B343" t="s">
        <v>262</v>
      </c>
      <c r="C343" t="s">
        <v>30</v>
      </c>
      <c r="D343">
        <v>4356</v>
      </c>
      <c r="F343" t="b">
        <v>0</v>
      </c>
    </row>
    <row r="344" spans="1:6">
      <c r="A344">
        <v>6471</v>
      </c>
      <c r="B344" t="s">
        <v>88</v>
      </c>
      <c r="C344" t="s">
        <v>30</v>
      </c>
      <c r="D344">
        <v>1989</v>
      </c>
      <c r="F344" t="b">
        <v>0</v>
      </c>
    </row>
    <row r="345" spans="1:6">
      <c r="A345">
        <v>6601</v>
      </c>
      <c r="B345" t="s">
        <v>434</v>
      </c>
      <c r="C345" t="s">
        <v>30</v>
      </c>
      <c r="D345">
        <v>906</v>
      </c>
      <c r="F345" t="b">
        <v>1</v>
      </c>
    </row>
    <row r="346" spans="1:6">
      <c r="A346">
        <v>4340</v>
      </c>
      <c r="B346" t="s">
        <v>435</v>
      </c>
      <c r="C346" t="s">
        <v>30</v>
      </c>
      <c r="D346">
        <v>4108</v>
      </c>
      <c r="F346" t="b">
        <v>0</v>
      </c>
    </row>
    <row r="347" spans="1:6">
      <c r="A347">
        <v>5112</v>
      </c>
      <c r="B347" t="s">
        <v>228</v>
      </c>
      <c r="C347" t="s">
        <v>30</v>
      </c>
      <c r="D347">
        <v>333</v>
      </c>
      <c r="F347" t="b">
        <v>1</v>
      </c>
    </row>
    <row r="348" spans="1:6">
      <c r="A348">
        <v>5700</v>
      </c>
      <c r="B348" t="s">
        <v>242</v>
      </c>
      <c r="C348" t="s">
        <v>30</v>
      </c>
      <c r="D348">
        <v>3847</v>
      </c>
      <c r="F348" t="b">
        <v>0</v>
      </c>
    </row>
    <row r="349" spans="1:6">
      <c r="A349">
        <v>8617</v>
      </c>
      <c r="B349" t="s">
        <v>140</v>
      </c>
      <c r="C349" t="s">
        <v>30</v>
      </c>
      <c r="D349">
        <v>1423</v>
      </c>
      <c r="F349" t="b">
        <v>1</v>
      </c>
    </row>
    <row r="350" spans="1:6">
      <c r="A350">
        <v>9149</v>
      </c>
      <c r="B350" t="s">
        <v>439</v>
      </c>
      <c r="C350" t="s">
        <v>30</v>
      </c>
      <c r="D350">
        <v>595</v>
      </c>
      <c r="F350" t="b">
        <v>1</v>
      </c>
    </row>
    <row r="351" spans="1:6">
      <c r="A351">
        <v>8651</v>
      </c>
      <c r="B351" t="s">
        <v>283</v>
      </c>
      <c r="C351" t="s">
        <v>30</v>
      </c>
      <c r="D351">
        <v>4445</v>
      </c>
      <c r="F351" t="b">
        <v>0</v>
      </c>
    </row>
    <row r="352" spans="1:6">
      <c r="A352">
        <v>1495</v>
      </c>
      <c r="B352" t="s">
        <v>441</v>
      </c>
      <c r="C352" t="s">
        <v>30</v>
      </c>
      <c r="D352">
        <v>144</v>
      </c>
      <c r="F352" t="b">
        <v>0</v>
      </c>
    </row>
    <row r="353" spans="1:6">
      <c r="A353">
        <v>7359</v>
      </c>
      <c r="B353" t="s">
        <v>190</v>
      </c>
      <c r="C353" t="s">
        <v>30</v>
      </c>
      <c r="D353">
        <v>3428</v>
      </c>
      <c r="F353" t="b">
        <v>1</v>
      </c>
    </row>
    <row r="354" spans="1:6">
      <c r="A354">
        <v>6525</v>
      </c>
      <c r="B354" t="s">
        <v>284</v>
      </c>
      <c r="C354" t="s">
        <v>30</v>
      </c>
      <c r="D354">
        <v>4919</v>
      </c>
      <c r="F354" t="b">
        <v>0</v>
      </c>
    </row>
    <row r="355" spans="1:6">
      <c r="A355">
        <v>7207</v>
      </c>
      <c r="B355" t="s">
        <v>383</v>
      </c>
      <c r="C355" t="s">
        <v>30</v>
      </c>
      <c r="D355">
        <v>4905</v>
      </c>
      <c r="F355" t="b">
        <v>0</v>
      </c>
    </row>
    <row r="356" spans="1:6">
      <c r="A356">
        <v>2361</v>
      </c>
      <c r="B356" t="s">
        <v>444</v>
      </c>
      <c r="C356" t="s">
        <v>30</v>
      </c>
      <c r="D356">
        <v>428</v>
      </c>
      <c r="F356" t="b">
        <v>1</v>
      </c>
    </row>
    <row r="357" spans="1:6">
      <c r="A357">
        <v>8766</v>
      </c>
      <c r="B357" t="s">
        <v>445</v>
      </c>
      <c r="C357" t="s">
        <v>30</v>
      </c>
      <c r="D357">
        <v>1634</v>
      </c>
      <c r="F357" t="b">
        <v>1</v>
      </c>
    </row>
    <row r="358" spans="1:6">
      <c r="A358">
        <v>7236</v>
      </c>
      <c r="B358" t="s">
        <v>52</v>
      </c>
      <c r="C358" t="s">
        <v>30</v>
      </c>
      <c r="D358">
        <v>4085</v>
      </c>
      <c r="F358" t="b">
        <v>1</v>
      </c>
    </row>
    <row r="359" spans="1:6">
      <c r="A359">
        <v>8605</v>
      </c>
      <c r="B359" t="s">
        <v>143</v>
      </c>
      <c r="C359" t="s">
        <v>30</v>
      </c>
      <c r="D359">
        <v>2790</v>
      </c>
      <c r="F359" t="b">
        <v>1</v>
      </c>
    </row>
    <row r="360" spans="1:6">
      <c r="A360">
        <v>1055</v>
      </c>
      <c r="B360" t="s">
        <v>275</v>
      </c>
      <c r="C360" t="s">
        <v>30</v>
      </c>
      <c r="D360">
        <v>2440</v>
      </c>
      <c r="F360" t="b">
        <v>1</v>
      </c>
    </row>
    <row r="361" spans="1:6">
      <c r="A361">
        <v>7986</v>
      </c>
      <c r="B361" t="s">
        <v>184</v>
      </c>
      <c r="C361" t="s">
        <v>30</v>
      </c>
      <c r="D361">
        <v>2741</v>
      </c>
      <c r="F361" t="b">
        <v>0</v>
      </c>
    </row>
    <row r="362" spans="1:6">
      <c r="A362">
        <v>6170</v>
      </c>
      <c r="B362" t="s">
        <v>244</v>
      </c>
      <c r="C362" t="s">
        <v>30</v>
      </c>
      <c r="D362">
        <v>4338</v>
      </c>
      <c r="F362" t="b">
        <v>0</v>
      </c>
    </row>
    <row r="363" spans="1:6">
      <c r="A363">
        <v>7172</v>
      </c>
      <c r="B363" t="s">
        <v>448</v>
      </c>
      <c r="C363" t="s">
        <v>30</v>
      </c>
      <c r="D363">
        <v>2039</v>
      </c>
      <c r="F363" t="b">
        <v>0</v>
      </c>
    </row>
    <row r="364" spans="1:6">
      <c r="A364">
        <v>7408</v>
      </c>
      <c r="B364" t="s">
        <v>236</v>
      </c>
      <c r="C364" t="s">
        <v>30</v>
      </c>
      <c r="D364">
        <v>2097</v>
      </c>
      <c r="F364" t="b">
        <v>0</v>
      </c>
    </row>
    <row r="365" spans="1:6">
      <c r="A365">
        <v>7274</v>
      </c>
      <c r="B365" t="s">
        <v>304</v>
      </c>
      <c r="C365" t="s">
        <v>30</v>
      </c>
      <c r="D365">
        <v>2384</v>
      </c>
      <c r="F365" t="b">
        <v>0</v>
      </c>
    </row>
    <row r="366" spans="1:6">
      <c r="A366">
        <v>6001</v>
      </c>
      <c r="B366" t="s">
        <v>276</v>
      </c>
      <c r="C366" t="s">
        <v>30</v>
      </c>
      <c r="D366">
        <v>4159</v>
      </c>
      <c r="F366" t="b">
        <v>1</v>
      </c>
    </row>
    <row r="367" spans="1:6">
      <c r="A367">
        <v>9418</v>
      </c>
      <c r="B367" t="s">
        <v>450</v>
      </c>
      <c r="C367" t="s">
        <v>30</v>
      </c>
      <c r="D367">
        <v>2002</v>
      </c>
      <c r="F367" t="b">
        <v>1</v>
      </c>
    </row>
    <row r="368" spans="1:6">
      <c r="A368">
        <v>9354</v>
      </c>
      <c r="B368" t="s">
        <v>441</v>
      </c>
      <c r="C368" t="s">
        <v>30</v>
      </c>
      <c r="D368">
        <v>782</v>
      </c>
      <c r="F368" t="b">
        <v>0</v>
      </c>
    </row>
    <row r="369" spans="1:6">
      <c r="A369">
        <v>8122</v>
      </c>
      <c r="B369" t="s">
        <v>452</v>
      </c>
      <c r="C369" t="s">
        <v>30</v>
      </c>
      <c r="D369">
        <v>4056</v>
      </c>
      <c r="F369" t="b">
        <v>1</v>
      </c>
    </row>
    <row r="370" spans="1:6">
      <c r="A370">
        <v>1765</v>
      </c>
      <c r="B370" t="s">
        <v>453</v>
      </c>
      <c r="C370" t="s">
        <v>30</v>
      </c>
      <c r="D370">
        <v>1341</v>
      </c>
      <c r="F370" t="b">
        <v>0</v>
      </c>
    </row>
    <row r="371" spans="1:6">
      <c r="A371">
        <v>5352</v>
      </c>
      <c r="B371" t="s">
        <v>290</v>
      </c>
      <c r="C371" t="s">
        <v>30</v>
      </c>
      <c r="D371">
        <v>3028</v>
      </c>
      <c r="F371" t="b">
        <v>0</v>
      </c>
    </row>
    <row r="372" spans="1:6">
      <c r="A372">
        <v>7578</v>
      </c>
      <c r="B372" t="s">
        <v>130</v>
      </c>
      <c r="C372" t="s">
        <v>30</v>
      </c>
      <c r="D372">
        <v>4799</v>
      </c>
      <c r="F372" t="b">
        <v>1</v>
      </c>
    </row>
    <row r="373" spans="1:6">
      <c r="A373">
        <v>8912</v>
      </c>
      <c r="B373" t="s">
        <v>169</v>
      </c>
      <c r="C373" t="s">
        <v>30</v>
      </c>
      <c r="D373">
        <v>4556</v>
      </c>
      <c r="F373" t="b">
        <v>1</v>
      </c>
    </row>
    <row r="374" spans="1:6">
      <c r="A374">
        <v>6641</v>
      </c>
      <c r="B374" t="s">
        <v>140</v>
      </c>
      <c r="C374" t="s">
        <v>30</v>
      </c>
      <c r="D374">
        <v>2965</v>
      </c>
      <c r="F374" t="b">
        <v>1</v>
      </c>
    </row>
    <row r="375" spans="1:6">
      <c r="A375">
        <v>9664</v>
      </c>
      <c r="B375" t="s">
        <v>456</v>
      </c>
      <c r="C375" t="s">
        <v>30</v>
      </c>
      <c r="D375">
        <v>3556</v>
      </c>
      <c r="F375" t="b">
        <v>1</v>
      </c>
    </row>
    <row r="376" spans="1:6">
      <c r="A376">
        <v>9134</v>
      </c>
      <c r="B376" t="s">
        <v>130</v>
      </c>
      <c r="C376" t="s">
        <v>30</v>
      </c>
      <c r="D376">
        <v>2901</v>
      </c>
      <c r="F376" t="b">
        <v>0</v>
      </c>
    </row>
    <row r="377" spans="1:6">
      <c r="A377">
        <v>6663</v>
      </c>
      <c r="B377" t="s">
        <v>184</v>
      </c>
      <c r="C377" t="s">
        <v>30</v>
      </c>
      <c r="D377">
        <v>3520</v>
      </c>
      <c r="F377" t="b">
        <v>0</v>
      </c>
    </row>
    <row r="378" spans="1:6">
      <c r="A378">
        <v>9800</v>
      </c>
      <c r="B378" t="s">
        <v>458</v>
      </c>
      <c r="C378" t="s">
        <v>30</v>
      </c>
      <c r="D378">
        <v>3983</v>
      </c>
      <c r="F378" t="b">
        <v>1</v>
      </c>
    </row>
    <row r="379" spans="1:6">
      <c r="A379">
        <v>2363</v>
      </c>
      <c r="B379" t="s">
        <v>408</v>
      </c>
      <c r="C379" t="s">
        <v>30</v>
      </c>
      <c r="D379">
        <v>4632</v>
      </c>
      <c r="F379" t="b">
        <v>1</v>
      </c>
    </row>
    <row r="380" spans="1:6">
      <c r="A380">
        <v>4875</v>
      </c>
      <c r="B380" t="s">
        <v>272</v>
      </c>
      <c r="C380" t="s">
        <v>30</v>
      </c>
      <c r="D380">
        <v>314</v>
      </c>
      <c r="F380" t="b">
        <v>1</v>
      </c>
    </row>
    <row r="381" spans="1:6">
      <c r="A381">
        <v>8961</v>
      </c>
      <c r="B381" t="s">
        <v>137</v>
      </c>
      <c r="C381" t="s">
        <v>30</v>
      </c>
      <c r="D381">
        <v>4012</v>
      </c>
      <c r="F381" t="b">
        <v>0</v>
      </c>
    </row>
    <row r="382" spans="1:6">
      <c r="A382">
        <v>1539</v>
      </c>
      <c r="B382" t="s">
        <v>77</v>
      </c>
      <c r="C382" t="s">
        <v>30</v>
      </c>
      <c r="D382">
        <v>2356</v>
      </c>
      <c r="F382" t="b">
        <v>1</v>
      </c>
    </row>
    <row r="383" spans="1:6">
      <c r="A383">
        <v>4037</v>
      </c>
      <c r="B383" t="s">
        <v>405</v>
      </c>
      <c r="C383" t="s">
        <v>30</v>
      </c>
      <c r="D383">
        <v>1824</v>
      </c>
      <c r="F383" t="b">
        <v>1</v>
      </c>
    </row>
    <row r="384" spans="1:6">
      <c r="A384">
        <v>4239</v>
      </c>
      <c r="B384" t="s">
        <v>272</v>
      </c>
      <c r="C384" t="s">
        <v>30</v>
      </c>
      <c r="D384">
        <v>4236</v>
      </c>
      <c r="F384" t="b">
        <v>0</v>
      </c>
    </row>
    <row r="385" spans="1:6">
      <c r="A385">
        <v>4364</v>
      </c>
      <c r="B385" t="s">
        <v>355</v>
      </c>
      <c r="C385" t="s">
        <v>30</v>
      </c>
      <c r="D385">
        <v>2102</v>
      </c>
      <c r="F385" t="b">
        <v>0</v>
      </c>
    </row>
    <row r="386" spans="1:6">
      <c r="A386">
        <v>8946</v>
      </c>
      <c r="B386" t="s">
        <v>463</v>
      </c>
      <c r="C386" t="s">
        <v>30</v>
      </c>
      <c r="D386">
        <v>1876</v>
      </c>
      <c r="F386" t="b">
        <v>1</v>
      </c>
    </row>
    <row r="387" spans="1:6">
      <c r="A387">
        <v>5911</v>
      </c>
      <c r="B387" t="s">
        <v>130</v>
      </c>
      <c r="C387" t="s">
        <v>30</v>
      </c>
      <c r="D387">
        <v>242</v>
      </c>
      <c r="F387" t="b">
        <v>0</v>
      </c>
    </row>
    <row r="388" spans="1:6">
      <c r="A388">
        <v>8033</v>
      </c>
      <c r="B388" t="s">
        <v>379</v>
      </c>
      <c r="C388" t="s">
        <v>30</v>
      </c>
      <c r="D388">
        <v>4531</v>
      </c>
      <c r="F388" t="b">
        <v>1</v>
      </c>
    </row>
    <row r="389" spans="1:6">
      <c r="A389">
        <v>6603</v>
      </c>
      <c r="B389" t="s">
        <v>280</v>
      </c>
      <c r="C389" t="s">
        <v>30</v>
      </c>
      <c r="D389">
        <v>959</v>
      </c>
      <c r="F389" t="b">
        <v>1</v>
      </c>
    </row>
    <row r="390" spans="1:6">
      <c r="A390">
        <v>9630</v>
      </c>
      <c r="B390" t="s">
        <v>101</v>
      </c>
      <c r="C390" t="s">
        <v>30</v>
      </c>
      <c r="D390">
        <v>2156</v>
      </c>
      <c r="F390" t="b">
        <v>1</v>
      </c>
    </row>
    <row r="391" spans="1:6">
      <c r="A391">
        <v>1691</v>
      </c>
      <c r="B391" t="s">
        <v>147</v>
      </c>
      <c r="C391" t="s">
        <v>30</v>
      </c>
      <c r="D391">
        <v>1442</v>
      </c>
      <c r="F391" t="b">
        <v>1</v>
      </c>
    </row>
    <row r="392" spans="1:6">
      <c r="A392">
        <v>5590</v>
      </c>
      <c r="B392" t="s">
        <v>88</v>
      </c>
      <c r="C392" t="s">
        <v>30</v>
      </c>
      <c r="D392">
        <v>4586</v>
      </c>
      <c r="F392" t="b">
        <v>0</v>
      </c>
    </row>
    <row r="393" spans="1:6">
      <c r="A393">
        <v>8645</v>
      </c>
      <c r="B393" t="s">
        <v>257</v>
      </c>
      <c r="C393" t="s">
        <v>30</v>
      </c>
      <c r="D393">
        <v>4170</v>
      </c>
      <c r="F393" t="b">
        <v>1</v>
      </c>
    </row>
    <row r="394" spans="1:6">
      <c r="A394">
        <v>7663</v>
      </c>
      <c r="B394" t="s">
        <v>179</v>
      </c>
      <c r="C394" t="s">
        <v>30</v>
      </c>
      <c r="D394">
        <v>1294</v>
      </c>
      <c r="F394" t="b">
        <v>1</v>
      </c>
    </row>
    <row r="395" spans="1:6">
      <c r="A395">
        <v>2647</v>
      </c>
      <c r="B395" t="s">
        <v>224</v>
      </c>
      <c r="C395" t="s">
        <v>30</v>
      </c>
      <c r="D395">
        <v>2460</v>
      </c>
      <c r="F395" t="b">
        <v>0</v>
      </c>
    </row>
    <row r="396" spans="1:6">
      <c r="A396">
        <v>6539</v>
      </c>
      <c r="B396" t="s">
        <v>201</v>
      </c>
      <c r="C396" t="s">
        <v>30</v>
      </c>
      <c r="D396">
        <v>3276</v>
      </c>
      <c r="F396" t="b">
        <v>1</v>
      </c>
    </row>
    <row r="397" spans="1:6">
      <c r="A397">
        <v>3472</v>
      </c>
      <c r="B397" t="s">
        <v>153</v>
      </c>
      <c r="C397" t="s">
        <v>30</v>
      </c>
      <c r="D397">
        <v>941</v>
      </c>
      <c r="F397" t="b">
        <v>1</v>
      </c>
    </row>
    <row r="398" spans="1:6">
      <c r="A398">
        <v>4314</v>
      </c>
      <c r="B398" t="s">
        <v>373</v>
      </c>
      <c r="C398" t="s">
        <v>30</v>
      </c>
      <c r="D398">
        <v>4062</v>
      </c>
      <c r="F398" t="b">
        <v>1</v>
      </c>
    </row>
    <row r="399" spans="1:6">
      <c r="A399">
        <v>6739</v>
      </c>
      <c r="B399" t="s">
        <v>357</v>
      </c>
      <c r="C399" t="s">
        <v>30</v>
      </c>
      <c r="D399">
        <v>4322</v>
      </c>
      <c r="F399" t="b">
        <v>1</v>
      </c>
    </row>
    <row r="400" spans="1:6">
      <c r="A400">
        <v>6368</v>
      </c>
      <c r="B400" t="s">
        <v>41</v>
      </c>
      <c r="C400" t="s">
        <v>30</v>
      </c>
      <c r="D400">
        <v>1456</v>
      </c>
      <c r="F400" t="b">
        <v>1</v>
      </c>
    </row>
    <row r="401" spans="1:6">
      <c r="A401">
        <v>7309</v>
      </c>
      <c r="B401" t="s">
        <v>176</v>
      </c>
      <c r="C401" t="s">
        <v>30</v>
      </c>
      <c r="D401">
        <v>1281</v>
      </c>
      <c r="F401" t="b">
        <v>0</v>
      </c>
    </row>
    <row r="402" spans="1:6">
      <c r="A402">
        <v>3976</v>
      </c>
      <c r="B402" t="s">
        <v>297</v>
      </c>
      <c r="C402" t="s">
        <v>30</v>
      </c>
      <c r="D402">
        <v>1926</v>
      </c>
      <c r="F402" t="b">
        <v>0</v>
      </c>
    </row>
    <row r="403" spans="1:6">
      <c r="A403">
        <v>7230</v>
      </c>
      <c r="B403" t="s">
        <v>473</v>
      </c>
      <c r="C403" t="s">
        <v>30</v>
      </c>
      <c r="D403">
        <v>1368</v>
      </c>
      <c r="F403" t="b">
        <v>0</v>
      </c>
    </row>
    <row r="404" spans="1:6">
      <c r="A404">
        <v>8888</v>
      </c>
      <c r="B404" t="s">
        <v>344</v>
      </c>
      <c r="C404" t="s">
        <v>30</v>
      </c>
      <c r="D404">
        <v>571</v>
      </c>
      <c r="F404" t="b">
        <v>0</v>
      </c>
    </row>
    <row r="405" spans="1:6">
      <c r="A405">
        <v>1194</v>
      </c>
      <c r="B405" t="s">
        <v>357</v>
      </c>
      <c r="C405" t="s">
        <v>30</v>
      </c>
      <c r="D405">
        <v>3807</v>
      </c>
      <c r="F405" t="b">
        <v>1</v>
      </c>
    </row>
    <row r="406" spans="1:6">
      <c r="A406">
        <v>6983</v>
      </c>
      <c r="B406" t="s">
        <v>88</v>
      </c>
      <c r="C406" t="s">
        <v>30</v>
      </c>
      <c r="D406">
        <v>3424</v>
      </c>
      <c r="F406" t="b">
        <v>1</v>
      </c>
    </row>
    <row r="407" spans="1:6">
      <c r="A407">
        <v>1413</v>
      </c>
      <c r="B407" t="s">
        <v>98</v>
      </c>
      <c r="C407" t="s">
        <v>30</v>
      </c>
      <c r="D407">
        <v>1428</v>
      </c>
      <c r="F407" t="b">
        <v>0</v>
      </c>
    </row>
    <row r="408" spans="1:6">
      <c r="A408">
        <v>9509</v>
      </c>
      <c r="B408" t="s">
        <v>232</v>
      </c>
      <c r="C408" t="s">
        <v>30</v>
      </c>
      <c r="D408">
        <v>2387</v>
      </c>
      <c r="F408" t="b">
        <v>1</v>
      </c>
    </row>
    <row r="409" spans="1:6">
      <c r="A409">
        <v>6330</v>
      </c>
      <c r="B409" t="s">
        <v>478</v>
      </c>
      <c r="C409" t="s">
        <v>30</v>
      </c>
      <c r="D409">
        <v>218</v>
      </c>
      <c r="F409" t="b">
        <v>1</v>
      </c>
    </row>
    <row r="410" spans="1:6">
      <c r="A410">
        <v>2504</v>
      </c>
      <c r="B410" t="s">
        <v>480</v>
      </c>
      <c r="C410" t="s">
        <v>30</v>
      </c>
      <c r="D410">
        <v>68</v>
      </c>
      <c r="F410" t="b">
        <v>1</v>
      </c>
    </row>
    <row r="411" spans="1:6">
      <c r="A411">
        <v>6593</v>
      </c>
      <c r="B411" t="s">
        <v>357</v>
      </c>
      <c r="C411" t="s">
        <v>30</v>
      </c>
      <c r="D411">
        <v>2749</v>
      </c>
      <c r="F411" t="b">
        <v>1</v>
      </c>
    </row>
    <row r="412" spans="1:6">
      <c r="A412">
        <v>9537</v>
      </c>
      <c r="B412" t="s">
        <v>357</v>
      </c>
      <c r="C412" t="s">
        <v>30</v>
      </c>
      <c r="D412">
        <v>4942</v>
      </c>
      <c r="F412" t="b">
        <v>0</v>
      </c>
    </row>
    <row r="413" spans="1:6">
      <c r="A413">
        <v>9628</v>
      </c>
      <c r="B413" t="s">
        <v>211</v>
      </c>
      <c r="C413" t="s">
        <v>30</v>
      </c>
      <c r="D413">
        <v>1813</v>
      </c>
      <c r="F413" t="b">
        <v>1</v>
      </c>
    </row>
    <row r="414" spans="1:6">
      <c r="A414">
        <v>4024</v>
      </c>
      <c r="B414" t="s">
        <v>244</v>
      </c>
      <c r="C414" t="s">
        <v>30</v>
      </c>
      <c r="D414">
        <v>318</v>
      </c>
      <c r="F414" t="b">
        <v>0</v>
      </c>
    </row>
    <row r="415" spans="1:6">
      <c r="A415">
        <v>5321</v>
      </c>
      <c r="B415" t="s">
        <v>304</v>
      </c>
      <c r="C415" t="s">
        <v>30</v>
      </c>
      <c r="D415">
        <v>4216</v>
      </c>
      <c r="F415" t="b">
        <v>0</v>
      </c>
    </row>
    <row r="416" spans="1:6">
      <c r="A416">
        <v>3926</v>
      </c>
      <c r="B416" t="s">
        <v>485</v>
      </c>
      <c r="C416" t="s">
        <v>30</v>
      </c>
      <c r="D416">
        <v>3003</v>
      </c>
      <c r="F416" t="b">
        <v>0</v>
      </c>
    </row>
    <row r="417" spans="1:6">
      <c r="A417">
        <v>8738</v>
      </c>
      <c r="B417" t="s">
        <v>140</v>
      </c>
      <c r="C417" t="s">
        <v>30</v>
      </c>
      <c r="D417">
        <v>342</v>
      </c>
      <c r="F417" t="b">
        <v>0</v>
      </c>
    </row>
    <row r="418" spans="1:6">
      <c r="A418">
        <v>2701</v>
      </c>
      <c r="B418" t="s">
        <v>355</v>
      </c>
      <c r="C418" t="s">
        <v>30</v>
      </c>
      <c r="D418">
        <v>2124</v>
      </c>
      <c r="F418" t="b">
        <v>1</v>
      </c>
    </row>
    <row r="419" spans="1:6">
      <c r="A419">
        <v>5339</v>
      </c>
      <c r="B419" t="s">
        <v>486</v>
      </c>
      <c r="C419" t="s">
        <v>30</v>
      </c>
      <c r="D419">
        <v>1016</v>
      </c>
      <c r="F419" t="b">
        <v>0</v>
      </c>
    </row>
    <row r="420" spans="1:6">
      <c r="A420">
        <v>1612</v>
      </c>
      <c r="B420" t="s">
        <v>488</v>
      </c>
      <c r="C420" t="s">
        <v>30</v>
      </c>
      <c r="D420">
        <v>1925</v>
      </c>
      <c r="F420" t="b">
        <v>1</v>
      </c>
    </row>
    <row r="421" spans="1:6">
      <c r="A421">
        <v>5407</v>
      </c>
      <c r="B421" t="s">
        <v>101</v>
      </c>
      <c r="C421" t="s">
        <v>30</v>
      </c>
      <c r="D421">
        <v>3773</v>
      </c>
      <c r="F421" t="b">
        <v>1</v>
      </c>
    </row>
    <row r="422" spans="1:6">
      <c r="A422">
        <v>8225</v>
      </c>
      <c r="B422" t="s">
        <v>380</v>
      </c>
      <c r="C422" t="s">
        <v>30</v>
      </c>
      <c r="D422">
        <v>1231</v>
      </c>
      <c r="F422" t="b">
        <v>1</v>
      </c>
    </row>
    <row r="423" spans="1:6">
      <c r="A423">
        <v>4714</v>
      </c>
      <c r="B423" t="s">
        <v>489</v>
      </c>
      <c r="C423" t="s">
        <v>30</v>
      </c>
      <c r="D423">
        <v>62</v>
      </c>
      <c r="F423" t="b">
        <v>1</v>
      </c>
    </row>
    <row r="424" spans="1:6">
      <c r="A424">
        <v>3826</v>
      </c>
      <c r="B424" t="s">
        <v>357</v>
      </c>
      <c r="C424" t="s">
        <v>30</v>
      </c>
      <c r="D424">
        <v>1580</v>
      </c>
      <c r="F424" t="b">
        <v>0</v>
      </c>
    </row>
    <row r="425" spans="1:6">
      <c r="A425">
        <v>3781</v>
      </c>
      <c r="B425" t="s">
        <v>491</v>
      </c>
      <c r="C425" t="s">
        <v>30</v>
      </c>
      <c r="D425">
        <v>74</v>
      </c>
      <c r="F425" t="b">
        <v>0</v>
      </c>
    </row>
    <row r="426" spans="1:6">
      <c r="A426">
        <v>5635</v>
      </c>
      <c r="B426" t="s">
        <v>492</v>
      </c>
      <c r="C426" t="s">
        <v>30</v>
      </c>
      <c r="D426">
        <v>3452</v>
      </c>
      <c r="F426" t="b">
        <v>0</v>
      </c>
    </row>
    <row r="427" spans="1:6">
      <c r="A427">
        <v>2291</v>
      </c>
      <c r="B427" t="s">
        <v>197</v>
      </c>
      <c r="C427" t="s">
        <v>30</v>
      </c>
      <c r="D427">
        <v>4792</v>
      </c>
      <c r="F427" t="b">
        <v>0</v>
      </c>
    </row>
    <row r="428" spans="1:6">
      <c r="A428">
        <v>3119</v>
      </c>
      <c r="B428" t="s">
        <v>450</v>
      </c>
      <c r="C428" t="s">
        <v>30</v>
      </c>
      <c r="D428">
        <v>4378</v>
      </c>
      <c r="F428" t="b">
        <v>0</v>
      </c>
    </row>
    <row r="429" spans="1:6">
      <c r="A429">
        <v>5280</v>
      </c>
      <c r="B429" t="s">
        <v>494</v>
      </c>
      <c r="C429" t="s">
        <v>30</v>
      </c>
      <c r="D429">
        <v>1713</v>
      </c>
      <c r="F429" t="b">
        <v>0</v>
      </c>
    </row>
    <row r="430" spans="1:6">
      <c r="A430">
        <v>2546</v>
      </c>
      <c r="B430" t="s">
        <v>495</v>
      </c>
      <c r="C430" t="s">
        <v>30</v>
      </c>
      <c r="D430">
        <v>1201</v>
      </c>
      <c r="F430" t="b">
        <v>0</v>
      </c>
    </row>
    <row r="431" spans="1:6">
      <c r="A431">
        <v>5975</v>
      </c>
      <c r="B431" t="s">
        <v>143</v>
      </c>
      <c r="C431" t="s">
        <v>30</v>
      </c>
      <c r="D431">
        <v>416</v>
      </c>
      <c r="F431" t="b">
        <v>1</v>
      </c>
    </row>
    <row r="432" spans="1:6">
      <c r="A432">
        <v>9113</v>
      </c>
      <c r="B432" t="s">
        <v>236</v>
      </c>
      <c r="C432" t="s">
        <v>30</v>
      </c>
      <c r="D432">
        <v>17</v>
      </c>
      <c r="F432" t="b">
        <v>0</v>
      </c>
    </row>
    <row r="433" spans="1:6">
      <c r="A433">
        <v>6250</v>
      </c>
      <c r="B433" t="s">
        <v>498</v>
      </c>
      <c r="C433" t="s">
        <v>30</v>
      </c>
      <c r="D433">
        <v>4820</v>
      </c>
      <c r="F433" t="b">
        <v>1</v>
      </c>
    </row>
    <row r="434" spans="1:6">
      <c r="A434">
        <v>6190</v>
      </c>
      <c r="B434" t="s">
        <v>499</v>
      </c>
      <c r="C434" t="s">
        <v>30</v>
      </c>
      <c r="D434">
        <v>1758</v>
      </c>
      <c r="F434" t="b">
        <v>0</v>
      </c>
    </row>
    <row r="435" spans="1:6">
      <c r="A435">
        <v>5713</v>
      </c>
      <c r="B435" t="s">
        <v>500</v>
      </c>
      <c r="C435" t="s">
        <v>30</v>
      </c>
      <c r="D435">
        <v>2568</v>
      </c>
      <c r="F435" t="b">
        <v>1</v>
      </c>
    </row>
    <row r="436" spans="1:6">
      <c r="A436">
        <v>1932</v>
      </c>
      <c r="B436" t="s">
        <v>169</v>
      </c>
      <c r="C436" t="s">
        <v>30</v>
      </c>
      <c r="D436">
        <v>4235</v>
      </c>
      <c r="F436" t="b">
        <v>1</v>
      </c>
    </row>
    <row r="437" spans="1:6">
      <c r="A437">
        <v>6527</v>
      </c>
      <c r="B437" t="s">
        <v>502</v>
      </c>
      <c r="C437" t="s">
        <v>30</v>
      </c>
      <c r="D437">
        <v>3775</v>
      </c>
      <c r="F437" t="b">
        <v>0</v>
      </c>
    </row>
    <row r="438" spans="1:6">
      <c r="A438">
        <v>9363</v>
      </c>
      <c r="B438" t="s">
        <v>140</v>
      </c>
      <c r="C438" t="s">
        <v>30</v>
      </c>
      <c r="D438">
        <v>92</v>
      </c>
      <c r="F438" t="b">
        <v>1</v>
      </c>
    </row>
    <row r="439" spans="1:6">
      <c r="A439">
        <v>5019</v>
      </c>
      <c r="B439" t="s">
        <v>147</v>
      </c>
      <c r="C439" t="s">
        <v>30</v>
      </c>
      <c r="D439">
        <v>72</v>
      </c>
      <c r="F439" t="b">
        <v>1</v>
      </c>
    </row>
    <row r="440" spans="1:6">
      <c r="A440">
        <v>9258</v>
      </c>
      <c r="B440" t="s">
        <v>504</v>
      </c>
      <c r="C440" t="s">
        <v>30</v>
      </c>
      <c r="D440">
        <v>2488</v>
      </c>
      <c r="F440" t="b">
        <v>0</v>
      </c>
    </row>
    <row r="441" spans="1:6">
      <c r="A441">
        <v>7512</v>
      </c>
      <c r="B441" t="s">
        <v>505</v>
      </c>
      <c r="C441" t="s">
        <v>30</v>
      </c>
      <c r="D441">
        <v>2666</v>
      </c>
      <c r="F441" t="b">
        <v>1</v>
      </c>
    </row>
    <row r="442" spans="1:6">
      <c r="A442">
        <v>8195</v>
      </c>
      <c r="B442" t="s">
        <v>507</v>
      </c>
      <c r="C442" t="s">
        <v>30</v>
      </c>
      <c r="D442">
        <v>4221</v>
      </c>
      <c r="F442" t="b">
        <v>1</v>
      </c>
    </row>
    <row r="443" spans="1:6">
      <c r="A443">
        <v>8242</v>
      </c>
      <c r="B443" t="s">
        <v>257</v>
      </c>
      <c r="C443" t="s">
        <v>30</v>
      </c>
      <c r="D443">
        <v>4569</v>
      </c>
      <c r="F443" t="b">
        <v>1</v>
      </c>
    </row>
    <row r="444" spans="1:6">
      <c r="A444">
        <v>2220</v>
      </c>
      <c r="B444" t="s">
        <v>448</v>
      </c>
      <c r="C444" t="s">
        <v>30</v>
      </c>
      <c r="D444">
        <v>2695</v>
      </c>
      <c r="F444" t="b">
        <v>1</v>
      </c>
    </row>
    <row r="445" spans="1:6">
      <c r="A445">
        <v>9308</v>
      </c>
      <c r="B445" t="s">
        <v>88</v>
      </c>
      <c r="C445" t="s">
        <v>30</v>
      </c>
      <c r="D445">
        <v>48</v>
      </c>
      <c r="F445" t="b">
        <v>1</v>
      </c>
    </row>
    <row r="446" spans="1:6">
      <c r="A446">
        <v>3437</v>
      </c>
      <c r="B446" t="s">
        <v>215</v>
      </c>
      <c r="C446" t="s">
        <v>30</v>
      </c>
      <c r="D446">
        <v>1526</v>
      </c>
      <c r="F446" t="b">
        <v>0</v>
      </c>
    </row>
    <row r="447" spans="1:6">
      <c r="A447">
        <v>8305</v>
      </c>
      <c r="B447" t="s">
        <v>140</v>
      </c>
      <c r="C447" t="s">
        <v>30</v>
      </c>
      <c r="D447">
        <v>4934</v>
      </c>
      <c r="F447" t="b">
        <v>0</v>
      </c>
    </row>
    <row r="448" spans="1:6">
      <c r="A448">
        <v>6773</v>
      </c>
      <c r="B448" t="s">
        <v>473</v>
      </c>
      <c r="C448" t="s">
        <v>30</v>
      </c>
      <c r="D448">
        <v>628</v>
      </c>
      <c r="F448" t="b">
        <v>1</v>
      </c>
    </row>
    <row r="449" spans="1:6">
      <c r="A449">
        <v>3010</v>
      </c>
      <c r="B449" t="s">
        <v>280</v>
      </c>
      <c r="C449" t="s">
        <v>30</v>
      </c>
      <c r="D449">
        <v>167</v>
      </c>
      <c r="F449" t="b">
        <v>1</v>
      </c>
    </row>
    <row r="450" spans="1:6">
      <c r="A450">
        <v>3622</v>
      </c>
      <c r="B450" t="s">
        <v>284</v>
      </c>
      <c r="C450" t="s">
        <v>30</v>
      </c>
      <c r="D450">
        <v>1309</v>
      </c>
      <c r="F450" t="b">
        <v>0</v>
      </c>
    </row>
    <row r="451" spans="1:6">
      <c r="A451">
        <v>6006</v>
      </c>
      <c r="B451" t="s">
        <v>106</v>
      </c>
      <c r="C451" t="s">
        <v>30</v>
      </c>
      <c r="D451">
        <v>710</v>
      </c>
      <c r="F451" t="b">
        <v>1</v>
      </c>
    </row>
    <row r="452" spans="1:6">
      <c r="A452">
        <v>1338</v>
      </c>
      <c r="B452" t="s">
        <v>148</v>
      </c>
      <c r="C452" t="s">
        <v>30</v>
      </c>
      <c r="D452">
        <v>106</v>
      </c>
      <c r="F452" t="b">
        <v>1</v>
      </c>
    </row>
    <row r="453" spans="1:6">
      <c r="A453">
        <v>6722</v>
      </c>
      <c r="B453" t="s">
        <v>138</v>
      </c>
      <c r="C453" t="s">
        <v>30</v>
      </c>
      <c r="D453">
        <v>2652</v>
      </c>
      <c r="F453" t="b">
        <v>1</v>
      </c>
    </row>
    <row r="454" spans="1:6">
      <c r="A454">
        <v>5871</v>
      </c>
      <c r="B454" t="s">
        <v>508</v>
      </c>
      <c r="C454" t="s">
        <v>30</v>
      </c>
      <c r="D454">
        <v>4879</v>
      </c>
      <c r="F454" t="b">
        <v>0</v>
      </c>
    </row>
    <row r="455" spans="1:6">
      <c r="A455">
        <v>9290</v>
      </c>
      <c r="B455" t="s">
        <v>510</v>
      </c>
      <c r="C455" t="s">
        <v>30</v>
      </c>
      <c r="D455">
        <v>1426</v>
      </c>
      <c r="F455" t="b">
        <v>0</v>
      </c>
    </row>
    <row r="456" spans="1:6">
      <c r="A456">
        <v>8567</v>
      </c>
      <c r="B456" t="s">
        <v>88</v>
      </c>
      <c r="C456" t="s">
        <v>30</v>
      </c>
      <c r="D456">
        <v>1504</v>
      </c>
      <c r="F456" t="b">
        <v>0</v>
      </c>
    </row>
    <row r="457" spans="1:6">
      <c r="A457">
        <v>5253</v>
      </c>
      <c r="B457" t="s">
        <v>502</v>
      </c>
      <c r="C457" t="s">
        <v>30</v>
      </c>
      <c r="D457">
        <v>1518</v>
      </c>
      <c r="F457" t="b">
        <v>1</v>
      </c>
    </row>
    <row r="458" spans="1:6">
      <c r="A458">
        <v>8172</v>
      </c>
      <c r="B458" t="s">
        <v>511</v>
      </c>
      <c r="C458" t="s">
        <v>30</v>
      </c>
      <c r="D458">
        <v>708</v>
      </c>
      <c r="F458" t="b">
        <v>0</v>
      </c>
    </row>
    <row r="459" spans="1:6">
      <c r="A459">
        <v>2154</v>
      </c>
      <c r="B459" t="s">
        <v>96</v>
      </c>
      <c r="C459" t="s">
        <v>30</v>
      </c>
      <c r="D459">
        <v>4651</v>
      </c>
      <c r="F459" t="b">
        <v>0</v>
      </c>
    </row>
    <row r="460" spans="1:6">
      <c r="A460">
        <v>5013</v>
      </c>
      <c r="B460" t="s">
        <v>513</v>
      </c>
      <c r="C460" t="s">
        <v>30</v>
      </c>
      <c r="D460">
        <v>4397</v>
      </c>
      <c r="F460" t="b">
        <v>0</v>
      </c>
    </row>
    <row r="461" spans="1:6">
      <c r="A461">
        <v>4211</v>
      </c>
      <c r="B461" t="s">
        <v>515</v>
      </c>
      <c r="C461" t="s">
        <v>30</v>
      </c>
      <c r="D461">
        <v>1360</v>
      </c>
      <c r="F461" t="b">
        <v>0</v>
      </c>
    </row>
    <row r="462" spans="1:6">
      <c r="A462">
        <v>4408</v>
      </c>
      <c r="B462" t="s">
        <v>238</v>
      </c>
      <c r="C462" t="s">
        <v>30</v>
      </c>
      <c r="D462">
        <v>4155</v>
      </c>
      <c r="F462" t="b">
        <v>1</v>
      </c>
    </row>
    <row r="463" spans="1:6">
      <c r="A463">
        <v>8473</v>
      </c>
      <c r="B463" t="s">
        <v>517</v>
      </c>
      <c r="C463" t="s">
        <v>30</v>
      </c>
      <c r="D463">
        <v>1289</v>
      </c>
      <c r="F463" t="b">
        <v>0</v>
      </c>
    </row>
    <row r="464" spans="1:6">
      <c r="A464">
        <v>7510</v>
      </c>
      <c r="B464" t="s">
        <v>518</v>
      </c>
      <c r="C464" t="s">
        <v>30</v>
      </c>
      <c r="D464">
        <v>2922</v>
      </c>
      <c r="F464" t="b">
        <v>0</v>
      </c>
    </row>
    <row r="465" spans="1:6">
      <c r="A465">
        <v>5376</v>
      </c>
      <c r="B465" t="s">
        <v>224</v>
      </c>
      <c r="C465" t="s">
        <v>30</v>
      </c>
      <c r="D465">
        <v>28</v>
      </c>
      <c r="F465" t="b">
        <v>0</v>
      </c>
    </row>
    <row r="466" spans="1:6">
      <c r="A466">
        <v>8005</v>
      </c>
      <c r="B466" t="s">
        <v>254</v>
      </c>
      <c r="C466" t="s">
        <v>30</v>
      </c>
      <c r="D466">
        <v>3083</v>
      </c>
      <c r="F466" t="b">
        <v>0</v>
      </c>
    </row>
    <row r="467" spans="1:6">
      <c r="A467">
        <v>7439</v>
      </c>
      <c r="B467" t="s">
        <v>199</v>
      </c>
      <c r="C467" t="s">
        <v>30</v>
      </c>
      <c r="D467">
        <v>547</v>
      </c>
      <c r="F467" t="b">
        <v>1</v>
      </c>
    </row>
    <row r="468" spans="1:6">
      <c r="A468">
        <v>3699</v>
      </c>
      <c r="B468" t="s">
        <v>411</v>
      </c>
      <c r="C468" t="s">
        <v>30</v>
      </c>
      <c r="D468">
        <v>239</v>
      </c>
      <c r="F468" t="b">
        <v>0</v>
      </c>
    </row>
    <row r="469" spans="1:6">
      <c r="A469">
        <v>3162</v>
      </c>
      <c r="B469" t="s">
        <v>157</v>
      </c>
      <c r="C469" t="s">
        <v>30</v>
      </c>
      <c r="D469">
        <v>3516</v>
      </c>
      <c r="F469" t="b">
        <v>0</v>
      </c>
    </row>
    <row r="470" spans="1:6">
      <c r="A470">
        <v>8798</v>
      </c>
      <c r="B470" t="s">
        <v>521</v>
      </c>
      <c r="C470" t="s">
        <v>30</v>
      </c>
      <c r="D470">
        <v>4031</v>
      </c>
      <c r="F470" t="b">
        <v>1</v>
      </c>
    </row>
    <row r="471" spans="1:6">
      <c r="A471">
        <v>6400</v>
      </c>
      <c r="B471" t="s">
        <v>177</v>
      </c>
      <c r="C471" t="s">
        <v>30</v>
      </c>
      <c r="D471">
        <v>3408</v>
      </c>
      <c r="F471" t="b">
        <v>1</v>
      </c>
    </row>
    <row r="472" spans="1:6">
      <c r="A472">
        <v>9404</v>
      </c>
      <c r="B472" t="s">
        <v>157</v>
      </c>
      <c r="C472" t="s">
        <v>30</v>
      </c>
      <c r="D472">
        <v>3849</v>
      </c>
      <c r="F472" t="b">
        <v>0</v>
      </c>
    </row>
    <row r="473" spans="1:6">
      <c r="A473">
        <v>8151</v>
      </c>
      <c r="B473" t="s">
        <v>106</v>
      </c>
      <c r="C473" t="s">
        <v>30</v>
      </c>
      <c r="D473">
        <v>1813</v>
      </c>
      <c r="F473" t="b">
        <v>0</v>
      </c>
    </row>
    <row r="474" spans="1:6">
      <c r="A474">
        <v>7742</v>
      </c>
      <c r="B474" t="s">
        <v>153</v>
      </c>
      <c r="C474" t="s">
        <v>30</v>
      </c>
      <c r="D474">
        <v>2084</v>
      </c>
      <c r="F474" t="b">
        <v>1</v>
      </c>
    </row>
    <row r="475" spans="1:6">
      <c r="A475">
        <v>4553</v>
      </c>
      <c r="B475" t="s">
        <v>387</v>
      </c>
      <c r="C475" t="s">
        <v>30</v>
      </c>
      <c r="D475">
        <v>749</v>
      </c>
      <c r="F475" t="b">
        <v>1</v>
      </c>
    </row>
    <row r="476" spans="1:6">
      <c r="A476">
        <v>6919</v>
      </c>
      <c r="B476" t="s">
        <v>525</v>
      </c>
      <c r="C476" t="s">
        <v>30</v>
      </c>
      <c r="D476">
        <v>3157</v>
      </c>
      <c r="F476" t="b">
        <v>0</v>
      </c>
    </row>
    <row r="477" spans="1:6">
      <c r="A477">
        <v>7168</v>
      </c>
      <c r="B477" t="s">
        <v>367</v>
      </c>
      <c r="C477" t="s">
        <v>30</v>
      </c>
      <c r="D477">
        <v>173</v>
      </c>
      <c r="F477" t="b">
        <v>0</v>
      </c>
    </row>
    <row r="478" spans="1:6">
      <c r="A478">
        <v>6474</v>
      </c>
      <c r="B478" t="s">
        <v>272</v>
      </c>
      <c r="C478" t="s">
        <v>30</v>
      </c>
      <c r="D478">
        <v>2925</v>
      </c>
      <c r="F478" t="b">
        <v>0</v>
      </c>
    </row>
    <row r="479" spans="1:6">
      <c r="A479">
        <v>4242</v>
      </c>
      <c r="B479" t="s">
        <v>41</v>
      </c>
      <c r="C479" t="s">
        <v>30</v>
      </c>
      <c r="D479">
        <v>3182</v>
      </c>
      <c r="F479" t="b">
        <v>0</v>
      </c>
    </row>
    <row r="480" spans="1:6">
      <c r="A480">
        <v>3395</v>
      </c>
      <c r="B480" t="s">
        <v>157</v>
      </c>
      <c r="C480" t="s">
        <v>30</v>
      </c>
      <c r="D480">
        <v>2432</v>
      </c>
      <c r="F480" t="b">
        <v>1</v>
      </c>
    </row>
    <row r="481" spans="1:6">
      <c r="A481">
        <v>8694</v>
      </c>
      <c r="B481" t="s">
        <v>527</v>
      </c>
      <c r="C481" t="s">
        <v>30</v>
      </c>
      <c r="D481">
        <v>414</v>
      </c>
      <c r="F481" t="b">
        <v>1</v>
      </c>
    </row>
    <row r="482" spans="1:6">
      <c r="A482">
        <v>7150</v>
      </c>
      <c r="B482" t="s">
        <v>138</v>
      </c>
      <c r="C482" t="s">
        <v>30</v>
      </c>
      <c r="D482">
        <v>888</v>
      </c>
      <c r="F482" t="b">
        <v>1</v>
      </c>
    </row>
    <row r="483" spans="1:6">
      <c r="A483">
        <v>4111</v>
      </c>
      <c r="B483" t="s">
        <v>359</v>
      </c>
      <c r="C483" t="s">
        <v>30</v>
      </c>
      <c r="D483">
        <v>1058</v>
      </c>
      <c r="F483" t="b">
        <v>0</v>
      </c>
    </row>
    <row r="484" spans="1:6">
      <c r="A484">
        <v>3532</v>
      </c>
      <c r="B484" t="s">
        <v>357</v>
      </c>
      <c r="C484" t="s">
        <v>30</v>
      </c>
      <c r="D484">
        <v>2067</v>
      </c>
      <c r="F484" t="b">
        <v>1</v>
      </c>
    </row>
    <row r="485" spans="1:6">
      <c r="A485">
        <v>5375</v>
      </c>
      <c r="B485" t="s">
        <v>531</v>
      </c>
      <c r="C485" t="s">
        <v>30</v>
      </c>
      <c r="D485">
        <v>3763</v>
      </c>
      <c r="F485" t="b">
        <v>0</v>
      </c>
    </row>
    <row r="486" spans="1:6">
      <c r="A486">
        <v>8881</v>
      </c>
      <c r="B486" t="s">
        <v>275</v>
      </c>
      <c r="C486" t="s">
        <v>30</v>
      </c>
      <c r="D486">
        <v>957</v>
      </c>
      <c r="F486" t="b">
        <v>0</v>
      </c>
    </row>
    <row r="487" spans="1:6">
      <c r="A487">
        <v>1235</v>
      </c>
      <c r="B487" t="s">
        <v>101</v>
      </c>
      <c r="C487" t="s">
        <v>30</v>
      </c>
      <c r="D487">
        <v>3003</v>
      </c>
      <c r="F487" t="b">
        <v>0</v>
      </c>
    </row>
    <row r="488" spans="1:6">
      <c r="A488">
        <v>2533</v>
      </c>
      <c r="B488" t="s">
        <v>311</v>
      </c>
      <c r="C488" t="s">
        <v>30</v>
      </c>
      <c r="D488">
        <v>354</v>
      </c>
      <c r="F488" t="b">
        <v>1</v>
      </c>
    </row>
    <row r="489" spans="1:6">
      <c r="A489">
        <v>2734</v>
      </c>
      <c r="B489" t="s">
        <v>288</v>
      </c>
      <c r="C489" t="s">
        <v>30</v>
      </c>
      <c r="D489">
        <v>4922</v>
      </c>
      <c r="F489" t="b">
        <v>1</v>
      </c>
    </row>
    <row r="490" spans="1:6">
      <c r="A490">
        <v>4129</v>
      </c>
      <c r="B490" t="s">
        <v>240</v>
      </c>
      <c r="C490" t="s">
        <v>30</v>
      </c>
      <c r="D490">
        <v>2083</v>
      </c>
      <c r="F490" t="b">
        <v>1</v>
      </c>
    </row>
    <row r="491" spans="1:6">
      <c r="A491">
        <v>3762</v>
      </c>
      <c r="B491" t="s">
        <v>318</v>
      </c>
      <c r="C491" t="s">
        <v>30</v>
      </c>
      <c r="D491">
        <v>2098</v>
      </c>
      <c r="F491" t="b">
        <v>1</v>
      </c>
    </row>
    <row r="492" spans="1:6">
      <c r="A492">
        <v>4341</v>
      </c>
      <c r="B492" t="s">
        <v>532</v>
      </c>
      <c r="C492" t="s">
        <v>30</v>
      </c>
      <c r="D492">
        <v>2022</v>
      </c>
      <c r="F492" t="b">
        <v>0</v>
      </c>
    </row>
    <row r="493" spans="1:6">
      <c r="A493">
        <v>6638</v>
      </c>
      <c r="B493" t="s">
        <v>533</v>
      </c>
      <c r="C493" t="s">
        <v>30</v>
      </c>
      <c r="D493">
        <v>3791</v>
      </c>
      <c r="F493" t="b">
        <v>0</v>
      </c>
    </row>
    <row r="494" spans="1:6">
      <c r="A494">
        <v>5861</v>
      </c>
      <c r="B494" t="s">
        <v>325</v>
      </c>
      <c r="C494" t="s">
        <v>30</v>
      </c>
      <c r="D494">
        <v>728</v>
      </c>
      <c r="F494" t="b">
        <v>0</v>
      </c>
    </row>
    <row r="495" spans="1:6">
      <c r="A495">
        <v>8815</v>
      </c>
      <c r="B495" t="s">
        <v>345</v>
      </c>
      <c r="C495" t="s">
        <v>30</v>
      </c>
      <c r="D495">
        <v>3448</v>
      </c>
      <c r="F495" t="b">
        <v>0</v>
      </c>
    </row>
    <row r="496" spans="1:6">
      <c r="A496">
        <v>8793</v>
      </c>
      <c r="B496" t="s">
        <v>148</v>
      </c>
      <c r="C496" t="s">
        <v>30</v>
      </c>
      <c r="D496">
        <v>3930</v>
      </c>
      <c r="F496" t="b">
        <v>0</v>
      </c>
    </row>
    <row r="497" spans="1:6">
      <c r="A497">
        <v>3469</v>
      </c>
      <c r="B497" t="s">
        <v>122</v>
      </c>
      <c r="C497" t="s">
        <v>30</v>
      </c>
      <c r="D497">
        <v>3702</v>
      </c>
      <c r="F497" t="b">
        <v>1</v>
      </c>
    </row>
    <row r="498" spans="1:6">
      <c r="A498">
        <v>3654</v>
      </c>
      <c r="B498" t="s">
        <v>153</v>
      </c>
      <c r="C498" t="s">
        <v>30</v>
      </c>
      <c r="D498">
        <v>2400</v>
      </c>
      <c r="F498" t="b">
        <v>1</v>
      </c>
    </row>
    <row r="499" spans="1:6">
      <c r="A499">
        <v>9555</v>
      </c>
      <c r="B499" t="s">
        <v>345</v>
      </c>
      <c r="C499" t="s">
        <v>30</v>
      </c>
      <c r="D499">
        <v>548</v>
      </c>
      <c r="F499" t="b">
        <v>1</v>
      </c>
    </row>
    <row r="500" spans="1:6">
      <c r="A500">
        <v>4028</v>
      </c>
      <c r="B500" t="s">
        <v>228</v>
      </c>
      <c r="C500" t="s">
        <v>30</v>
      </c>
      <c r="D500">
        <v>4702</v>
      </c>
      <c r="F500" t="b">
        <v>0</v>
      </c>
    </row>
    <row r="501" spans="1:6">
      <c r="A501">
        <v>9499</v>
      </c>
      <c r="B501" t="s">
        <v>190</v>
      </c>
      <c r="C501" t="s">
        <v>30</v>
      </c>
      <c r="D501">
        <v>2821</v>
      </c>
      <c r="F501" t="b">
        <v>0</v>
      </c>
    </row>
    <row r="502" spans="1:6">
      <c r="A502">
        <v>8628</v>
      </c>
      <c r="B502" t="s">
        <v>164</v>
      </c>
      <c r="C502" t="s">
        <v>30</v>
      </c>
      <c r="D502">
        <v>484</v>
      </c>
      <c r="F502" t="b">
        <v>1</v>
      </c>
    </row>
    <row r="503" spans="1:6">
      <c r="A503">
        <v>9942</v>
      </c>
      <c r="B503" t="s">
        <v>157</v>
      </c>
      <c r="C503" t="s">
        <v>30</v>
      </c>
      <c r="D503">
        <v>2871</v>
      </c>
      <c r="F503" t="b">
        <v>1</v>
      </c>
    </row>
    <row r="504" spans="1:6">
      <c r="A504">
        <v>4044</v>
      </c>
      <c r="B504" t="s">
        <v>536</v>
      </c>
      <c r="C504" t="s">
        <v>30</v>
      </c>
      <c r="D504">
        <v>4783</v>
      </c>
      <c r="F504" t="b">
        <v>1</v>
      </c>
    </row>
    <row r="505" spans="1:6">
      <c r="A505">
        <v>8143</v>
      </c>
      <c r="B505" t="s">
        <v>106</v>
      </c>
      <c r="C505" t="s">
        <v>30</v>
      </c>
      <c r="D505">
        <v>2725</v>
      </c>
      <c r="F505" t="b">
        <v>1</v>
      </c>
    </row>
    <row r="506" spans="1:6">
      <c r="A506">
        <v>3984</v>
      </c>
      <c r="B506" t="s">
        <v>257</v>
      </c>
      <c r="C506" t="s">
        <v>30</v>
      </c>
      <c r="D506">
        <v>4400</v>
      </c>
      <c r="F506" t="b">
        <v>1</v>
      </c>
    </row>
    <row r="507" spans="1:6">
      <c r="A507">
        <v>9294</v>
      </c>
      <c r="B507" t="s">
        <v>539</v>
      </c>
      <c r="C507" t="s">
        <v>30</v>
      </c>
      <c r="D507">
        <v>2218</v>
      </c>
      <c r="F507" t="b">
        <v>0</v>
      </c>
    </row>
    <row r="508" spans="1:6">
      <c r="A508">
        <v>4769</v>
      </c>
      <c r="B508" t="s">
        <v>157</v>
      </c>
      <c r="C508" t="s">
        <v>30</v>
      </c>
      <c r="D508">
        <v>4552</v>
      </c>
      <c r="F508" t="b">
        <v>1</v>
      </c>
    </row>
    <row r="509" spans="1:6">
      <c r="A509">
        <v>8864</v>
      </c>
      <c r="B509" t="s">
        <v>157</v>
      </c>
      <c r="C509" t="s">
        <v>30</v>
      </c>
      <c r="D509">
        <v>4125</v>
      </c>
      <c r="F509" t="b">
        <v>0</v>
      </c>
    </row>
    <row r="510" spans="1:6">
      <c r="A510">
        <v>1857</v>
      </c>
      <c r="B510" t="s">
        <v>541</v>
      </c>
      <c r="C510" t="s">
        <v>30</v>
      </c>
      <c r="D510">
        <v>424</v>
      </c>
      <c r="F510" t="b">
        <v>1</v>
      </c>
    </row>
    <row r="511" spans="1:6">
      <c r="A511">
        <v>5566</v>
      </c>
      <c r="B511" t="s">
        <v>345</v>
      </c>
      <c r="C511" t="s">
        <v>30</v>
      </c>
      <c r="D511">
        <v>2418</v>
      </c>
      <c r="F511" t="b">
        <v>1</v>
      </c>
    </row>
    <row r="512" spans="1:6">
      <c r="A512">
        <v>1373</v>
      </c>
      <c r="B512" t="s">
        <v>147</v>
      </c>
      <c r="C512" t="s">
        <v>30</v>
      </c>
      <c r="D512">
        <v>756</v>
      </c>
      <c r="F512" t="b">
        <v>1</v>
      </c>
    </row>
    <row r="513" spans="1:6">
      <c r="A513">
        <v>6345</v>
      </c>
      <c r="B513" t="s">
        <v>542</v>
      </c>
      <c r="C513" t="s">
        <v>30</v>
      </c>
      <c r="D513">
        <v>754</v>
      </c>
      <c r="F513" t="b">
        <v>0</v>
      </c>
    </row>
    <row r="514" spans="1:6">
      <c r="A514">
        <v>3234</v>
      </c>
      <c r="B514" t="s">
        <v>143</v>
      </c>
      <c r="C514" t="s">
        <v>30</v>
      </c>
      <c r="D514">
        <v>3476</v>
      </c>
      <c r="F514" t="b">
        <v>1</v>
      </c>
    </row>
    <row r="515" spans="1:6">
      <c r="A515">
        <v>6998</v>
      </c>
      <c r="B515" t="s">
        <v>126</v>
      </c>
      <c r="C515" t="s">
        <v>30</v>
      </c>
      <c r="D515">
        <v>290</v>
      </c>
      <c r="F515" t="b">
        <v>0</v>
      </c>
    </row>
    <row r="516" spans="1:6">
      <c r="A516">
        <v>5809</v>
      </c>
      <c r="B516" t="s">
        <v>238</v>
      </c>
      <c r="C516" t="s">
        <v>30</v>
      </c>
      <c r="D516">
        <v>987</v>
      </c>
      <c r="F516" t="b">
        <v>0</v>
      </c>
    </row>
    <row r="517" spans="1:6">
      <c r="A517">
        <v>6522</v>
      </c>
      <c r="B517" t="s">
        <v>544</v>
      </c>
      <c r="C517" t="s">
        <v>30</v>
      </c>
      <c r="D517">
        <v>4972</v>
      </c>
      <c r="F517" t="b">
        <v>1</v>
      </c>
    </row>
    <row r="518" spans="1:6">
      <c r="A518">
        <v>3892</v>
      </c>
      <c r="B518" t="s">
        <v>280</v>
      </c>
      <c r="C518" t="s">
        <v>30</v>
      </c>
      <c r="D518">
        <v>1628</v>
      </c>
      <c r="F518" t="b">
        <v>0</v>
      </c>
    </row>
    <row r="519" spans="1:6">
      <c r="A519">
        <v>4427</v>
      </c>
      <c r="B519" t="s">
        <v>545</v>
      </c>
      <c r="C519" t="s">
        <v>30</v>
      </c>
      <c r="D519">
        <v>1285</v>
      </c>
      <c r="F519" t="b">
        <v>0</v>
      </c>
    </row>
    <row r="520" spans="1:6">
      <c r="A520">
        <v>8145</v>
      </c>
      <c r="B520" t="s">
        <v>546</v>
      </c>
      <c r="C520" t="s">
        <v>30</v>
      </c>
      <c r="D520">
        <v>1960</v>
      </c>
      <c r="F520" t="b">
        <v>0</v>
      </c>
    </row>
    <row r="521" spans="1:6">
      <c r="A521">
        <v>1150</v>
      </c>
      <c r="B521" t="s">
        <v>224</v>
      </c>
      <c r="C521" t="s">
        <v>30</v>
      </c>
      <c r="D521">
        <v>771</v>
      </c>
      <c r="F521" t="b">
        <v>1</v>
      </c>
    </row>
    <row r="522" spans="1:6">
      <c r="A522">
        <v>7366</v>
      </c>
      <c r="B522" t="s">
        <v>547</v>
      </c>
      <c r="C522" t="s">
        <v>30</v>
      </c>
      <c r="D522">
        <v>1785</v>
      </c>
      <c r="F522" t="b">
        <v>1</v>
      </c>
    </row>
    <row r="523" spans="1:6">
      <c r="A523">
        <v>3004</v>
      </c>
      <c r="B523" t="s">
        <v>304</v>
      </c>
      <c r="C523" t="s">
        <v>30</v>
      </c>
      <c r="D523">
        <v>2760</v>
      </c>
      <c r="F523" t="b">
        <v>1</v>
      </c>
    </row>
    <row r="524" spans="1:6">
      <c r="A524">
        <v>9934</v>
      </c>
      <c r="B524" t="s">
        <v>549</v>
      </c>
      <c r="C524" t="s">
        <v>30</v>
      </c>
      <c r="D524">
        <v>388</v>
      </c>
      <c r="F524" t="b">
        <v>0</v>
      </c>
    </row>
    <row r="525" spans="1:6">
      <c r="A525">
        <v>1228</v>
      </c>
      <c r="B525" t="s">
        <v>263</v>
      </c>
      <c r="C525" t="s">
        <v>30</v>
      </c>
      <c r="D525">
        <v>2385</v>
      </c>
      <c r="F525" t="b">
        <v>0</v>
      </c>
    </row>
    <row r="526" spans="1:6">
      <c r="A526">
        <v>5806</v>
      </c>
      <c r="B526" t="s">
        <v>551</v>
      </c>
      <c r="C526" t="s">
        <v>30</v>
      </c>
      <c r="D526">
        <v>3714</v>
      </c>
      <c r="F526" t="b">
        <v>1</v>
      </c>
    </row>
    <row r="527" spans="1:6">
      <c r="A527">
        <v>7538</v>
      </c>
      <c r="B527" t="s">
        <v>232</v>
      </c>
      <c r="C527" t="s">
        <v>30</v>
      </c>
      <c r="D527">
        <v>2015</v>
      </c>
      <c r="F527" t="b">
        <v>0</v>
      </c>
    </row>
    <row r="528" spans="1:6">
      <c r="A528">
        <v>1035</v>
      </c>
      <c r="B528" t="s">
        <v>201</v>
      </c>
      <c r="C528" t="s">
        <v>30</v>
      </c>
      <c r="D528">
        <v>3201</v>
      </c>
      <c r="F528" t="b">
        <v>1</v>
      </c>
    </row>
    <row r="529" spans="1:6">
      <c r="A529">
        <v>8399</v>
      </c>
      <c r="B529" t="s">
        <v>382</v>
      </c>
      <c r="C529" t="s">
        <v>30</v>
      </c>
      <c r="D529">
        <v>3426</v>
      </c>
      <c r="F529" t="b">
        <v>0</v>
      </c>
    </row>
    <row r="530" spans="1:6">
      <c r="A530">
        <v>1912</v>
      </c>
      <c r="B530" t="s">
        <v>281</v>
      </c>
      <c r="C530" t="s">
        <v>30</v>
      </c>
      <c r="D530">
        <v>3366</v>
      </c>
      <c r="F530" t="b">
        <v>0</v>
      </c>
    </row>
    <row r="531" spans="1:6">
      <c r="A531">
        <v>6604</v>
      </c>
      <c r="B531" t="s">
        <v>148</v>
      </c>
      <c r="C531" t="s">
        <v>30</v>
      </c>
      <c r="D531">
        <v>125</v>
      </c>
      <c r="F531" t="b">
        <v>0</v>
      </c>
    </row>
    <row r="532" spans="1:6">
      <c r="A532">
        <v>8952</v>
      </c>
      <c r="B532" t="s">
        <v>183</v>
      </c>
      <c r="C532" t="s">
        <v>30</v>
      </c>
      <c r="D532">
        <v>4037</v>
      </c>
      <c r="F532" t="b">
        <v>1</v>
      </c>
    </row>
    <row r="533" spans="1:6">
      <c r="A533">
        <v>2549</v>
      </c>
      <c r="B533" t="s">
        <v>152</v>
      </c>
      <c r="C533" t="s">
        <v>30</v>
      </c>
      <c r="D533">
        <v>4348</v>
      </c>
      <c r="F533" t="b">
        <v>1</v>
      </c>
    </row>
    <row r="534" spans="1:6">
      <c r="A534">
        <v>8954</v>
      </c>
      <c r="B534" t="s">
        <v>238</v>
      </c>
      <c r="C534" t="s">
        <v>30</v>
      </c>
      <c r="D534">
        <v>546</v>
      </c>
      <c r="F534" t="b">
        <v>0</v>
      </c>
    </row>
    <row r="535" spans="1:6">
      <c r="A535">
        <v>1922</v>
      </c>
      <c r="B535" t="s">
        <v>104</v>
      </c>
      <c r="C535" t="s">
        <v>30</v>
      </c>
      <c r="D535">
        <v>2785</v>
      </c>
      <c r="F535" t="b">
        <v>0</v>
      </c>
    </row>
    <row r="536" spans="1:6">
      <c r="A536">
        <v>9861</v>
      </c>
      <c r="B536" t="s">
        <v>140</v>
      </c>
      <c r="C536" t="s">
        <v>30</v>
      </c>
      <c r="D536">
        <v>3308</v>
      </c>
      <c r="F536" t="b">
        <v>1</v>
      </c>
    </row>
    <row r="537" spans="1:6">
      <c r="A537">
        <v>4383</v>
      </c>
      <c r="B537" t="s">
        <v>553</v>
      </c>
      <c r="C537" t="s">
        <v>30</v>
      </c>
      <c r="D537">
        <v>527</v>
      </c>
      <c r="F537" t="b">
        <v>0</v>
      </c>
    </row>
    <row r="538" spans="1:6">
      <c r="A538">
        <v>4328</v>
      </c>
      <c r="B538" t="s">
        <v>120</v>
      </c>
      <c r="C538" t="s">
        <v>30</v>
      </c>
      <c r="D538">
        <v>837</v>
      </c>
      <c r="F538" t="b">
        <v>0</v>
      </c>
    </row>
    <row r="539" spans="1:6">
      <c r="A539">
        <v>4622</v>
      </c>
      <c r="B539" t="s">
        <v>191</v>
      </c>
      <c r="C539" t="s">
        <v>30</v>
      </c>
      <c r="D539">
        <v>371</v>
      </c>
      <c r="F539" t="b">
        <v>1</v>
      </c>
    </row>
    <row r="540" spans="1:6">
      <c r="A540">
        <v>7828</v>
      </c>
      <c r="B540" t="s">
        <v>555</v>
      </c>
      <c r="C540" t="s">
        <v>30</v>
      </c>
      <c r="D540">
        <v>877</v>
      </c>
      <c r="F540" t="b">
        <v>0</v>
      </c>
    </row>
    <row r="541" spans="1:6">
      <c r="A541">
        <v>1393</v>
      </c>
      <c r="B541" t="s">
        <v>254</v>
      </c>
      <c r="C541" t="s">
        <v>30</v>
      </c>
      <c r="D541">
        <v>4873</v>
      </c>
      <c r="F541" t="b">
        <v>1</v>
      </c>
    </row>
    <row r="542" spans="1:6">
      <c r="A542">
        <v>9239</v>
      </c>
      <c r="B542" t="s">
        <v>257</v>
      </c>
      <c r="C542" t="s">
        <v>30</v>
      </c>
      <c r="D542">
        <v>4194</v>
      </c>
      <c r="F542" t="b">
        <v>1</v>
      </c>
    </row>
    <row r="543" spans="1:6">
      <c r="A543">
        <v>1636</v>
      </c>
      <c r="B543" t="s">
        <v>147</v>
      </c>
      <c r="C543" t="s">
        <v>30</v>
      </c>
      <c r="D543">
        <v>3118</v>
      </c>
      <c r="F543" t="b">
        <v>0</v>
      </c>
    </row>
    <row r="544" spans="1:6">
      <c r="A544">
        <v>4401</v>
      </c>
      <c r="B544" t="s">
        <v>558</v>
      </c>
      <c r="C544" t="s">
        <v>30</v>
      </c>
      <c r="D544">
        <v>2088</v>
      </c>
      <c r="F544" t="b">
        <v>1</v>
      </c>
    </row>
    <row r="545" spans="1:6">
      <c r="A545">
        <v>7135</v>
      </c>
      <c r="B545" t="s">
        <v>560</v>
      </c>
      <c r="C545" t="s">
        <v>30</v>
      </c>
      <c r="D545">
        <v>3468</v>
      </c>
      <c r="F545" t="b">
        <v>0</v>
      </c>
    </row>
    <row r="546" spans="1:6">
      <c r="A546">
        <v>8923</v>
      </c>
      <c r="B546" t="s">
        <v>184</v>
      </c>
      <c r="C546" t="s">
        <v>30</v>
      </c>
      <c r="D546">
        <v>3183</v>
      </c>
      <c r="F546" t="b">
        <v>0</v>
      </c>
    </row>
    <row r="547" spans="1:6">
      <c r="A547">
        <v>9748</v>
      </c>
      <c r="B547" t="s">
        <v>323</v>
      </c>
      <c r="C547" t="s">
        <v>30</v>
      </c>
      <c r="D547">
        <v>4070</v>
      </c>
      <c r="F547" t="b">
        <v>1</v>
      </c>
    </row>
    <row r="548" spans="1:6">
      <c r="A548">
        <v>7046</v>
      </c>
      <c r="B548" t="s">
        <v>344</v>
      </c>
      <c r="C548" t="s">
        <v>30</v>
      </c>
      <c r="D548">
        <v>4147</v>
      </c>
      <c r="F548" t="b">
        <v>0</v>
      </c>
    </row>
    <row r="549" spans="1:6">
      <c r="A549">
        <v>9688</v>
      </c>
      <c r="B549" t="s">
        <v>562</v>
      </c>
      <c r="C549" t="s">
        <v>30</v>
      </c>
      <c r="D549">
        <v>255</v>
      </c>
      <c r="F549" t="b">
        <v>0</v>
      </c>
    </row>
    <row r="550" spans="1:6">
      <c r="A550">
        <v>6720</v>
      </c>
      <c r="B550" t="s">
        <v>157</v>
      </c>
      <c r="C550" t="s">
        <v>30</v>
      </c>
      <c r="D550">
        <v>3278</v>
      </c>
      <c r="F550" t="b">
        <v>0</v>
      </c>
    </row>
    <row r="551" spans="1:6">
      <c r="A551">
        <v>2766</v>
      </c>
      <c r="B551" t="s">
        <v>563</v>
      </c>
      <c r="C551" t="s">
        <v>30</v>
      </c>
      <c r="D551">
        <v>213</v>
      </c>
      <c r="F551" t="b">
        <v>0</v>
      </c>
    </row>
    <row r="552" spans="1:6">
      <c r="A552">
        <v>3847</v>
      </c>
      <c r="B552" t="s">
        <v>114</v>
      </c>
      <c r="C552" t="s">
        <v>30</v>
      </c>
      <c r="D552">
        <v>2886</v>
      </c>
      <c r="F552" t="b">
        <v>0</v>
      </c>
    </row>
    <row r="553" spans="1:6">
      <c r="A553">
        <v>8554</v>
      </c>
      <c r="B553" t="s">
        <v>153</v>
      </c>
      <c r="C553" t="s">
        <v>30</v>
      </c>
      <c r="D553">
        <v>1901</v>
      </c>
      <c r="F553" t="b">
        <v>0</v>
      </c>
    </row>
    <row r="554" spans="1:6">
      <c r="A554">
        <v>6569</v>
      </c>
      <c r="B554" t="s">
        <v>34</v>
      </c>
      <c r="C554" t="s">
        <v>30</v>
      </c>
      <c r="D554">
        <v>4456</v>
      </c>
      <c r="F554" t="b">
        <v>0</v>
      </c>
    </row>
    <row r="555" spans="1:6">
      <c r="A555">
        <v>6391</v>
      </c>
      <c r="B555" t="s">
        <v>257</v>
      </c>
      <c r="C555" t="s">
        <v>30</v>
      </c>
      <c r="D555">
        <v>237</v>
      </c>
      <c r="F555" t="b">
        <v>1</v>
      </c>
    </row>
    <row r="556" spans="1:6">
      <c r="A556">
        <v>4883</v>
      </c>
      <c r="B556" t="s">
        <v>564</v>
      </c>
      <c r="C556" t="s">
        <v>30</v>
      </c>
      <c r="D556">
        <v>4659</v>
      </c>
      <c r="F556" t="b">
        <v>1</v>
      </c>
    </row>
    <row r="557" spans="1:6">
      <c r="A557">
        <v>4530</v>
      </c>
      <c r="B557" t="s">
        <v>226</v>
      </c>
      <c r="C557" t="s">
        <v>30</v>
      </c>
      <c r="D557">
        <v>4906</v>
      </c>
      <c r="F557" t="b">
        <v>0</v>
      </c>
    </row>
    <row r="558" spans="1:6">
      <c r="A558">
        <v>6531</v>
      </c>
      <c r="B558" t="s">
        <v>280</v>
      </c>
      <c r="C558" t="s">
        <v>30</v>
      </c>
      <c r="D558">
        <v>1155</v>
      </c>
      <c r="F558" t="b">
        <v>0</v>
      </c>
    </row>
    <row r="559" spans="1:6">
      <c r="A559">
        <v>9701</v>
      </c>
      <c r="B559" t="s">
        <v>566</v>
      </c>
      <c r="C559" t="s">
        <v>30</v>
      </c>
      <c r="D559">
        <v>4378</v>
      </c>
      <c r="F559" t="b">
        <v>0</v>
      </c>
    </row>
    <row r="560" spans="1:6">
      <c r="A560">
        <v>4702</v>
      </c>
      <c r="B560" t="s">
        <v>383</v>
      </c>
      <c r="C560" t="s">
        <v>30</v>
      </c>
      <c r="D560">
        <v>1674</v>
      </c>
      <c r="F560" t="b">
        <v>1</v>
      </c>
    </row>
    <row r="561" spans="1:6">
      <c r="A561">
        <v>3163</v>
      </c>
      <c r="B561" t="s">
        <v>409</v>
      </c>
      <c r="C561" t="s">
        <v>30</v>
      </c>
      <c r="D561">
        <v>2407</v>
      </c>
      <c r="F561" t="b">
        <v>1</v>
      </c>
    </row>
    <row r="562" spans="1:6">
      <c r="A562">
        <v>8719</v>
      </c>
      <c r="B562" t="s">
        <v>126</v>
      </c>
      <c r="C562" t="s">
        <v>30</v>
      </c>
      <c r="D562">
        <v>2636</v>
      </c>
      <c r="F562" t="b">
        <v>1</v>
      </c>
    </row>
    <row r="563" spans="1:6">
      <c r="A563">
        <v>1282</v>
      </c>
      <c r="B563" t="s">
        <v>120</v>
      </c>
      <c r="C563" t="s">
        <v>30</v>
      </c>
      <c r="D563">
        <v>4020</v>
      </c>
      <c r="F563" t="b">
        <v>0</v>
      </c>
    </row>
    <row r="564" spans="1:6">
      <c r="A564">
        <v>4538</v>
      </c>
      <c r="B564" t="s">
        <v>290</v>
      </c>
      <c r="C564" t="s">
        <v>30</v>
      </c>
      <c r="D564">
        <v>4127</v>
      </c>
      <c r="F564" t="b">
        <v>1</v>
      </c>
    </row>
    <row r="565" spans="1:6">
      <c r="A565">
        <v>9538</v>
      </c>
      <c r="B565" t="s">
        <v>280</v>
      </c>
      <c r="C565" t="s">
        <v>30</v>
      </c>
      <c r="D565">
        <v>4503</v>
      </c>
      <c r="F565" t="b">
        <v>1</v>
      </c>
    </row>
    <row r="566" spans="1:6">
      <c r="A566">
        <v>5109</v>
      </c>
      <c r="B566" t="s">
        <v>179</v>
      </c>
      <c r="C566" t="s">
        <v>30</v>
      </c>
      <c r="D566">
        <v>1080</v>
      </c>
      <c r="F566" t="b">
        <v>0</v>
      </c>
    </row>
    <row r="567" spans="1:6">
      <c r="A567">
        <v>7947</v>
      </c>
      <c r="B567" t="s">
        <v>572</v>
      </c>
      <c r="C567" t="s">
        <v>30</v>
      </c>
      <c r="D567">
        <v>1610</v>
      </c>
      <c r="F567" t="b">
        <v>0</v>
      </c>
    </row>
    <row r="568" spans="1:6">
      <c r="A568">
        <v>7546</v>
      </c>
      <c r="B568" t="s">
        <v>147</v>
      </c>
      <c r="C568" t="s">
        <v>30</v>
      </c>
      <c r="D568">
        <v>1535</v>
      </c>
      <c r="F568" t="b">
        <v>0</v>
      </c>
    </row>
    <row r="569" spans="1:6">
      <c r="A569">
        <v>4213</v>
      </c>
      <c r="B569" t="s">
        <v>574</v>
      </c>
      <c r="C569" t="s">
        <v>30</v>
      </c>
      <c r="D569">
        <v>3840</v>
      </c>
      <c r="F569" t="b">
        <v>1</v>
      </c>
    </row>
    <row r="570" spans="1:6">
      <c r="A570">
        <v>3135</v>
      </c>
      <c r="B570" t="s">
        <v>325</v>
      </c>
      <c r="C570" t="s">
        <v>30</v>
      </c>
      <c r="D570">
        <v>1108</v>
      </c>
      <c r="F570" t="b">
        <v>0</v>
      </c>
    </row>
    <row r="571" spans="1:6">
      <c r="A571">
        <v>9916</v>
      </c>
      <c r="B571" t="s">
        <v>531</v>
      </c>
      <c r="C571" t="s">
        <v>30</v>
      </c>
      <c r="D571">
        <v>4510</v>
      </c>
      <c r="F571" t="b">
        <v>0</v>
      </c>
    </row>
    <row r="572" spans="1:6">
      <c r="A572">
        <v>2784</v>
      </c>
      <c r="B572" t="s">
        <v>138</v>
      </c>
      <c r="C572" t="s">
        <v>30</v>
      </c>
      <c r="D572">
        <v>1042</v>
      </c>
      <c r="F572" t="b">
        <v>0</v>
      </c>
    </row>
    <row r="573" spans="1:6">
      <c r="A573">
        <v>5916</v>
      </c>
      <c r="B573" t="s">
        <v>148</v>
      </c>
      <c r="C573" t="s">
        <v>30</v>
      </c>
      <c r="D573">
        <v>2175</v>
      </c>
      <c r="F573" t="b">
        <v>1</v>
      </c>
    </row>
    <row r="574" spans="1:6">
      <c r="A574">
        <v>1674</v>
      </c>
      <c r="B574" t="s">
        <v>177</v>
      </c>
      <c r="C574" t="s">
        <v>30</v>
      </c>
      <c r="D574">
        <v>1311</v>
      </c>
      <c r="F574" t="b">
        <v>1</v>
      </c>
    </row>
    <row r="575" spans="1:6">
      <c r="A575">
        <v>2095</v>
      </c>
      <c r="B575" t="s">
        <v>357</v>
      </c>
      <c r="C575" t="s">
        <v>30</v>
      </c>
      <c r="D575">
        <v>4201</v>
      </c>
      <c r="F575" t="b">
        <v>1</v>
      </c>
    </row>
    <row r="576" spans="1:6">
      <c r="A576">
        <v>9594</v>
      </c>
      <c r="B576" t="s">
        <v>138</v>
      </c>
      <c r="C576" t="s">
        <v>30</v>
      </c>
      <c r="D576">
        <v>513</v>
      </c>
      <c r="F576" t="b">
        <v>1</v>
      </c>
    </row>
    <row r="577" spans="1:6">
      <c r="A577">
        <v>6750</v>
      </c>
      <c r="B577" t="s">
        <v>23</v>
      </c>
      <c r="C577" t="s">
        <v>30</v>
      </c>
      <c r="D577">
        <v>1330</v>
      </c>
      <c r="F577" t="b">
        <v>1</v>
      </c>
    </row>
    <row r="578" spans="1:6">
      <c r="A578">
        <v>7235</v>
      </c>
      <c r="B578" t="s">
        <v>171</v>
      </c>
      <c r="C578" t="s">
        <v>30</v>
      </c>
      <c r="D578">
        <v>3689</v>
      </c>
      <c r="F578" t="b">
        <v>0</v>
      </c>
    </row>
    <row r="579" spans="1:6">
      <c r="A579">
        <v>3910</v>
      </c>
      <c r="B579" t="s">
        <v>260</v>
      </c>
      <c r="C579" t="s">
        <v>30</v>
      </c>
      <c r="D579">
        <v>670</v>
      </c>
      <c r="F579" t="b">
        <v>0</v>
      </c>
    </row>
    <row r="580" spans="1:6">
      <c r="A580">
        <v>8190</v>
      </c>
      <c r="B580" t="s">
        <v>579</v>
      </c>
      <c r="C580" t="s">
        <v>30</v>
      </c>
      <c r="D580">
        <v>544</v>
      </c>
      <c r="F580" t="b">
        <v>1</v>
      </c>
    </row>
    <row r="581" spans="1:6">
      <c r="A581">
        <v>5315</v>
      </c>
      <c r="B581" t="s">
        <v>580</v>
      </c>
      <c r="C581" t="s">
        <v>30</v>
      </c>
      <c r="D581">
        <v>1392</v>
      </c>
      <c r="F581" t="b">
        <v>0</v>
      </c>
    </row>
    <row r="582" spans="1:6">
      <c r="A582">
        <v>7503</v>
      </c>
      <c r="B582" t="s">
        <v>153</v>
      </c>
      <c r="C582" t="s">
        <v>30</v>
      </c>
      <c r="D582">
        <v>3199</v>
      </c>
      <c r="F582" t="b">
        <v>0</v>
      </c>
    </row>
    <row r="583" spans="1:6">
      <c r="A583">
        <v>5788</v>
      </c>
      <c r="B583" t="s">
        <v>186</v>
      </c>
      <c r="C583" t="s">
        <v>30</v>
      </c>
      <c r="D583">
        <v>4204</v>
      </c>
      <c r="F583" t="b">
        <v>0</v>
      </c>
    </row>
    <row r="584" spans="1:6">
      <c r="A584">
        <v>7030</v>
      </c>
      <c r="B584" t="s">
        <v>583</v>
      </c>
      <c r="C584" t="s">
        <v>30</v>
      </c>
      <c r="D584">
        <v>1461</v>
      </c>
      <c r="F584" t="b">
        <v>0</v>
      </c>
    </row>
    <row r="585" spans="1:6">
      <c r="A585">
        <v>6619</v>
      </c>
      <c r="B585" t="s">
        <v>408</v>
      </c>
      <c r="C585" t="s">
        <v>30</v>
      </c>
      <c r="D585">
        <v>658</v>
      </c>
      <c r="F585" t="b">
        <v>0</v>
      </c>
    </row>
    <row r="586" spans="1:6">
      <c r="A586">
        <v>6319</v>
      </c>
      <c r="B586" t="s">
        <v>584</v>
      </c>
      <c r="C586" t="s">
        <v>30</v>
      </c>
      <c r="D586">
        <v>423</v>
      </c>
      <c r="F586" t="b">
        <v>0</v>
      </c>
    </row>
    <row r="587" spans="1:6">
      <c r="A587">
        <v>6268</v>
      </c>
      <c r="B587" t="s">
        <v>313</v>
      </c>
      <c r="C587" t="s">
        <v>30</v>
      </c>
      <c r="D587">
        <v>2824</v>
      </c>
      <c r="F587" t="b">
        <v>1</v>
      </c>
    </row>
    <row r="588" spans="1:6">
      <c r="A588">
        <v>5016</v>
      </c>
      <c r="B588" t="s">
        <v>424</v>
      </c>
      <c r="C588" t="s">
        <v>30</v>
      </c>
      <c r="D588">
        <v>2657</v>
      </c>
      <c r="F588" t="b">
        <v>0</v>
      </c>
    </row>
    <row r="589" spans="1:6">
      <c r="A589">
        <v>3888</v>
      </c>
      <c r="B589" t="s">
        <v>176</v>
      </c>
      <c r="C589" t="s">
        <v>30</v>
      </c>
      <c r="D589">
        <v>2213</v>
      </c>
      <c r="F589" t="b">
        <v>0</v>
      </c>
    </row>
    <row r="590" spans="1:6">
      <c r="A590">
        <v>9918</v>
      </c>
      <c r="B590" t="s">
        <v>238</v>
      </c>
      <c r="C590" t="s">
        <v>30</v>
      </c>
      <c r="D590">
        <v>3455</v>
      </c>
      <c r="F590" t="b">
        <v>1</v>
      </c>
    </row>
    <row r="591" spans="1:6">
      <c r="A591">
        <v>7305</v>
      </c>
      <c r="B591" t="s">
        <v>224</v>
      </c>
      <c r="C591" t="s">
        <v>30</v>
      </c>
      <c r="D591">
        <v>3334</v>
      </c>
      <c r="F591" t="b">
        <v>1</v>
      </c>
    </row>
    <row r="592" spans="1:6">
      <c r="A592">
        <v>5719</v>
      </c>
      <c r="B592" t="s">
        <v>531</v>
      </c>
      <c r="C592" t="s">
        <v>30</v>
      </c>
      <c r="D592">
        <v>105</v>
      </c>
      <c r="F592" t="b">
        <v>0</v>
      </c>
    </row>
    <row r="593" spans="1:6">
      <c r="A593">
        <v>2334</v>
      </c>
      <c r="B593" t="s">
        <v>473</v>
      </c>
      <c r="C593" t="s">
        <v>30</v>
      </c>
      <c r="D593">
        <v>1404</v>
      </c>
      <c r="F593" t="b">
        <v>0</v>
      </c>
    </row>
    <row r="594" spans="1:6">
      <c r="A594">
        <v>1006</v>
      </c>
      <c r="B594" t="s">
        <v>589</v>
      </c>
      <c r="C594" t="s">
        <v>30</v>
      </c>
      <c r="D594">
        <v>1017</v>
      </c>
      <c r="F594" t="b">
        <v>0</v>
      </c>
    </row>
    <row r="595" spans="1:6">
      <c r="A595">
        <v>6719</v>
      </c>
      <c r="B595" t="s">
        <v>114</v>
      </c>
      <c r="C595" t="s">
        <v>30</v>
      </c>
      <c r="D595">
        <v>2812</v>
      </c>
      <c r="F595" t="b">
        <v>0</v>
      </c>
    </row>
    <row r="596" spans="1:6">
      <c r="A596">
        <v>6138</v>
      </c>
      <c r="B596" t="s">
        <v>70</v>
      </c>
      <c r="C596" t="s">
        <v>30</v>
      </c>
      <c r="D596">
        <v>959</v>
      </c>
      <c r="F596" t="b">
        <v>0</v>
      </c>
    </row>
    <row r="597" spans="1:6">
      <c r="A597">
        <v>1255</v>
      </c>
      <c r="B597" t="s">
        <v>122</v>
      </c>
      <c r="C597" t="s">
        <v>30</v>
      </c>
      <c r="D597">
        <v>1870</v>
      </c>
      <c r="F597" t="b">
        <v>1</v>
      </c>
    </row>
    <row r="598" spans="1:6">
      <c r="A598">
        <v>5528</v>
      </c>
      <c r="B598" t="s">
        <v>179</v>
      </c>
      <c r="C598" t="s">
        <v>30</v>
      </c>
      <c r="D598">
        <v>2984</v>
      </c>
      <c r="F598" t="b">
        <v>1</v>
      </c>
    </row>
    <row r="599" spans="1:6">
      <c r="A599">
        <v>2517</v>
      </c>
      <c r="B599" t="s">
        <v>157</v>
      </c>
      <c r="C599" t="s">
        <v>30</v>
      </c>
      <c r="D599">
        <v>3379</v>
      </c>
      <c r="F599" t="b">
        <v>1</v>
      </c>
    </row>
    <row r="600" spans="1:6">
      <c r="A600">
        <v>9593</v>
      </c>
      <c r="B600" t="s">
        <v>592</v>
      </c>
      <c r="C600" t="s">
        <v>30</v>
      </c>
      <c r="D600">
        <v>4990</v>
      </c>
      <c r="F600" t="b">
        <v>1</v>
      </c>
    </row>
    <row r="601" spans="1:6">
      <c r="A601">
        <v>7507</v>
      </c>
      <c r="B601" t="s">
        <v>404</v>
      </c>
      <c r="C601" t="s">
        <v>30</v>
      </c>
      <c r="D601">
        <v>2554</v>
      </c>
      <c r="F601" t="b">
        <v>0</v>
      </c>
    </row>
    <row r="602" spans="1:6">
      <c r="A602">
        <v>2884</v>
      </c>
      <c r="B602" t="s">
        <v>549</v>
      </c>
      <c r="C602" t="s">
        <v>30</v>
      </c>
      <c r="D602">
        <v>4307</v>
      </c>
      <c r="F602" t="b">
        <v>0</v>
      </c>
    </row>
    <row r="603" spans="1:6">
      <c r="A603">
        <v>6374</v>
      </c>
      <c r="B603" t="s">
        <v>495</v>
      </c>
      <c r="C603" t="s">
        <v>30</v>
      </c>
      <c r="D603">
        <v>3124</v>
      </c>
      <c r="F603" t="b">
        <v>1</v>
      </c>
    </row>
    <row r="604" spans="1:6">
      <c r="A604">
        <v>6888</v>
      </c>
      <c r="B604" t="s">
        <v>196</v>
      </c>
      <c r="C604" t="s">
        <v>30</v>
      </c>
      <c r="D604">
        <v>1261</v>
      </c>
      <c r="F604" t="b">
        <v>0</v>
      </c>
    </row>
    <row r="605" spans="1:6">
      <c r="A605">
        <v>2788</v>
      </c>
      <c r="B605" t="s">
        <v>593</v>
      </c>
      <c r="C605" t="s">
        <v>30</v>
      </c>
      <c r="D605">
        <v>1290</v>
      </c>
      <c r="F605" t="b">
        <v>0</v>
      </c>
    </row>
    <row r="606" spans="1:6">
      <c r="A606">
        <v>7892</v>
      </c>
      <c r="B606" t="s">
        <v>137</v>
      </c>
      <c r="C606" t="s">
        <v>30</v>
      </c>
      <c r="D606">
        <v>874</v>
      </c>
      <c r="F606" t="b">
        <v>0</v>
      </c>
    </row>
    <row r="607" spans="1:6">
      <c r="A607">
        <v>4576</v>
      </c>
      <c r="B607" t="s">
        <v>138</v>
      </c>
      <c r="C607" t="s">
        <v>30</v>
      </c>
      <c r="D607">
        <v>1734</v>
      </c>
      <c r="F607" t="b">
        <v>1</v>
      </c>
    </row>
    <row r="608" spans="1:6">
      <c r="A608">
        <v>8901</v>
      </c>
      <c r="B608" t="s">
        <v>595</v>
      </c>
      <c r="C608" t="s">
        <v>30</v>
      </c>
      <c r="D608">
        <v>2444</v>
      </c>
      <c r="F608" t="b">
        <v>1</v>
      </c>
    </row>
    <row r="609" spans="1:6">
      <c r="A609">
        <v>5147</v>
      </c>
      <c r="B609" t="s">
        <v>140</v>
      </c>
      <c r="C609" t="s">
        <v>30</v>
      </c>
      <c r="D609">
        <v>1529</v>
      </c>
      <c r="F609" t="b">
        <v>0</v>
      </c>
    </row>
    <row r="610" spans="1:6">
      <c r="A610">
        <v>8646</v>
      </c>
      <c r="B610" t="s">
        <v>294</v>
      </c>
      <c r="C610" t="s">
        <v>30</v>
      </c>
      <c r="D610">
        <v>1976</v>
      </c>
      <c r="F610" t="b">
        <v>1</v>
      </c>
    </row>
    <row r="611" spans="1:6">
      <c r="A611">
        <v>8343</v>
      </c>
      <c r="B611" t="s">
        <v>140</v>
      </c>
      <c r="C611" t="s">
        <v>30</v>
      </c>
      <c r="D611">
        <v>3452</v>
      </c>
      <c r="F611" t="b">
        <v>0</v>
      </c>
    </row>
    <row r="612" spans="1:6">
      <c r="A612">
        <v>9332</v>
      </c>
      <c r="B612" t="s">
        <v>41</v>
      </c>
      <c r="C612" t="s">
        <v>30</v>
      </c>
      <c r="D612">
        <v>2610</v>
      </c>
      <c r="F612" t="b">
        <v>0</v>
      </c>
    </row>
    <row r="613" spans="1:6">
      <c r="A613">
        <v>7398</v>
      </c>
      <c r="B613" t="s">
        <v>349</v>
      </c>
      <c r="C613" t="s">
        <v>30</v>
      </c>
      <c r="D613">
        <v>3152</v>
      </c>
      <c r="F613" t="b">
        <v>1</v>
      </c>
    </row>
    <row r="614" spans="1:6">
      <c r="A614">
        <v>3572</v>
      </c>
      <c r="B614" t="s">
        <v>598</v>
      </c>
      <c r="C614" t="s">
        <v>30</v>
      </c>
      <c r="D614">
        <v>4963</v>
      </c>
      <c r="F614" t="b">
        <v>0</v>
      </c>
    </row>
    <row r="615" spans="1:6">
      <c r="A615">
        <v>4590</v>
      </c>
      <c r="B615" t="s">
        <v>553</v>
      </c>
      <c r="C615" t="s">
        <v>30</v>
      </c>
      <c r="D615">
        <v>3290</v>
      </c>
      <c r="F615" t="b">
        <v>1</v>
      </c>
    </row>
    <row r="616" spans="1:6">
      <c r="A616">
        <v>1831</v>
      </c>
      <c r="B616" t="s">
        <v>88</v>
      </c>
      <c r="C616" t="s">
        <v>30</v>
      </c>
      <c r="D616">
        <v>2596</v>
      </c>
      <c r="F616" t="b">
        <v>1</v>
      </c>
    </row>
    <row r="617" spans="1:6">
      <c r="A617">
        <v>6899</v>
      </c>
      <c r="B617" t="s">
        <v>284</v>
      </c>
      <c r="C617" t="s">
        <v>30</v>
      </c>
      <c r="D617">
        <v>745</v>
      </c>
      <c r="F617" t="b">
        <v>0</v>
      </c>
    </row>
    <row r="618" spans="1:6">
      <c r="A618">
        <v>1148</v>
      </c>
      <c r="B618" t="s">
        <v>88</v>
      </c>
      <c r="C618" t="s">
        <v>30</v>
      </c>
      <c r="D618">
        <v>668</v>
      </c>
      <c r="F618" t="b">
        <v>1</v>
      </c>
    </row>
    <row r="619" spans="1:6">
      <c r="A619">
        <v>3745</v>
      </c>
      <c r="B619" t="s">
        <v>325</v>
      </c>
      <c r="C619" t="s">
        <v>30</v>
      </c>
      <c r="D619">
        <v>3282</v>
      </c>
      <c r="F619" t="b">
        <v>1</v>
      </c>
    </row>
    <row r="620" spans="1:6">
      <c r="A620">
        <v>5084</v>
      </c>
      <c r="B620" t="s">
        <v>599</v>
      </c>
      <c r="C620" t="s">
        <v>30</v>
      </c>
      <c r="D620">
        <v>1510</v>
      </c>
      <c r="F620" t="b">
        <v>0</v>
      </c>
    </row>
    <row r="621" spans="1:6">
      <c r="A621">
        <v>7179</v>
      </c>
      <c r="B621" t="s">
        <v>157</v>
      </c>
      <c r="C621" t="s">
        <v>30</v>
      </c>
      <c r="D621">
        <v>1206</v>
      </c>
      <c r="F621" t="b">
        <v>1</v>
      </c>
    </row>
    <row r="622" spans="1:6">
      <c r="A622">
        <v>1005</v>
      </c>
      <c r="B622" t="s">
        <v>304</v>
      </c>
      <c r="C622" t="s">
        <v>30</v>
      </c>
      <c r="D622">
        <v>168</v>
      </c>
      <c r="F622" t="b">
        <v>1</v>
      </c>
    </row>
    <row r="623" spans="1:6">
      <c r="A623">
        <v>6405</v>
      </c>
      <c r="B623" t="s">
        <v>598</v>
      </c>
      <c r="C623" t="s">
        <v>30</v>
      </c>
      <c r="D623">
        <v>1303</v>
      </c>
      <c r="F623" t="b">
        <v>1</v>
      </c>
    </row>
    <row r="624" spans="1:6">
      <c r="A624">
        <v>5215</v>
      </c>
      <c r="B624" t="s">
        <v>41</v>
      </c>
      <c r="C624" t="s">
        <v>30</v>
      </c>
      <c r="D624">
        <v>1365</v>
      </c>
      <c r="F624" t="b">
        <v>0</v>
      </c>
    </row>
    <row r="625" spans="1:6">
      <c r="A625">
        <v>7525</v>
      </c>
      <c r="B625" t="s">
        <v>318</v>
      </c>
      <c r="C625" t="s">
        <v>30</v>
      </c>
      <c r="D625">
        <v>1563</v>
      </c>
      <c r="F625" t="b">
        <v>1</v>
      </c>
    </row>
    <row r="626" spans="1:6">
      <c r="A626">
        <v>9115</v>
      </c>
      <c r="B626" t="s">
        <v>88</v>
      </c>
      <c r="C626" t="s">
        <v>30</v>
      </c>
      <c r="D626">
        <v>1172</v>
      </c>
      <c r="F626" t="b">
        <v>0</v>
      </c>
    </row>
    <row r="627" spans="1:6">
      <c r="A627">
        <v>6454</v>
      </c>
      <c r="B627" t="s">
        <v>191</v>
      </c>
      <c r="C627" t="s">
        <v>30</v>
      </c>
      <c r="D627">
        <v>1704</v>
      </c>
      <c r="F627" t="b">
        <v>1</v>
      </c>
    </row>
    <row r="628" spans="1:6">
      <c r="A628">
        <v>4781</v>
      </c>
      <c r="B628" t="s">
        <v>602</v>
      </c>
      <c r="C628" t="s">
        <v>30</v>
      </c>
      <c r="D628">
        <v>4421</v>
      </c>
      <c r="F628" t="b">
        <v>1</v>
      </c>
    </row>
    <row r="629" spans="1:6">
      <c r="A629">
        <v>5040</v>
      </c>
      <c r="B629" t="s">
        <v>603</v>
      </c>
      <c r="C629" t="s">
        <v>30</v>
      </c>
      <c r="D629">
        <v>2964</v>
      </c>
      <c r="F629" t="b">
        <v>0</v>
      </c>
    </row>
    <row r="630" spans="1:6">
      <c r="A630">
        <v>3209</v>
      </c>
      <c r="B630" t="s">
        <v>347</v>
      </c>
      <c r="C630" t="s">
        <v>30</v>
      </c>
      <c r="D630">
        <v>1094</v>
      </c>
      <c r="F630" t="b">
        <v>0</v>
      </c>
    </row>
    <row r="631" spans="1:6">
      <c r="A631">
        <v>8703</v>
      </c>
      <c r="B631" t="s">
        <v>254</v>
      </c>
      <c r="C631" t="s">
        <v>30</v>
      </c>
      <c r="D631">
        <v>3674</v>
      </c>
      <c r="F631" t="b">
        <v>0</v>
      </c>
    </row>
    <row r="632" spans="1:6">
      <c r="A632">
        <v>2536</v>
      </c>
      <c r="B632" t="s">
        <v>272</v>
      </c>
      <c r="C632" t="s">
        <v>30</v>
      </c>
      <c r="D632">
        <v>296</v>
      </c>
      <c r="F632" t="b">
        <v>0</v>
      </c>
    </row>
    <row r="633" spans="1:6">
      <c r="A633">
        <v>2057</v>
      </c>
      <c r="B633" t="s">
        <v>604</v>
      </c>
      <c r="C633" t="s">
        <v>30</v>
      </c>
      <c r="D633">
        <v>4164</v>
      </c>
      <c r="F633" t="b">
        <v>0</v>
      </c>
    </row>
    <row r="634" spans="1:6">
      <c r="A634">
        <v>5627</v>
      </c>
      <c r="B634" t="s">
        <v>606</v>
      </c>
      <c r="C634" t="s">
        <v>30</v>
      </c>
      <c r="D634">
        <v>3349</v>
      </c>
      <c r="F634" t="b">
        <v>1</v>
      </c>
    </row>
    <row r="635" spans="1:6">
      <c r="A635">
        <v>4763</v>
      </c>
      <c r="B635" t="s">
        <v>266</v>
      </c>
      <c r="C635" t="s">
        <v>30</v>
      </c>
      <c r="D635">
        <v>2830</v>
      </c>
      <c r="F635" t="b">
        <v>0</v>
      </c>
    </row>
    <row r="636" spans="1:6">
      <c r="A636">
        <v>4577</v>
      </c>
      <c r="B636" t="s">
        <v>190</v>
      </c>
      <c r="C636" t="s">
        <v>30</v>
      </c>
      <c r="D636">
        <v>2409</v>
      </c>
      <c r="F636" t="b">
        <v>1</v>
      </c>
    </row>
    <row r="637" spans="1:6">
      <c r="A637">
        <v>5216</v>
      </c>
      <c r="B637" t="s">
        <v>367</v>
      </c>
      <c r="C637" t="s">
        <v>30</v>
      </c>
      <c r="D637">
        <v>2872</v>
      </c>
      <c r="F637" t="b">
        <v>1</v>
      </c>
    </row>
    <row r="638" spans="1:6">
      <c r="A638">
        <v>3941</v>
      </c>
      <c r="B638" t="s">
        <v>608</v>
      </c>
      <c r="C638" t="s">
        <v>30</v>
      </c>
      <c r="D638">
        <v>1364</v>
      </c>
      <c r="F638" t="b">
        <v>1</v>
      </c>
    </row>
    <row r="639" spans="1:6">
      <c r="A639">
        <v>4396</v>
      </c>
      <c r="B639" t="s">
        <v>234</v>
      </c>
      <c r="C639" t="s">
        <v>30</v>
      </c>
      <c r="D639">
        <v>473</v>
      </c>
      <c r="F639" t="b">
        <v>1</v>
      </c>
    </row>
    <row r="640" spans="1:6">
      <c r="A640">
        <v>4865</v>
      </c>
      <c r="B640" t="s">
        <v>98</v>
      </c>
      <c r="C640" t="s">
        <v>30</v>
      </c>
      <c r="D640">
        <v>4883</v>
      </c>
      <c r="F640" t="b">
        <v>1</v>
      </c>
    </row>
    <row r="641" spans="1:6">
      <c r="A641">
        <v>2497</v>
      </c>
      <c r="B641" t="s">
        <v>382</v>
      </c>
      <c r="C641" t="s">
        <v>30</v>
      </c>
      <c r="D641">
        <v>99</v>
      </c>
      <c r="F641" t="b">
        <v>1</v>
      </c>
    </row>
    <row r="642" spans="1:6">
      <c r="A642">
        <v>4945</v>
      </c>
      <c r="B642" t="s">
        <v>313</v>
      </c>
      <c r="C642" t="s">
        <v>30</v>
      </c>
      <c r="D642">
        <v>2284</v>
      </c>
      <c r="F642" t="b">
        <v>0</v>
      </c>
    </row>
    <row r="643" spans="1:6">
      <c r="A643">
        <v>5227</v>
      </c>
      <c r="B643" t="s">
        <v>610</v>
      </c>
      <c r="C643" t="s">
        <v>30</v>
      </c>
      <c r="D643">
        <v>3505</v>
      </c>
      <c r="F643" t="b">
        <v>1</v>
      </c>
    </row>
    <row r="644" spans="1:6">
      <c r="A644">
        <v>2150</v>
      </c>
      <c r="B644" t="s">
        <v>311</v>
      </c>
      <c r="C644" t="s">
        <v>30</v>
      </c>
      <c r="D644">
        <v>412</v>
      </c>
      <c r="F644" t="b">
        <v>0</v>
      </c>
    </row>
    <row r="645" spans="1:6">
      <c r="A645">
        <v>7145</v>
      </c>
      <c r="B645" t="s">
        <v>612</v>
      </c>
      <c r="C645" t="s">
        <v>30</v>
      </c>
      <c r="D645">
        <v>4867</v>
      </c>
      <c r="F645" t="b">
        <v>0</v>
      </c>
    </row>
    <row r="646" spans="1:6">
      <c r="A646">
        <v>2040</v>
      </c>
      <c r="B646" t="s">
        <v>613</v>
      </c>
      <c r="C646" t="s">
        <v>30</v>
      </c>
      <c r="D646">
        <v>2560</v>
      </c>
      <c r="F646" t="b">
        <v>1</v>
      </c>
    </row>
    <row r="647" spans="1:6">
      <c r="A647">
        <v>4191</v>
      </c>
      <c r="B647" t="s">
        <v>270</v>
      </c>
      <c r="C647" t="s">
        <v>30</v>
      </c>
      <c r="D647">
        <v>4269</v>
      </c>
      <c r="F647" t="b">
        <v>1</v>
      </c>
    </row>
    <row r="648" spans="1:6">
      <c r="A648">
        <v>4336</v>
      </c>
      <c r="B648" t="s">
        <v>88</v>
      </c>
      <c r="C648" t="s">
        <v>30</v>
      </c>
      <c r="D648">
        <v>1317</v>
      </c>
      <c r="F648" t="b">
        <v>1</v>
      </c>
    </row>
    <row r="649" spans="1:6">
      <c r="A649">
        <v>5438</v>
      </c>
      <c r="B649" t="s">
        <v>411</v>
      </c>
      <c r="C649" t="s">
        <v>30</v>
      </c>
      <c r="D649">
        <v>2936</v>
      </c>
      <c r="F649" t="b">
        <v>0</v>
      </c>
    </row>
    <row r="650" spans="1:6">
      <c r="A650">
        <v>9857</v>
      </c>
      <c r="B650" t="s">
        <v>247</v>
      </c>
      <c r="C650" t="s">
        <v>30</v>
      </c>
      <c r="D650">
        <v>905</v>
      </c>
      <c r="F650" t="b">
        <v>1</v>
      </c>
    </row>
    <row r="651" spans="1:6">
      <c r="A651">
        <v>4767</v>
      </c>
      <c r="B651" t="s">
        <v>98</v>
      </c>
      <c r="C651" t="s">
        <v>30</v>
      </c>
      <c r="D651">
        <v>4513</v>
      </c>
      <c r="F651" t="b">
        <v>1</v>
      </c>
    </row>
    <row r="652" spans="1:6">
      <c r="A652">
        <v>9374</v>
      </c>
      <c r="B652" t="s">
        <v>224</v>
      </c>
      <c r="C652" t="s">
        <v>30</v>
      </c>
      <c r="D652">
        <v>1153</v>
      </c>
      <c r="F652" t="b">
        <v>1</v>
      </c>
    </row>
    <row r="653" spans="1:6">
      <c r="A653">
        <v>3918</v>
      </c>
      <c r="B653" t="s">
        <v>88</v>
      </c>
      <c r="C653" t="s">
        <v>30</v>
      </c>
      <c r="D653">
        <v>1506</v>
      </c>
      <c r="F653" t="b">
        <v>1</v>
      </c>
    </row>
    <row r="654" spans="1:6">
      <c r="A654">
        <v>9866</v>
      </c>
      <c r="B654" t="s">
        <v>138</v>
      </c>
      <c r="C654" t="s">
        <v>30</v>
      </c>
      <c r="D654">
        <v>3817</v>
      </c>
      <c r="F654" t="b">
        <v>1</v>
      </c>
    </row>
    <row r="655" spans="1:6">
      <c r="A655">
        <v>6389</v>
      </c>
      <c r="B655" t="s">
        <v>541</v>
      </c>
      <c r="C655" t="s">
        <v>30</v>
      </c>
      <c r="D655">
        <v>4662</v>
      </c>
      <c r="F655" t="b">
        <v>0</v>
      </c>
    </row>
    <row r="656" spans="1:6">
      <c r="A656">
        <v>8733</v>
      </c>
      <c r="B656" t="s">
        <v>294</v>
      </c>
      <c r="C656" t="s">
        <v>30</v>
      </c>
      <c r="D656">
        <v>3708</v>
      </c>
      <c r="F656" t="b">
        <v>1</v>
      </c>
    </row>
    <row r="657" spans="1:6">
      <c r="A657">
        <v>8105</v>
      </c>
      <c r="B657" t="s">
        <v>52</v>
      </c>
      <c r="C657" t="s">
        <v>30</v>
      </c>
      <c r="D657">
        <v>1256</v>
      </c>
      <c r="F657" t="b">
        <v>1</v>
      </c>
    </row>
    <row r="658" spans="1:6">
      <c r="A658">
        <v>3443</v>
      </c>
      <c r="B658" t="s">
        <v>190</v>
      </c>
      <c r="C658" t="s">
        <v>30</v>
      </c>
      <c r="D658">
        <v>1792</v>
      </c>
      <c r="F658" t="b">
        <v>1</v>
      </c>
    </row>
    <row r="659" spans="1:6">
      <c r="A659">
        <v>2664</v>
      </c>
      <c r="B659" t="s">
        <v>98</v>
      </c>
      <c r="C659" t="s">
        <v>30</v>
      </c>
      <c r="D659">
        <v>402</v>
      </c>
      <c r="F659" t="b">
        <v>0</v>
      </c>
    </row>
    <row r="660" spans="1:6">
      <c r="A660">
        <v>1782</v>
      </c>
      <c r="B660" t="s">
        <v>617</v>
      </c>
      <c r="C660" t="s">
        <v>30</v>
      </c>
      <c r="D660">
        <v>1271</v>
      </c>
      <c r="F660" t="b">
        <v>0</v>
      </c>
    </row>
    <row r="661" spans="1:6">
      <c r="A661">
        <v>1337</v>
      </c>
      <c r="B661" t="s">
        <v>618</v>
      </c>
      <c r="C661" t="s">
        <v>30</v>
      </c>
      <c r="D661">
        <v>4537</v>
      </c>
      <c r="F661" t="b">
        <v>0</v>
      </c>
    </row>
    <row r="662" spans="1:6">
      <c r="A662">
        <v>5901</v>
      </c>
      <c r="B662" t="s">
        <v>41</v>
      </c>
      <c r="C662" t="s">
        <v>30</v>
      </c>
      <c r="D662">
        <v>4815</v>
      </c>
      <c r="F662" t="b">
        <v>0</v>
      </c>
    </row>
    <row r="663" spans="1:6">
      <c r="A663">
        <v>2731</v>
      </c>
      <c r="B663" t="s">
        <v>619</v>
      </c>
      <c r="C663" t="s">
        <v>30</v>
      </c>
      <c r="D663">
        <v>3510</v>
      </c>
      <c r="F663" t="b">
        <v>1</v>
      </c>
    </row>
    <row r="664" spans="1:6">
      <c r="A664">
        <v>8307</v>
      </c>
      <c r="B664" t="s">
        <v>245</v>
      </c>
      <c r="C664" t="s">
        <v>30</v>
      </c>
      <c r="D664">
        <v>4789</v>
      </c>
      <c r="F664" t="b">
        <v>0</v>
      </c>
    </row>
    <row r="665" spans="1:6">
      <c r="A665">
        <v>8019</v>
      </c>
      <c r="B665" t="s">
        <v>620</v>
      </c>
      <c r="C665" t="s">
        <v>30</v>
      </c>
      <c r="D665">
        <v>863</v>
      </c>
      <c r="F665" t="b">
        <v>0</v>
      </c>
    </row>
    <row r="666" spans="1:6">
      <c r="A666">
        <v>4847</v>
      </c>
      <c r="B666" t="s">
        <v>238</v>
      </c>
      <c r="C666" t="s">
        <v>30</v>
      </c>
      <c r="D666">
        <v>1584</v>
      </c>
      <c r="F666" t="b">
        <v>0</v>
      </c>
    </row>
    <row r="667" spans="1:6">
      <c r="A667">
        <v>9822</v>
      </c>
      <c r="B667" t="s">
        <v>212</v>
      </c>
      <c r="C667" t="s">
        <v>30</v>
      </c>
      <c r="D667">
        <v>3178</v>
      </c>
      <c r="F667" t="b">
        <v>0</v>
      </c>
    </row>
    <row r="668" spans="1:6">
      <c r="A668">
        <v>9141</v>
      </c>
      <c r="B668" t="s">
        <v>621</v>
      </c>
      <c r="C668" t="s">
        <v>30</v>
      </c>
      <c r="D668">
        <v>4108</v>
      </c>
      <c r="F668" t="b">
        <v>0</v>
      </c>
    </row>
    <row r="669" spans="1:6">
      <c r="A669">
        <v>7539</v>
      </c>
      <c r="B669" t="s">
        <v>606</v>
      </c>
      <c r="C669" t="s">
        <v>30</v>
      </c>
      <c r="D669">
        <v>2562</v>
      </c>
      <c r="F669" t="b">
        <v>1</v>
      </c>
    </row>
    <row r="670" spans="1:6">
      <c r="A670">
        <v>1390</v>
      </c>
      <c r="B670" t="s">
        <v>623</v>
      </c>
      <c r="C670" t="s">
        <v>30</v>
      </c>
      <c r="D670">
        <v>3499</v>
      </c>
      <c r="F670" t="b">
        <v>1</v>
      </c>
    </row>
    <row r="671" spans="1:6">
      <c r="A671">
        <v>9505</v>
      </c>
      <c r="B671" t="s">
        <v>284</v>
      </c>
      <c r="C671" t="s">
        <v>30</v>
      </c>
      <c r="D671">
        <v>3645</v>
      </c>
      <c r="F671" t="b">
        <v>1</v>
      </c>
    </row>
    <row r="672" spans="1:6">
      <c r="A672">
        <v>6741</v>
      </c>
      <c r="B672" t="s">
        <v>259</v>
      </c>
      <c r="C672" t="s">
        <v>30</v>
      </c>
      <c r="D672">
        <v>2989</v>
      </c>
      <c r="F672" t="b">
        <v>0</v>
      </c>
    </row>
    <row r="673" spans="1:6">
      <c r="A673">
        <v>1790</v>
      </c>
      <c r="B673" t="s">
        <v>624</v>
      </c>
      <c r="C673" t="s">
        <v>30</v>
      </c>
      <c r="D673">
        <v>55</v>
      </c>
      <c r="F673" t="b">
        <v>1</v>
      </c>
    </row>
    <row r="674" spans="1:6">
      <c r="A674">
        <v>6491</v>
      </c>
      <c r="B674" t="s">
        <v>625</v>
      </c>
      <c r="C674" t="s">
        <v>30</v>
      </c>
      <c r="D674">
        <v>1850</v>
      </c>
      <c r="F674" t="b">
        <v>0</v>
      </c>
    </row>
    <row r="675" spans="1:6">
      <c r="A675">
        <v>3102</v>
      </c>
      <c r="B675" t="s">
        <v>260</v>
      </c>
      <c r="C675" t="s">
        <v>30</v>
      </c>
      <c r="D675">
        <v>4672</v>
      </c>
      <c r="F675" t="b">
        <v>1</v>
      </c>
    </row>
    <row r="676" spans="1:6">
      <c r="A676">
        <v>1300</v>
      </c>
      <c r="B676" t="s">
        <v>626</v>
      </c>
      <c r="C676" t="s">
        <v>30</v>
      </c>
      <c r="D676">
        <v>2615</v>
      </c>
      <c r="F676" t="b">
        <v>1</v>
      </c>
    </row>
    <row r="677" spans="1:6">
      <c r="A677">
        <v>5410</v>
      </c>
      <c r="B677" t="s">
        <v>628</v>
      </c>
      <c r="C677" t="s">
        <v>30</v>
      </c>
      <c r="D677">
        <v>4927</v>
      </c>
      <c r="F677" t="b">
        <v>0</v>
      </c>
    </row>
    <row r="678" spans="1:6">
      <c r="A678">
        <v>2714</v>
      </c>
      <c r="B678" t="s">
        <v>629</v>
      </c>
      <c r="C678" t="s">
        <v>30</v>
      </c>
      <c r="D678">
        <v>3069</v>
      </c>
      <c r="F678" t="b">
        <v>0</v>
      </c>
    </row>
    <row r="679" spans="1:6">
      <c r="A679">
        <v>4700</v>
      </c>
      <c r="B679" t="s">
        <v>179</v>
      </c>
      <c r="C679" t="s">
        <v>30</v>
      </c>
      <c r="D679">
        <v>1906</v>
      </c>
      <c r="F679" t="b">
        <v>0</v>
      </c>
    </row>
    <row r="680" spans="1:6">
      <c r="A680">
        <v>7589</v>
      </c>
      <c r="B680" t="s">
        <v>280</v>
      </c>
      <c r="C680" t="s">
        <v>30</v>
      </c>
      <c r="D680">
        <v>105</v>
      </c>
      <c r="F680" t="b">
        <v>0</v>
      </c>
    </row>
    <row r="681" spans="1:6">
      <c r="A681">
        <v>6866</v>
      </c>
      <c r="B681" t="s">
        <v>199</v>
      </c>
      <c r="C681" t="s">
        <v>30</v>
      </c>
      <c r="D681">
        <v>4</v>
      </c>
      <c r="F681" t="b">
        <v>1</v>
      </c>
    </row>
    <row r="682" spans="1:6">
      <c r="A682">
        <v>6960</v>
      </c>
      <c r="B682" t="s">
        <v>630</v>
      </c>
      <c r="C682" t="s">
        <v>30</v>
      </c>
      <c r="D682">
        <v>1651</v>
      </c>
      <c r="F682" t="b">
        <v>1</v>
      </c>
    </row>
    <row r="683" spans="1:6">
      <c r="A683">
        <v>5808</v>
      </c>
      <c r="B683" t="s">
        <v>491</v>
      </c>
      <c r="C683" t="s">
        <v>30</v>
      </c>
      <c r="D683">
        <v>1828</v>
      </c>
      <c r="F683" t="b">
        <v>1</v>
      </c>
    </row>
    <row r="684" spans="1:6">
      <c r="A684">
        <v>5525</v>
      </c>
      <c r="B684" t="s">
        <v>224</v>
      </c>
      <c r="C684" t="s">
        <v>30</v>
      </c>
      <c r="D684">
        <v>396</v>
      </c>
      <c r="F684" t="b">
        <v>1</v>
      </c>
    </row>
    <row r="685" spans="1:6">
      <c r="A685">
        <v>1272</v>
      </c>
      <c r="B685" t="s">
        <v>272</v>
      </c>
      <c r="C685" t="s">
        <v>30</v>
      </c>
      <c r="D685">
        <v>809</v>
      </c>
      <c r="F685" t="b">
        <v>0</v>
      </c>
    </row>
    <row r="686" spans="1:6">
      <c r="A686">
        <v>8063</v>
      </c>
      <c r="B686" t="s">
        <v>304</v>
      </c>
      <c r="C686" t="s">
        <v>30</v>
      </c>
      <c r="D686">
        <v>1431</v>
      </c>
      <c r="F686" t="b">
        <v>1</v>
      </c>
    </row>
    <row r="687" spans="1:6">
      <c r="A687">
        <v>1856</v>
      </c>
      <c r="B687" t="s">
        <v>631</v>
      </c>
      <c r="C687" t="s">
        <v>30</v>
      </c>
      <c r="D687">
        <v>2394</v>
      </c>
      <c r="F687" t="b">
        <v>0</v>
      </c>
    </row>
    <row r="688" spans="1:6">
      <c r="A688">
        <v>2830</v>
      </c>
      <c r="B688" t="s">
        <v>579</v>
      </c>
      <c r="C688" t="s">
        <v>30</v>
      </c>
      <c r="D688">
        <v>4685</v>
      </c>
      <c r="F688" t="b">
        <v>1</v>
      </c>
    </row>
    <row r="689" spans="1:6">
      <c r="A689">
        <v>3287</v>
      </c>
      <c r="B689" t="s">
        <v>508</v>
      </c>
      <c r="C689" t="s">
        <v>30</v>
      </c>
      <c r="D689">
        <v>4332</v>
      </c>
      <c r="F689" t="b">
        <v>1</v>
      </c>
    </row>
    <row r="690" spans="1:6">
      <c r="A690">
        <v>5679</v>
      </c>
      <c r="B690" t="s">
        <v>444</v>
      </c>
      <c r="C690" t="s">
        <v>30</v>
      </c>
      <c r="D690">
        <v>851</v>
      </c>
      <c r="F690" t="b">
        <v>0</v>
      </c>
    </row>
    <row r="691" spans="1:6">
      <c r="A691">
        <v>6399</v>
      </c>
      <c r="B691" t="s">
        <v>157</v>
      </c>
      <c r="C691" t="s">
        <v>30</v>
      </c>
      <c r="D691">
        <v>2261</v>
      </c>
      <c r="F691" t="b">
        <v>0</v>
      </c>
    </row>
    <row r="692" spans="1:6">
      <c r="A692">
        <v>8753</v>
      </c>
      <c r="B692" t="s">
        <v>257</v>
      </c>
      <c r="C692" t="s">
        <v>30</v>
      </c>
      <c r="D692">
        <v>1500</v>
      </c>
      <c r="F692" t="b">
        <v>0</v>
      </c>
    </row>
    <row r="693" spans="1:6">
      <c r="A693">
        <v>9267</v>
      </c>
      <c r="B693" t="s">
        <v>284</v>
      </c>
      <c r="C693" t="s">
        <v>30</v>
      </c>
      <c r="D693">
        <v>2130</v>
      </c>
      <c r="F693" t="b">
        <v>1</v>
      </c>
    </row>
    <row r="694" spans="1:6">
      <c r="A694">
        <v>9846</v>
      </c>
      <c r="B694" t="s">
        <v>128</v>
      </c>
      <c r="C694" t="s">
        <v>30</v>
      </c>
      <c r="D694">
        <v>4308</v>
      </c>
      <c r="F694" t="b">
        <v>0</v>
      </c>
    </row>
    <row r="695" spans="1:6">
      <c r="A695">
        <v>2382</v>
      </c>
      <c r="B695" t="s">
        <v>584</v>
      </c>
      <c r="C695" t="s">
        <v>30</v>
      </c>
      <c r="D695">
        <v>421</v>
      </c>
      <c r="F695" t="b">
        <v>1</v>
      </c>
    </row>
    <row r="696" spans="1:6">
      <c r="A696">
        <v>3593</v>
      </c>
      <c r="B696" t="s">
        <v>335</v>
      </c>
      <c r="C696" t="s">
        <v>30</v>
      </c>
      <c r="D696">
        <v>2163</v>
      </c>
      <c r="F696" t="b">
        <v>0</v>
      </c>
    </row>
    <row r="697" spans="1:6">
      <c r="A697">
        <v>4097</v>
      </c>
      <c r="B697" t="s">
        <v>280</v>
      </c>
      <c r="C697" t="s">
        <v>30</v>
      </c>
      <c r="D697">
        <v>3354</v>
      </c>
      <c r="F697" t="b">
        <v>0</v>
      </c>
    </row>
    <row r="698" spans="1:6">
      <c r="A698">
        <v>2886</v>
      </c>
      <c r="B698" t="s">
        <v>106</v>
      </c>
      <c r="C698" t="s">
        <v>30</v>
      </c>
      <c r="D698">
        <v>3702</v>
      </c>
      <c r="F698" t="b">
        <v>0</v>
      </c>
    </row>
    <row r="699" spans="1:6">
      <c r="A699">
        <v>3255</v>
      </c>
      <c r="B699" t="s">
        <v>547</v>
      </c>
      <c r="C699" t="s">
        <v>30</v>
      </c>
      <c r="D699">
        <v>3758</v>
      </c>
      <c r="F699" t="b">
        <v>1</v>
      </c>
    </row>
    <row r="700" spans="1:6">
      <c r="A700">
        <v>6752</v>
      </c>
      <c r="B700" t="s">
        <v>194</v>
      </c>
      <c r="C700" t="s">
        <v>30</v>
      </c>
      <c r="D700">
        <v>3942</v>
      </c>
      <c r="F700" t="b">
        <v>1</v>
      </c>
    </row>
    <row r="701" spans="1:6">
      <c r="A701">
        <v>7945</v>
      </c>
      <c r="B701" t="s">
        <v>631</v>
      </c>
      <c r="C701" t="s">
        <v>30</v>
      </c>
      <c r="D701">
        <v>2242</v>
      </c>
      <c r="F701" t="b">
        <v>1</v>
      </c>
    </row>
    <row r="702" spans="1:6">
      <c r="A702">
        <v>6658</v>
      </c>
      <c r="B702" t="s">
        <v>157</v>
      </c>
      <c r="C702" t="s">
        <v>30</v>
      </c>
      <c r="D702">
        <v>2561</v>
      </c>
      <c r="F702" t="b">
        <v>1</v>
      </c>
    </row>
    <row r="703" spans="1:6">
      <c r="A703">
        <v>5468</v>
      </c>
      <c r="B703" t="s">
        <v>635</v>
      </c>
      <c r="C703" t="s">
        <v>30</v>
      </c>
      <c r="D703">
        <v>2465</v>
      </c>
      <c r="F703" t="b">
        <v>1</v>
      </c>
    </row>
    <row r="704" spans="1:6">
      <c r="A704">
        <v>7451</v>
      </c>
      <c r="B704" t="s">
        <v>244</v>
      </c>
      <c r="C704" t="s">
        <v>30</v>
      </c>
      <c r="D704">
        <v>4435</v>
      </c>
      <c r="F704" t="b">
        <v>0</v>
      </c>
    </row>
    <row r="705" spans="1:6">
      <c r="A705">
        <v>1253</v>
      </c>
      <c r="B705" t="s">
        <v>157</v>
      </c>
      <c r="C705" t="s">
        <v>30</v>
      </c>
      <c r="D705">
        <v>4116</v>
      </c>
      <c r="F705" t="b">
        <v>0</v>
      </c>
    </row>
    <row r="706" spans="1:6">
      <c r="A706">
        <v>6746</v>
      </c>
      <c r="B706" t="s">
        <v>558</v>
      </c>
      <c r="C706" t="s">
        <v>30</v>
      </c>
      <c r="D706">
        <v>944</v>
      </c>
      <c r="F706" t="b">
        <v>0</v>
      </c>
    </row>
    <row r="707" spans="1:6">
      <c r="A707">
        <v>8089</v>
      </c>
      <c r="B707" t="s">
        <v>232</v>
      </c>
      <c r="C707" t="s">
        <v>30</v>
      </c>
      <c r="D707">
        <v>4219</v>
      </c>
      <c r="F707" t="b">
        <v>0</v>
      </c>
    </row>
    <row r="708" spans="1:6">
      <c r="A708">
        <v>8045</v>
      </c>
      <c r="B708" t="s">
        <v>304</v>
      </c>
      <c r="C708" t="s">
        <v>30</v>
      </c>
      <c r="D708">
        <v>4311</v>
      </c>
      <c r="F708" t="b">
        <v>0</v>
      </c>
    </row>
    <row r="709" spans="1:6">
      <c r="A709">
        <v>9417</v>
      </c>
      <c r="B709" t="s">
        <v>126</v>
      </c>
      <c r="C709" t="s">
        <v>30</v>
      </c>
      <c r="D709">
        <v>1972</v>
      </c>
      <c r="F709" t="b">
        <v>1</v>
      </c>
    </row>
    <row r="710" spans="1:6">
      <c r="A710">
        <v>3217</v>
      </c>
      <c r="B710" t="s">
        <v>140</v>
      </c>
      <c r="C710" t="s">
        <v>30</v>
      </c>
      <c r="D710">
        <v>2132</v>
      </c>
      <c r="F710" t="b">
        <v>1</v>
      </c>
    </row>
    <row r="711" spans="1:6">
      <c r="A711">
        <v>4234</v>
      </c>
      <c r="B711" t="s">
        <v>157</v>
      </c>
      <c r="C711" t="s">
        <v>30</v>
      </c>
      <c r="D711">
        <v>2370</v>
      </c>
      <c r="F711" t="b">
        <v>1</v>
      </c>
    </row>
    <row r="712" spans="1:6">
      <c r="A712">
        <v>1118</v>
      </c>
      <c r="B712" t="s">
        <v>240</v>
      </c>
      <c r="C712" t="s">
        <v>30</v>
      </c>
      <c r="D712">
        <v>1312</v>
      </c>
      <c r="F712" t="b">
        <v>1</v>
      </c>
    </row>
    <row r="713" spans="1:6">
      <c r="A713">
        <v>4027</v>
      </c>
      <c r="B713" t="s">
        <v>631</v>
      </c>
      <c r="C713" t="s">
        <v>30</v>
      </c>
      <c r="D713">
        <v>4920</v>
      </c>
      <c r="F713" t="b">
        <v>1</v>
      </c>
    </row>
    <row r="714" spans="1:6">
      <c r="A714">
        <v>8451</v>
      </c>
      <c r="B714" t="s">
        <v>637</v>
      </c>
      <c r="C714" t="s">
        <v>30</v>
      </c>
      <c r="D714">
        <v>2897</v>
      </c>
      <c r="F714" t="b">
        <v>1</v>
      </c>
    </row>
    <row r="715" spans="1:6">
      <c r="A715">
        <v>6647</v>
      </c>
      <c r="B715" t="s">
        <v>88</v>
      </c>
      <c r="C715" t="s">
        <v>30</v>
      </c>
      <c r="D715">
        <v>1275</v>
      </c>
      <c r="F715" t="b">
        <v>1</v>
      </c>
    </row>
    <row r="716" spans="1:6">
      <c r="A716">
        <v>4002</v>
      </c>
      <c r="B716" t="s">
        <v>441</v>
      </c>
      <c r="C716" t="s">
        <v>30</v>
      </c>
      <c r="D716">
        <v>340</v>
      </c>
      <c r="F716" t="b">
        <v>1</v>
      </c>
    </row>
    <row r="717" spans="1:6">
      <c r="A717">
        <v>6910</v>
      </c>
      <c r="B717" t="s">
        <v>347</v>
      </c>
      <c r="C717" t="s">
        <v>30</v>
      </c>
      <c r="D717">
        <v>444</v>
      </c>
      <c r="F717" t="b">
        <v>1</v>
      </c>
    </row>
    <row r="718" spans="1:6">
      <c r="A718">
        <v>3164</v>
      </c>
      <c r="B718" t="s">
        <v>325</v>
      </c>
      <c r="C718" t="s">
        <v>30</v>
      </c>
      <c r="D718">
        <v>292</v>
      </c>
      <c r="F718" t="b">
        <v>0</v>
      </c>
    </row>
    <row r="719" spans="1:6">
      <c r="A719">
        <v>2400</v>
      </c>
      <c r="B719" t="s">
        <v>138</v>
      </c>
      <c r="C719" t="s">
        <v>30</v>
      </c>
      <c r="D719">
        <v>53</v>
      </c>
      <c r="F719" t="b">
        <v>0</v>
      </c>
    </row>
    <row r="720" spans="1:6">
      <c r="A720">
        <v>5499</v>
      </c>
      <c r="B720" t="s">
        <v>404</v>
      </c>
      <c r="C720" t="s">
        <v>30</v>
      </c>
      <c r="D720">
        <v>1638</v>
      </c>
      <c r="F720" t="b">
        <v>0</v>
      </c>
    </row>
    <row r="721" spans="1:6">
      <c r="A721">
        <v>7221</v>
      </c>
      <c r="B721" t="s">
        <v>367</v>
      </c>
      <c r="C721" t="s">
        <v>30</v>
      </c>
      <c r="D721">
        <v>3542</v>
      </c>
      <c r="F721" t="b">
        <v>1</v>
      </c>
    </row>
    <row r="722" spans="1:6">
      <c r="A722">
        <v>4556</v>
      </c>
      <c r="B722" t="s">
        <v>120</v>
      </c>
      <c r="C722" t="s">
        <v>30</v>
      </c>
      <c r="D722">
        <v>4935</v>
      </c>
      <c r="F722" t="b">
        <v>0</v>
      </c>
    </row>
    <row r="723" spans="1:6">
      <c r="A723">
        <v>7175</v>
      </c>
      <c r="B723" t="s">
        <v>517</v>
      </c>
      <c r="C723" t="s">
        <v>30</v>
      </c>
      <c r="D723">
        <v>1216</v>
      </c>
      <c r="F723" t="b">
        <v>1</v>
      </c>
    </row>
    <row r="724" spans="1:6">
      <c r="A724">
        <v>7072</v>
      </c>
      <c r="B724" t="s">
        <v>592</v>
      </c>
      <c r="C724" t="s">
        <v>30</v>
      </c>
      <c r="D724">
        <v>4409</v>
      </c>
      <c r="F724" t="b">
        <v>1</v>
      </c>
    </row>
    <row r="725" spans="1:6">
      <c r="A725">
        <v>4320</v>
      </c>
      <c r="B725" t="s">
        <v>307</v>
      </c>
      <c r="C725" t="s">
        <v>30</v>
      </c>
      <c r="D725">
        <v>2853</v>
      </c>
      <c r="F725" t="b">
        <v>1</v>
      </c>
    </row>
    <row r="726" spans="1:6">
      <c r="A726">
        <v>3558</v>
      </c>
      <c r="B726" t="s">
        <v>640</v>
      </c>
      <c r="C726" t="s">
        <v>30</v>
      </c>
      <c r="D726">
        <v>1252</v>
      </c>
      <c r="F726" t="b">
        <v>0</v>
      </c>
    </row>
    <row r="727" spans="1:6">
      <c r="A727">
        <v>8581</v>
      </c>
      <c r="B727" t="s">
        <v>196</v>
      </c>
      <c r="C727" t="s">
        <v>30</v>
      </c>
      <c r="D727">
        <v>3027</v>
      </c>
      <c r="F727" t="b">
        <v>1</v>
      </c>
    </row>
    <row r="728" spans="1:6">
      <c r="A728">
        <v>5827</v>
      </c>
      <c r="B728" t="s">
        <v>224</v>
      </c>
      <c r="C728" t="s">
        <v>30</v>
      </c>
      <c r="D728">
        <v>1228</v>
      </c>
      <c r="F728" t="b">
        <v>1</v>
      </c>
    </row>
    <row r="729" spans="1:6">
      <c r="A729">
        <v>6929</v>
      </c>
      <c r="B729" t="s">
        <v>114</v>
      </c>
      <c r="C729" t="s">
        <v>30</v>
      </c>
      <c r="D729">
        <v>3616</v>
      </c>
      <c r="F729" t="b">
        <v>0</v>
      </c>
    </row>
    <row r="730" spans="1:6">
      <c r="A730">
        <v>9179</v>
      </c>
      <c r="B730" t="s">
        <v>643</v>
      </c>
      <c r="C730" t="s">
        <v>30</v>
      </c>
      <c r="D730">
        <v>3913</v>
      </c>
      <c r="F730" t="b">
        <v>1</v>
      </c>
    </row>
    <row r="731" spans="1:6">
      <c r="A731">
        <v>7580</v>
      </c>
      <c r="B731" t="s">
        <v>52</v>
      </c>
      <c r="C731" t="s">
        <v>30</v>
      </c>
      <c r="D731">
        <v>775</v>
      </c>
      <c r="F731" t="b">
        <v>1</v>
      </c>
    </row>
    <row r="732" spans="1:6">
      <c r="A732">
        <v>3858</v>
      </c>
      <c r="B732" t="s">
        <v>179</v>
      </c>
      <c r="C732" t="s">
        <v>30</v>
      </c>
      <c r="D732">
        <v>2536</v>
      </c>
      <c r="F732" t="b">
        <v>1</v>
      </c>
    </row>
    <row r="733" spans="1:6">
      <c r="A733">
        <v>8627</v>
      </c>
      <c r="B733" t="s">
        <v>238</v>
      </c>
      <c r="C733" t="s">
        <v>30</v>
      </c>
      <c r="D733">
        <v>2331</v>
      </c>
      <c r="F733" t="b">
        <v>0</v>
      </c>
    </row>
    <row r="734" spans="1:6">
      <c r="A734">
        <v>7552</v>
      </c>
      <c r="B734" t="s">
        <v>645</v>
      </c>
      <c r="C734" t="s">
        <v>30</v>
      </c>
      <c r="D734">
        <v>2953</v>
      </c>
      <c r="F734" t="b">
        <v>0</v>
      </c>
    </row>
    <row r="735" spans="1:6">
      <c r="A735">
        <v>6020</v>
      </c>
      <c r="B735" t="s">
        <v>640</v>
      </c>
      <c r="C735" t="s">
        <v>30</v>
      </c>
      <c r="D735">
        <v>868</v>
      </c>
      <c r="F735" t="b">
        <v>1</v>
      </c>
    </row>
    <row r="736" spans="1:6">
      <c r="A736">
        <v>9408</v>
      </c>
      <c r="B736" t="s">
        <v>291</v>
      </c>
      <c r="C736" t="s">
        <v>30</v>
      </c>
      <c r="D736">
        <v>4808</v>
      </c>
      <c r="F736" t="b">
        <v>1</v>
      </c>
    </row>
    <row r="737" spans="1:6">
      <c r="A737">
        <v>9990</v>
      </c>
      <c r="B737" t="s">
        <v>647</v>
      </c>
      <c r="C737" t="s">
        <v>30</v>
      </c>
      <c r="D737">
        <v>4177</v>
      </c>
      <c r="F737" t="b">
        <v>1</v>
      </c>
    </row>
    <row r="738" spans="1:6">
      <c r="A738">
        <v>3687</v>
      </c>
      <c r="B738" t="s">
        <v>307</v>
      </c>
      <c r="C738" t="s">
        <v>30</v>
      </c>
      <c r="D738">
        <v>564</v>
      </c>
      <c r="F738" t="b">
        <v>0</v>
      </c>
    </row>
    <row r="739" spans="1:6">
      <c r="A739">
        <v>4540</v>
      </c>
      <c r="B739" t="s">
        <v>648</v>
      </c>
      <c r="C739" t="s">
        <v>30</v>
      </c>
      <c r="D739">
        <v>1702</v>
      </c>
      <c r="F739" t="b">
        <v>1</v>
      </c>
    </row>
    <row r="740" spans="1:6">
      <c r="A740">
        <v>8264</v>
      </c>
      <c r="B740" t="s">
        <v>349</v>
      </c>
      <c r="C740" t="s">
        <v>30</v>
      </c>
      <c r="D740">
        <v>249</v>
      </c>
      <c r="F740" t="b">
        <v>1</v>
      </c>
    </row>
    <row r="741" spans="1:6">
      <c r="A741">
        <v>7448</v>
      </c>
      <c r="B741" t="s">
        <v>88</v>
      </c>
      <c r="C741" t="s">
        <v>30</v>
      </c>
      <c r="D741">
        <v>30</v>
      </c>
      <c r="F741" t="b">
        <v>1</v>
      </c>
    </row>
    <row r="742" spans="1:6">
      <c r="A742">
        <v>1123</v>
      </c>
      <c r="B742" t="s">
        <v>650</v>
      </c>
      <c r="C742" t="s">
        <v>30</v>
      </c>
      <c r="D742">
        <v>3842</v>
      </c>
      <c r="F742" t="b">
        <v>0</v>
      </c>
    </row>
    <row r="743" spans="1:6">
      <c r="A743">
        <v>4103</v>
      </c>
      <c r="B743" t="s">
        <v>257</v>
      </c>
      <c r="C743" t="s">
        <v>30</v>
      </c>
      <c r="D743">
        <v>1299</v>
      </c>
      <c r="F743" t="b">
        <v>1</v>
      </c>
    </row>
    <row r="744" spans="1:6">
      <c r="A744">
        <v>2904</v>
      </c>
      <c r="B744" t="s">
        <v>458</v>
      </c>
      <c r="C744" t="s">
        <v>30</v>
      </c>
      <c r="D744">
        <v>2346</v>
      </c>
      <c r="F744" t="b">
        <v>0</v>
      </c>
    </row>
    <row r="745" spans="1:6">
      <c r="A745">
        <v>5634</v>
      </c>
      <c r="B745" t="s">
        <v>176</v>
      </c>
      <c r="C745" t="s">
        <v>30</v>
      </c>
      <c r="D745">
        <v>215</v>
      </c>
      <c r="F745" t="b">
        <v>0</v>
      </c>
    </row>
    <row r="746" spans="1:6">
      <c r="A746">
        <v>5360</v>
      </c>
      <c r="B746" t="s">
        <v>147</v>
      </c>
      <c r="C746" t="s">
        <v>30</v>
      </c>
      <c r="D746">
        <v>3062</v>
      </c>
      <c r="F746" t="b">
        <v>1</v>
      </c>
    </row>
    <row r="747" spans="1:6">
      <c r="A747">
        <v>8571</v>
      </c>
      <c r="B747" t="s">
        <v>345</v>
      </c>
      <c r="C747" t="s">
        <v>30</v>
      </c>
      <c r="D747">
        <v>2978</v>
      </c>
      <c r="F747" t="b">
        <v>0</v>
      </c>
    </row>
    <row r="748" spans="1:6">
      <c r="A748">
        <v>9439</v>
      </c>
      <c r="B748" t="s">
        <v>653</v>
      </c>
      <c r="C748" t="s">
        <v>30</v>
      </c>
      <c r="D748">
        <v>1984</v>
      </c>
      <c r="F748" t="b">
        <v>0</v>
      </c>
    </row>
    <row r="749" spans="1:6">
      <c r="A749">
        <v>8356</v>
      </c>
      <c r="B749" t="s">
        <v>546</v>
      </c>
      <c r="C749" t="s">
        <v>30</v>
      </c>
      <c r="D749">
        <v>945</v>
      </c>
      <c r="F749" t="b">
        <v>1</v>
      </c>
    </row>
    <row r="750" spans="1:6">
      <c r="A750">
        <v>2039</v>
      </c>
      <c r="B750" t="s">
        <v>656</v>
      </c>
      <c r="C750" t="s">
        <v>30</v>
      </c>
      <c r="D750">
        <v>4134</v>
      </c>
      <c r="F750" t="b">
        <v>0</v>
      </c>
    </row>
    <row r="751" spans="1:6">
      <c r="A751">
        <v>2613</v>
      </c>
      <c r="B751" t="s">
        <v>657</v>
      </c>
      <c r="C751" t="s">
        <v>30</v>
      </c>
      <c r="D751">
        <v>3741</v>
      </c>
      <c r="F751" t="b">
        <v>0</v>
      </c>
    </row>
    <row r="752" spans="1:6">
      <c r="A752">
        <v>8226</v>
      </c>
      <c r="B752" t="s">
        <v>138</v>
      </c>
      <c r="C752" t="s">
        <v>30</v>
      </c>
      <c r="D752">
        <v>1408</v>
      </c>
      <c r="F752" t="b">
        <v>1</v>
      </c>
    </row>
    <row r="753" spans="1:6">
      <c r="A753">
        <v>1425</v>
      </c>
      <c r="B753" t="s">
        <v>658</v>
      </c>
      <c r="C753" t="s">
        <v>30</v>
      </c>
      <c r="D753">
        <v>1917</v>
      </c>
      <c r="F753" t="b">
        <v>1</v>
      </c>
    </row>
    <row r="754" spans="1:6">
      <c r="A754">
        <v>4479</v>
      </c>
      <c r="B754" t="s">
        <v>23</v>
      </c>
      <c r="C754" t="s">
        <v>30</v>
      </c>
      <c r="D754">
        <v>1986</v>
      </c>
      <c r="F754" t="b">
        <v>1</v>
      </c>
    </row>
    <row r="755" spans="1:6">
      <c r="A755">
        <v>3393</v>
      </c>
      <c r="B755" t="s">
        <v>101</v>
      </c>
      <c r="C755" t="s">
        <v>30</v>
      </c>
      <c r="D755">
        <v>3254</v>
      </c>
      <c r="F755" t="b">
        <v>1</v>
      </c>
    </row>
    <row r="756" spans="1:6">
      <c r="A756">
        <v>8528</v>
      </c>
      <c r="B756" t="s">
        <v>283</v>
      </c>
      <c r="C756" t="s">
        <v>30</v>
      </c>
      <c r="D756">
        <v>3648</v>
      </c>
      <c r="F756" t="b">
        <v>1</v>
      </c>
    </row>
    <row r="757" spans="1:6">
      <c r="A757">
        <v>9372</v>
      </c>
      <c r="B757" t="s">
        <v>138</v>
      </c>
      <c r="C757" t="s">
        <v>30</v>
      </c>
      <c r="D757">
        <v>3552</v>
      </c>
      <c r="F757" t="b">
        <v>0</v>
      </c>
    </row>
    <row r="758" spans="1:6">
      <c r="A758">
        <v>5469</v>
      </c>
      <c r="B758" t="s">
        <v>196</v>
      </c>
      <c r="C758" t="s">
        <v>30</v>
      </c>
      <c r="D758">
        <v>150</v>
      </c>
      <c r="F758" t="b">
        <v>0</v>
      </c>
    </row>
    <row r="759" spans="1:6">
      <c r="A759">
        <v>2603</v>
      </c>
      <c r="B759" t="s">
        <v>659</v>
      </c>
      <c r="C759" t="s">
        <v>30</v>
      </c>
      <c r="D759">
        <v>786</v>
      </c>
      <c r="F759" t="b">
        <v>1</v>
      </c>
    </row>
    <row r="760" spans="1:6">
      <c r="A760">
        <v>5306</v>
      </c>
      <c r="B760" t="s">
        <v>369</v>
      </c>
      <c r="C760" t="s">
        <v>30</v>
      </c>
      <c r="D760">
        <v>1808</v>
      </c>
      <c r="F760" t="b">
        <v>1</v>
      </c>
    </row>
    <row r="761" spans="1:6">
      <c r="A761">
        <v>7869</v>
      </c>
      <c r="B761" t="s">
        <v>283</v>
      </c>
      <c r="C761" t="s">
        <v>30</v>
      </c>
      <c r="D761">
        <v>3091</v>
      </c>
      <c r="F761" t="b">
        <v>1</v>
      </c>
    </row>
    <row r="762" spans="1:6">
      <c r="A762">
        <v>1699</v>
      </c>
      <c r="B762" t="s">
        <v>224</v>
      </c>
      <c r="C762" t="s">
        <v>30</v>
      </c>
      <c r="D762">
        <v>3697</v>
      </c>
      <c r="F762" t="b">
        <v>1</v>
      </c>
    </row>
    <row r="763" spans="1:6">
      <c r="A763">
        <v>3214</v>
      </c>
      <c r="B763" t="s">
        <v>114</v>
      </c>
      <c r="C763" t="s">
        <v>30</v>
      </c>
      <c r="D763">
        <v>4835</v>
      </c>
      <c r="F763" t="b">
        <v>1</v>
      </c>
    </row>
    <row r="764" spans="1:6">
      <c r="A764">
        <v>1050</v>
      </c>
      <c r="B764" t="s">
        <v>52</v>
      </c>
      <c r="C764" t="s">
        <v>30</v>
      </c>
      <c r="D764">
        <v>2023</v>
      </c>
      <c r="F764" t="b">
        <v>0</v>
      </c>
    </row>
    <row r="765" spans="1:6">
      <c r="A765">
        <v>3325</v>
      </c>
      <c r="B765" t="s">
        <v>104</v>
      </c>
      <c r="C765" t="s">
        <v>30</v>
      </c>
      <c r="D765">
        <v>1005</v>
      </c>
      <c r="F765" t="b">
        <v>1</v>
      </c>
    </row>
    <row r="766" spans="1:6">
      <c r="A766">
        <v>1970</v>
      </c>
      <c r="B766" t="s">
        <v>157</v>
      </c>
      <c r="C766" t="s">
        <v>30</v>
      </c>
      <c r="D766">
        <v>876</v>
      </c>
      <c r="F766" t="b">
        <v>0</v>
      </c>
    </row>
    <row r="767" spans="1:6">
      <c r="A767">
        <v>6272</v>
      </c>
      <c r="B767" t="s">
        <v>558</v>
      </c>
      <c r="C767" t="s">
        <v>30</v>
      </c>
      <c r="D767">
        <v>2089</v>
      </c>
      <c r="F767" t="b">
        <v>0</v>
      </c>
    </row>
    <row r="768" spans="1:6">
      <c r="A768">
        <v>4745</v>
      </c>
      <c r="B768" t="s">
        <v>98</v>
      </c>
      <c r="C768" t="s">
        <v>30</v>
      </c>
      <c r="D768">
        <v>772</v>
      </c>
      <c r="F768" t="b">
        <v>1</v>
      </c>
    </row>
    <row r="769" spans="1:6">
      <c r="A769">
        <v>8867</v>
      </c>
      <c r="B769" t="s">
        <v>223</v>
      </c>
      <c r="C769" t="s">
        <v>30</v>
      </c>
      <c r="D769">
        <v>373</v>
      </c>
      <c r="F769" t="b">
        <v>0</v>
      </c>
    </row>
    <row r="770" spans="1:6">
      <c r="A770">
        <v>4901</v>
      </c>
      <c r="B770" t="s">
        <v>226</v>
      </c>
      <c r="C770" t="s">
        <v>30</v>
      </c>
      <c r="D770">
        <v>3425</v>
      </c>
      <c r="F770" t="b">
        <v>1</v>
      </c>
    </row>
    <row r="771" spans="1:6">
      <c r="A771">
        <v>9575</v>
      </c>
      <c r="B771" t="s">
        <v>224</v>
      </c>
      <c r="C771" t="s">
        <v>30</v>
      </c>
      <c r="D771">
        <v>4422</v>
      </c>
      <c r="F771" t="b">
        <v>1</v>
      </c>
    </row>
    <row r="772" spans="1:6">
      <c r="A772">
        <v>4471</v>
      </c>
      <c r="B772" t="s">
        <v>399</v>
      </c>
      <c r="C772" t="s">
        <v>30</v>
      </c>
      <c r="D772">
        <v>4980</v>
      </c>
      <c r="F772" t="b">
        <v>0</v>
      </c>
    </row>
    <row r="773" spans="1:6">
      <c r="A773">
        <v>1385</v>
      </c>
      <c r="B773" t="s">
        <v>664</v>
      </c>
      <c r="C773" t="s">
        <v>30</v>
      </c>
      <c r="D773">
        <v>1367</v>
      </c>
      <c r="F773" t="b">
        <v>1</v>
      </c>
    </row>
    <row r="774" spans="1:6">
      <c r="A774">
        <v>4302</v>
      </c>
      <c r="B774" t="s">
        <v>164</v>
      </c>
      <c r="C774" t="s">
        <v>30</v>
      </c>
      <c r="D774">
        <v>2728</v>
      </c>
      <c r="F774" t="b">
        <v>1</v>
      </c>
    </row>
    <row r="775" spans="1:6">
      <c r="A775">
        <v>4738</v>
      </c>
      <c r="B775" t="s">
        <v>666</v>
      </c>
      <c r="C775" t="s">
        <v>30</v>
      </c>
      <c r="D775">
        <v>1556</v>
      </c>
      <c r="F775" t="b">
        <v>0</v>
      </c>
    </row>
    <row r="776" spans="1:6">
      <c r="A776">
        <v>2441</v>
      </c>
      <c r="B776" t="s">
        <v>283</v>
      </c>
      <c r="C776" t="s">
        <v>30</v>
      </c>
      <c r="D776">
        <v>4566</v>
      </c>
      <c r="F776" t="b">
        <v>0</v>
      </c>
    </row>
    <row r="777" spans="1:6">
      <c r="A777">
        <v>6546</v>
      </c>
      <c r="B777" t="s">
        <v>667</v>
      </c>
      <c r="C777" t="s">
        <v>30</v>
      </c>
      <c r="D777">
        <v>2969</v>
      </c>
      <c r="F777" t="b">
        <v>1</v>
      </c>
    </row>
    <row r="778" spans="1:6">
      <c r="A778">
        <v>5459</v>
      </c>
      <c r="B778" t="s">
        <v>344</v>
      </c>
      <c r="C778" t="s">
        <v>30</v>
      </c>
      <c r="D778">
        <v>3421</v>
      </c>
      <c r="F778" t="b">
        <v>0</v>
      </c>
    </row>
    <row r="779" spans="1:6">
      <c r="A779">
        <v>7051</v>
      </c>
      <c r="B779" t="s">
        <v>23</v>
      </c>
      <c r="C779" t="s">
        <v>30</v>
      </c>
      <c r="D779">
        <v>2535</v>
      </c>
      <c r="F779" t="b">
        <v>1</v>
      </c>
    </row>
    <row r="780" spans="1:6">
      <c r="A780">
        <v>6671</v>
      </c>
      <c r="B780" t="s">
        <v>41</v>
      </c>
      <c r="C780" t="s">
        <v>30</v>
      </c>
      <c r="D780">
        <v>290</v>
      </c>
      <c r="F780" t="b">
        <v>1</v>
      </c>
    </row>
    <row r="781" spans="1:6">
      <c r="A781">
        <v>6013</v>
      </c>
      <c r="B781" t="s">
        <v>116</v>
      </c>
      <c r="C781" t="s">
        <v>30</v>
      </c>
      <c r="D781">
        <v>756</v>
      </c>
      <c r="F781" t="b">
        <v>0</v>
      </c>
    </row>
    <row r="782" spans="1:6">
      <c r="A782">
        <v>9996</v>
      </c>
      <c r="B782" t="s">
        <v>521</v>
      </c>
      <c r="C782" t="s">
        <v>30</v>
      </c>
      <c r="D782">
        <v>947</v>
      </c>
      <c r="F782" t="b">
        <v>1</v>
      </c>
    </row>
    <row r="783" spans="1:6">
      <c r="A783">
        <v>4851</v>
      </c>
      <c r="B783" t="s">
        <v>186</v>
      </c>
      <c r="C783" t="s">
        <v>30</v>
      </c>
      <c r="D783">
        <v>2138</v>
      </c>
      <c r="F783" t="b">
        <v>1</v>
      </c>
    </row>
    <row r="784" spans="1:6">
      <c r="A784">
        <v>2498</v>
      </c>
      <c r="B784" t="s">
        <v>441</v>
      </c>
      <c r="C784" t="s">
        <v>30</v>
      </c>
      <c r="D784">
        <v>3151</v>
      </c>
      <c r="F784" t="b">
        <v>1</v>
      </c>
    </row>
    <row r="785" spans="1:6">
      <c r="A785">
        <v>6208</v>
      </c>
      <c r="B785" t="s">
        <v>253</v>
      </c>
      <c r="C785" t="s">
        <v>30</v>
      </c>
      <c r="D785">
        <v>670</v>
      </c>
      <c r="F785" t="b">
        <v>1</v>
      </c>
    </row>
    <row r="786" spans="1:6">
      <c r="A786">
        <v>7171</v>
      </c>
      <c r="B786" t="s">
        <v>70</v>
      </c>
      <c r="C786" t="s">
        <v>30</v>
      </c>
      <c r="D786">
        <v>3037</v>
      </c>
      <c r="F786" t="b">
        <v>0</v>
      </c>
    </row>
    <row r="787" spans="1:6">
      <c r="A787">
        <v>7667</v>
      </c>
      <c r="B787" t="s">
        <v>666</v>
      </c>
      <c r="C787" t="s">
        <v>30</v>
      </c>
      <c r="D787">
        <v>3712</v>
      </c>
      <c r="F787" t="b">
        <v>0</v>
      </c>
    </row>
    <row r="788" spans="1:6">
      <c r="A788">
        <v>4912</v>
      </c>
      <c r="B788" t="s">
        <v>364</v>
      </c>
      <c r="C788" t="s">
        <v>30</v>
      </c>
      <c r="D788">
        <v>2029</v>
      </c>
      <c r="F788" t="b">
        <v>1</v>
      </c>
    </row>
    <row r="789" spans="1:6">
      <c r="A789">
        <v>7975</v>
      </c>
      <c r="B789" t="s">
        <v>671</v>
      </c>
      <c r="C789" t="s">
        <v>30</v>
      </c>
      <c r="D789">
        <v>2406</v>
      </c>
      <c r="F789" t="b">
        <v>0</v>
      </c>
    </row>
    <row r="790" spans="1:6">
      <c r="A790">
        <v>6804</v>
      </c>
      <c r="B790" t="s">
        <v>657</v>
      </c>
      <c r="C790" t="s">
        <v>30</v>
      </c>
      <c r="D790">
        <v>3264</v>
      </c>
      <c r="F790" t="b">
        <v>1</v>
      </c>
    </row>
    <row r="791" spans="1:6">
      <c r="A791">
        <v>3877</v>
      </c>
      <c r="B791" t="s">
        <v>667</v>
      </c>
      <c r="C791" t="s">
        <v>30</v>
      </c>
      <c r="D791">
        <v>1135</v>
      </c>
      <c r="F791" t="b">
        <v>0</v>
      </c>
    </row>
    <row r="792" spans="1:6">
      <c r="A792">
        <v>8768</v>
      </c>
      <c r="B792" t="s">
        <v>281</v>
      </c>
      <c r="C792" t="s">
        <v>30</v>
      </c>
      <c r="D792">
        <v>3761</v>
      </c>
      <c r="F792" t="b">
        <v>0</v>
      </c>
    </row>
    <row r="793" spans="1:6">
      <c r="A793">
        <v>1420</v>
      </c>
      <c r="B793" t="s">
        <v>197</v>
      </c>
      <c r="C793" t="s">
        <v>30</v>
      </c>
      <c r="D793">
        <v>3633</v>
      </c>
      <c r="F793" t="b">
        <v>0</v>
      </c>
    </row>
    <row r="794" spans="1:6">
      <c r="A794">
        <v>2306</v>
      </c>
      <c r="B794" t="s">
        <v>257</v>
      </c>
      <c r="C794" t="s">
        <v>30</v>
      </c>
      <c r="D794">
        <v>3308</v>
      </c>
      <c r="F794" t="b">
        <v>0</v>
      </c>
    </row>
    <row r="795" spans="1:6">
      <c r="A795">
        <v>2079</v>
      </c>
      <c r="B795" t="s">
        <v>387</v>
      </c>
      <c r="C795" t="s">
        <v>30</v>
      </c>
      <c r="D795">
        <v>1311</v>
      </c>
      <c r="F795" t="b">
        <v>1</v>
      </c>
    </row>
    <row r="796" spans="1:6">
      <c r="A796">
        <v>3554</v>
      </c>
      <c r="B796" t="s">
        <v>391</v>
      </c>
      <c r="C796" t="s">
        <v>30</v>
      </c>
      <c r="D796">
        <v>4333</v>
      </c>
      <c r="F796" t="b">
        <v>0</v>
      </c>
    </row>
    <row r="797" spans="1:6">
      <c r="A797">
        <v>7616</v>
      </c>
      <c r="B797" t="s">
        <v>280</v>
      </c>
      <c r="C797" t="s">
        <v>30</v>
      </c>
      <c r="D797">
        <v>4575</v>
      </c>
      <c r="F797" t="b">
        <v>1</v>
      </c>
    </row>
    <row r="798" spans="1:6">
      <c r="A798">
        <v>5650</v>
      </c>
      <c r="B798" t="s">
        <v>441</v>
      </c>
      <c r="C798" t="s">
        <v>30</v>
      </c>
      <c r="D798">
        <v>2448</v>
      </c>
      <c r="F798" t="b">
        <v>0</v>
      </c>
    </row>
    <row r="799" spans="1:6">
      <c r="A799">
        <v>9385</v>
      </c>
      <c r="B799" t="s">
        <v>202</v>
      </c>
      <c r="C799" t="s">
        <v>30</v>
      </c>
      <c r="D799">
        <v>1072</v>
      </c>
      <c r="F799" t="b">
        <v>1</v>
      </c>
    </row>
    <row r="800" spans="1:6">
      <c r="A800">
        <v>2482</v>
      </c>
      <c r="B800" t="s">
        <v>197</v>
      </c>
      <c r="C800" t="s">
        <v>30</v>
      </c>
      <c r="D800">
        <v>1784</v>
      </c>
      <c r="F800" t="b">
        <v>1</v>
      </c>
    </row>
    <row r="801" spans="1:6">
      <c r="A801">
        <v>9017</v>
      </c>
      <c r="B801" t="s">
        <v>510</v>
      </c>
      <c r="C801" t="s">
        <v>30</v>
      </c>
      <c r="D801">
        <v>3787</v>
      </c>
      <c r="F801" t="b">
        <v>1</v>
      </c>
    </row>
    <row r="802" spans="1:6">
      <c r="A802">
        <v>7001</v>
      </c>
      <c r="B802" t="s">
        <v>164</v>
      </c>
      <c r="C802" t="s">
        <v>30</v>
      </c>
      <c r="D802">
        <v>4477</v>
      </c>
      <c r="F802" t="b">
        <v>0</v>
      </c>
    </row>
    <row r="803" spans="1:6">
      <c r="A803">
        <v>2942</v>
      </c>
      <c r="B803" t="s">
        <v>675</v>
      </c>
      <c r="C803" t="s">
        <v>30</v>
      </c>
      <c r="D803">
        <v>711</v>
      </c>
      <c r="F803" t="b">
        <v>1</v>
      </c>
    </row>
    <row r="804" spans="1:6">
      <c r="A804">
        <v>8833</v>
      </c>
      <c r="B804" t="s">
        <v>91</v>
      </c>
      <c r="C804" t="s">
        <v>30</v>
      </c>
      <c r="D804">
        <v>3711</v>
      </c>
      <c r="F804" t="b">
        <v>1</v>
      </c>
    </row>
    <row r="805" spans="1:6">
      <c r="A805">
        <v>8079</v>
      </c>
      <c r="B805" t="s">
        <v>88</v>
      </c>
      <c r="C805" t="s">
        <v>30</v>
      </c>
      <c r="D805">
        <v>2534</v>
      </c>
      <c r="F805" t="b">
        <v>0</v>
      </c>
    </row>
    <row r="806" spans="1:6">
      <c r="A806">
        <v>3797</v>
      </c>
      <c r="B806" t="s">
        <v>88</v>
      </c>
      <c r="C806" t="s">
        <v>30</v>
      </c>
      <c r="D806">
        <v>2624</v>
      </c>
      <c r="F806" t="b">
        <v>1</v>
      </c>
    </row>
    <row r="807" spans="1:6">
      <c r="A807">
        <v>7268</v>
      </c>
      <c r="B807" t="s">
        <v>676</v>
      </c>
      <c r="C807" t="s">
        <v>30</v>
      </c>
      <c r="D807">
        <v>3617</v>
      </c>
      <c r="F807" t="b">
        <v>1</v>
      </c>
    </row>
    <row r="808" spans="1:6">
      <c r="A808">
        <v>9803</v>
      </c>
      <c r="B808" t="s">
        <v>405</v>
      </c>
      <c r="C808" t="s">
        <v>30</v>
      </c>
      <c r="D808">
        <v>3078</v>
      </c>
      <c r="F808" t="b">
        <v>0</v>
      </c>
    </row>
    <row r="809" spans="1:6">
      <c r="A809">
        <v>2165</v>
      </c>
      <c r="B809" t="s">
        <v>677</v>
      </c>
      <c r="C809" t="s">
        <v>30</v>
      </c>
      <c r="D809">
        <v>164</v>
      </c>
      <c r="F809" t="b">
        <v>0</v>
      </c>
    </row>
    <row r="810" spans="1:6">
      <c r="A810">
        <v>1528</v>
      </c>
      <c r="B810" t="s">
        <v>365</v>
      </c>
      <c r="C810" t="s">
        <v>30</v>
      </c>
      <c r="D810">
        <v>2805</v>
      </c>
      <c r="F810" t="b">
        <v>0</v>
      </c>
    </row>
    <row r="811" spans="1:6">
      <c r="A811">
        <v>5978</v>
      </c>
      <c r="B811" t="s">
        <v>393</v>
      </c>
      <c r="C811" t="s">
        <v>30</v>
      </c>
      <c r="D811">
        <v>3848</v>
      </c>
      <c r="F811" t="b">
        <v>0</v>
      </c>
    </row>
    <row r="812" spans="1:6">
      <c r="A812">
        <v>5967</v>
      </c>
      <c r="B812" t="s">
        <v>382</v>
      </c>
      <c r="C812" t="s">
        <v>30</v>
      </c>
      <c r="D812">
        <v>836</v>
      </c>
      <c r="F812" t="b">
        <v>0</v>
      </c>
    </row>
    <row r="813" spans="1:6">
      <c r="A813">
        <v>4254</v>
      </c>
      <c r="B813" t="s">
        <v>153</v>
      </c>
      <c r="C813" t="s">
        <v>30</v>
      </c>
      <c r="D813">
        <v>2761</v>
      </c>
      <c r="F813" t="b">
        <v>1</v>
      </c>
    </row>
    <row r="814" spans="1:6">
      <c r="A814">
        <v>2186</v>
      </c>
      <c r="B814" t="s">
        <v>473</v>
      </c>
      <c r="C814" t="s">
        <v>30</v>
      </c>
      <c r="D814">
        <v>4633</v>
      </c>
      <c r="F814" t="b">
        <v>1</v>
      </c>
    </row>
    <row r="815" spans="1:6">
      <c r="A815">
        <v>7644</v>
      </c>
      <c r="B815" t="s">
        <v>678</v>
      </c>
      <c r="C815" t="s">
        <v>30</v>
      </c>
      <c r="D815">
        <v>4260</v>
      </c>
      <c r="F815" t="b">
        <v>0</v>
      </c>
    </row>
    <row r="816" spans="1:6">
      <c r="A816">
        <v>5897</v>
      </c>
      <c r="B816" t="s">
        <v>296</v>
      </c>
      <c r="C816" t="s">
        <v>30</v>
      </c>
      <c r="D816">
        <v>447</v>
      </c>
      <c r="F816" t="b">
        <v>0</v>
      </c>
    </row>
    <row r="817" spans="1:6">
      <c r="A817">
        <v>7465</v>
      </c>
      <c r="B817" t="s">
        <v>618</v>
      </c>
      <c r="C817" t="s">
        <v>30</v>
      </c>
      <c r="D817">
        <v>1298</v>
      </c>
      <c r="F817" t="b">
        <v>1</v>
      </c>
    </row>
    <row r="818" spans="1:6">
      <c r="A818">
        <v>3724</v>
      </c>
      <c r="B818" t="s">
        <v>118</v>
      </c>
      <c r="C818" t="s">
        <v>30</v>
      </c>
      <c r="D818">
        <v>3445</v>
      </c>
      <c r="F818" t="b">
        <v>0</v>
      </c>
    </row>
    <row r="819" spans="1:6">
      <c r="A819">
        <v>2914</v>
      </c>
      <c r="B819" t="s">
        <v>579</v>
      </c>
      <c r="C819" t="s">
        <v>30</v>
      </c>
      <c r="D819">
        <v>3039</v>
      </c>
      <c r="F819" t="b">
        <v>0</v>
      </c>
    </row>
    <row r="820" spans="1:6">
      <c r="A820">
        <v>4110</v>
      </c>
      <c r="B820" t="s">
        <v>212</v>
      </c>
      <c r="C820" t="s">
        <v>30</v>
      </c>
      <c r="D820">
        <v>3815</v>
      </c>
      <c r="F820" t="b">
        <v>0</v>
      </c>
    </row>
    <row r="821" spans="1:6">
      <c r="A821">
        <v>6944</v>
      </c>
      <c r="B821" t="s">
        <v>244</v>
      </c>
      <c r="C821" t="s">
        <v>30</v>
      </c>
      <c r="D821">
        <v>1135</v>
      </c>
      <c r="F821" t="b">
        <v>0</v>
      </c>
    </row>
    <row r="822" spans="1:6">
      <c r="A822">
        <v>3639</v>
      </c>
      <c r="B822" t="s">
        <v>682</v>
      </c>
      <c r="C822" t="s">
        <v>30</v>
      </c>
      <c r="D822">
        <v>2706</v>
      </c>
      <c r="F822" t="b">
        <v>0</v>
      </c>
    </row>
    <row r="823" spans="1:6">
      <c r="A823">
        <v>8416</v>
      </c>
      <c r="B823" t="s">
        <v>404</v>
      </c>
      <c r="C823" t="s">
        <v>30</v>
      </c>
      <c r="D823">
        <v>3828</v>
      </c>
      <c r="F823" t="b">
        <v>1</v>
      </c>
    </row>
    <row r="824" spans="1:6">
      <c r="A824">
        <v>7753</v>
      </c>
      <c r="B824" t="s">
        <v>179</v>
      </c>
      <c r="C824" t="s">
        <v>30</v>
      </c>
      <c r="D824">
        <v>4409</v>
      </c>
      <c r="F824" t="b">
        <v>1</v>
      </c>
    </row>
    <row r="825" spans="1:6">
      <c r="A825">
        <v>9528</v>
      </c>
      <c r="B825" t="s">
        <v>684</v>
      </c>
      <c r="C825" t="s">
        <v>30</v>
      </c>
      <c r="D825">
        <v>433</v>
      </c>
      <c r="F825" t="b">
        <v>1</v>
      </c>
    </row>
    <row r="826" spans="1:6">
      <c r="A826">
        <v>2960</v>
      </c>
      <c r="B826" t="s">
        <v>153</v>
      </c>
      <c r="C826" t="s">
        <v>30</v>
      </c>
      <c r="D826">
        <v>2554</v>
      </c>
      <c r="F826" t="b">
        <v>0</v>
      </c>
    </row>
    <row r="827" spans="1:6">
      <c r="A827">
        <v>1090</v>
      </c>
      <c r="B827" t="s">
        <v>628</v>
      </c>
      <c r="C827" t="s">
        <v>30</v>
      </c>
      <c r="D827">
        <v>1348</v>
      </c>
      <c r="F827" t="b">
        <v>1</v>
      </c>
    </row>
    <row r="828" spans="1:6">
      <c r="A828">
        <v>2410</v>
      </c>
      <c r="B828" t="s">
        <v>88</v>
      </c>
      <c r="C828" t="s">
        <v>30</v>
      </c>
      <c r="D828">
        <v>1375</v>
      </c>
      <c r="F828" t="b">
        <v>0</v>
      </c>
    </row>
    <row r="829" spans="1:6">
      <c r="A829">
        <v>1575</v>
      </c>
      <c r="B829" t="s">
        <v>153</v>
      </c>
      <c r="C829" t="s">
        <v>30</v>
      </c>
      <c r="D829">
        <v>3630</v>
      </c>
      <c r="F829" t="b">
        <v>0</v>
      </c>
    </row>
    <row r="830" spans="1:6">
      <c r="A830">
        <v>9259</v>
      </c>
      <c r="B830" t="s">
        <v>241</v>
      </c>
      <c r="C830" t="s">
        <v>30</v>
      </c>
      <c r="D830">
        <v>1457</v>
      </c>
      <c r="F830" t="b">
        <v>1</v>
      </c>
    </row>
    <row r="831" spans="1:6">
      <c r="A831">
        <v>2170</v>
      </c>
      <c r="B831" t="s">
        <v>148</v>
      </c>
      <c r="C831" t="s">
        <v>30</v>
      </c>
      <c r="D831">
        <v>3332</v>
      </c>
      <c r="F831" t="b">
        <v>1</v>
      </c>
    </row>
    <row r="832" spans="1:6">
      <c r="A832">
        <v>2237</v>
      </c>
      <c r="B832" t="s">
        <v>248</v>
      </c>
      <c r="C832" t="s">
        <v>30</v>
      </c>
      <c r="D832">
        <v>3815</v>
      </c>
      <c r="F832" t="b">
        <v>1</v>
      </c>
    </row>
    <row r="833" spans="1:6">
      <c r="A833">
        <v>2697</v>
      </c>
      <c r="B833" t="s">
        <v>174</v>
      </c>
      <c r="C833" t="s">
        <v>30</v>
      </c>
      <c r="D833">
        <v>3859</v>
      </c>
      <c r="F833" t="b">
        <v>0</v>
      </c>
    </row>
    <row r="834" spans="1:6">
      <c r="A834">
        <v>4488</v>
      </c>
      <c r="B834" t="s">
        <v>281</v>
      </c>
      <c r="C834" t="s">
        <v>30</v>
      </c>
      <c r="D834">
        <v>3923</v>
      </c>
      <c r="F834" t="b">
        <v>0</v>
      </c>
    </row>
    <row r="835" spans="1:6">
      <c r="A835">
        <v>5291</v>
      </c>
      <c r="B835" t="s">
        <v>686</v>
      </c>
      <c r="C835" t="s">
        <v>30</v>
      </c>
      <c r="D835">
        <v>4486</v>
      </c>
      <c r="F835" t="b">
        <v>0</v>
      </c>
    </row>
    <row r="836" spans="1:6">
      <c r="A836">
        <v>6287</v>
      </c>
      <c r="B836" t="s">
        <v>491</v>
      </c>
      <c r="C836" t="s">
        <v>30</v>
      </c>
      <c r="D836">
        <v>993</v>
      </c>
      <c r="F836" t="b">
        <v>0</v>
      </c>
    </row>
    <row r="837" spans="1:6">
      <c r="A837">
        <v>1953</v>
      </c>
      <c r="B837" t="s">
        <v>667</v>
      </c>
      <c r="C837" t="s">
        <v>30</v>
      </c>
      <c r="D837">
        <v>631</v>
      </c>
      <c r="F837" t="b">
        <v>1</v>
      </c>
    </row>
    <row r="838" spans="1:6">
      <c r="A838">
        <v>3457</v>
      </c>
      <c r="B838" t="s">
        <v>286</v>
      </c>
      <c r="C838" t="s">
        <v>30</v>
      </c>
      <c r="D838">
        <v>214</v>
      </c>
      <c r="F838" t="b">
        <v>1</v>
      </c>
    </row>
    <row r="839" spans="1:6">
      <c r="A839">
        <v>6504</v>
      </c>
      <c r="B839" t="s">
        <v>318</v>
      </c>
      <c r="C839" t="s">
        <v>30</v>
      </c>
      <c r="D839">
        <v>2327</v>
      </c>
      <c r="F839" t="b">
        <v>0</v>
      </c>
    </row>
    <row r="840" spans="1:6">
      <c r="A840">
        <v>7463</v>
      </c>
      <c r="B840" t="s">
        <v>389</v>
      </c>
      <c r="C840" t="s">
        <v>30</v>
      </c>
      <c r="D840">
        <v>3679</v>
      </c>
      <c r="F840" t="b">
        <v>0</v>
      </c>
    </row>
    <row r="841" spans="1:6">
      <c r="A841">
        <v>3898</v>
      </c>
      <c r="B841" t="s">
        <v>98</v>
      </c>
      <c r="C841" t="s">
        <v>30</v>
      </c>
      <c r="D841">
        <v>2238</v>
      </c>
      <c r="F841" t="b">
        <v>0</v>
      </c>
    </row>
    <row r="842" spans="1:6">
      <c r="A842">
        <v>8481</v>
      </c>
      <c r="B842" t="s">
        <v>130</v>
      </c>
      <c r="C842" t="s">
        <v>30</v>
      </c>
      <c r="D842">
        <v>3655</v>
      </c>
      <c r="F842" t="b">
        <v>1</v>
      </c>
    </row>
    <row r="843" spans="1:6">
      <c r="A843">
        <v>7810</v>
      </c>
      <c r="B843" t="s">
        <v>41</v>
      </c>
      <c r="C843" t="s">
        <v>30</v>
      </c>
      <c r="D843">
        <v>1587</v>
      </c>
      <c r="F843" t="b">
        <v>1</v>
      </c>
    </row>
    <row r="844" spans="1:6">
      <c r="A844">
        <v>6534</v>
      </c>
      <c r="B844" t="s">
        <v>434</v>
      </c>
      <c r="C844" t="s">
        <v>30</v>
      </c>
      <c r="D844">
        <v>4501</v>
      </c>
      <c r="F844" t="b">
        <v>1</v>
      </c>
    </row>
    <row r="845" spans="1:6">
      <c r="A845">
        <v>6025</v>
      </c>
      <c r="B845" t="s">
        <v>290</v>
      </c>
      <c r="C845" t="s">
        <v>30</v>
      </c>
      <c r="D845">
        <v>1910</v>
      </c>
      <c r="F845" t="b">
        <v>1</v>
      </c>
    </row>
    <row r="846" spans="1:6">
      <c r="A846">
        <v>5825</v>
      </c>
      <c r="B846" t="s">
        <v>689</v>
      </c>
      <c r="C846" t="s">
        <v>30</v>
      </c>
      <c r="D846">
        <v>2731</v>
      </c>
      <c r="F846" t="b">
        <v>0</v>
      </c>
    </row>
    <row r="847" spans="1:6">
      <c r="A847">
        <v>1185</v>
      </c>
      <c r="B847" t="s">
        <v>355</v>
      </c>
      <c r="C847" t="s">
        <v>30</v>
      </c>
      <c r="D847">
        <v>4517</v>
      </c>
      <c r="F847" t="b">
        <v>1</v>
      </c>
    </row>
    <row r="848" spans="1:6">
      <c r="A848">
        <v>4392</v>
      </c>
      <c r="B848" t="s">
        <v>395</v>
      </c>
      <c r="C848" t="s">
        <v>30</v>
      </c>
      <c r="D848">
        <v>1238</v>
      </c>
      <c r="F848" t="b">
        <v>0</v>
      </c>
    </row>
    <row r="849" spans="1:6">
      <c r="A849">
        <v>5785</v>
      </c>
      <c r="B849" t="s">
        <v>101</v>
      </c>
      <c r="C849" t="s">
        <v>30</v>
      </c>
      <c r="D849">
        <v>1786</v>
      </c>
      <c r="F849" t="b">
        <v>0</v>
      </c>
    </row>
    <row r="850" spans="1:6">
      <c r="A850">
        <v>4718</v>
      </c>
      <c r="B850" t="s">
        <v>130</v>
      </c>
      <c r="C850" t="s">
        <v>30</v>
      </c>
      <c r="D850">
        <v>1683</v>
      </c>
      <c r="F850" t="b">
        <v>1</v>
      </c>
    </row>
    <row r="851" spans="1:6">
      <c r="A851">
        <v>3992</v>
      </c>
      <c r="B851" t="s">
        <v>224</v>
      </c>
      <c r="C851" t="s">
        <v>30</v>
      </c>
      <c r="D851">
        <v>996</v>
      </c>
      <c r="F851" t="b">
        <v>1</v>
      </c>
    </row>
    <row r="852" spans="1:6">
      <c r="A852">
        <v>6100</v>
      </c>
      <c r="B852" t="s">
        <v>517</v>
      </c>
      <c r="C852" t="s">
        <v>30</v>
      </c>
      <c r="D852">
        <v>608</v>
      </c>
      <c r="F852" t="b">
        <v>0</v>
      </c>
    </row>
    <row r="853" spans="1:6">
      <c r="A853">
        <v>8495</v>
      </c>
      <c r="B853" t="s">
        <v>691</v>
      </c>
      <c r="C853" t="s">
        <v>30</v>
      </c>
      <c r="D853">
        <v>4650</v>
      </c>
      <c r="F853" t="b">
        <v>0</v>
      </c>
    </row>
    <row r="854" spans="1:6">
      <c r="A854">
        <v>3083</v>
      </c>
      <c r="B854" t="s">
        <v>631</v>
      </c>
      <c r="C854" t="s">
        <v>30</v>
      </c>
      <c r="D854">
        <v>1340</v>
      </c>
      <c r="F854" t="b">
        <v>1</v>
      </c>
    </row>
    <row r="855" spans="1:6">
      <c r="A855">
        <v>9936</v>
      </c>
      <c r="B855" t="s">
        <v>147</v>
      </c>
      <c r="C855" t="s">
        <v>30</v>
      </c>
      <c r="D855">
        <v>1821</v>
      </c>
      <c r="F855" t="b">
        <v>1</v>
      </c>
    </row>
    <row r="856" spans="1:6">
      <c r="A856">
        <v>2418</v>
      </c>
      <c r="B856" t="s">
        <v>186</v>
      </c>
      <c r="C856" t="s">
        <v>30</v>
      </c>
      <c r="D856">
        <v>3020</v>
      </c>
      <c r="F856" t="b">
        <v>1</v>
      </c>
    </row>
    <row r="857" spans="1:6">
      <c r="A857">
        <v>4089</v>
      </c>
      <c r="B857" t="s">
        <v>120</v>
      </c>
      <c r="C857" t="s">
        <v>30</v>
      </c>
      <c r="D857">
        <v>1243</v>
      </c>
      <c r="F857" t="b">
        <v>0</v>
      </c>
    </row>
    <row r="858" spans="1:6">
      <c r="A858">
        <v>8876</v>
      </c>
      <c r="B858" t="s">
        <v>692</v>
      </c>
      <c r="C858" t="s">
        <v>30</v>
      </c>
      <c r="D858">
        <v>540</v>
      </c>
      <c r="F858" t="b">
        <v>1</v>
      </c>
    </row>
    <row r="859" spans="1:6">
      <c r="A859">
        <v>3959</v>
      </c>
      <c r="B859" t="s">
        <v>373</v>
      </c>
      <c r="C859" t="s">
        <v>30</v>
      </c>
      <c r="D859">
        <v>2583</v>
      </c>
      <c r="F859" t="b">
        <v>0</v>
      </c>
    </row>
    <row r="860" spans="1:6">
      <c r="A860">
        <v>2011</v>
      </c>
      <c r="B860" t="s">
        <v>693</v>
      </c>
      <c r="C860" t="s">
        <v>30</v>
      </c>
      <c r="D860">
        <v>3463</v>
      </c>
      <c r="F860" t="b">
        <v>0</v>
      </c>
    </row>
    <row r="861" spans="1:6">
      <c r="A861">
        <v>7896</v>
      </c>
      <c r="B861" t="s">
        <v>157</v>
      </c>
      <c r="C861" t="s">
        <v>30</v>
      </c>
      <c r="D861">
        <v>4130</v>
      </c>
      <c r="F861" t="b">
        <v>1</v>
      </c>
    </row>
    <row r="862" spans="1:6">
      <c r="A862">
        <v>5495</v>
      </c>
      <c r="B862" t="s">
        <v>695</v>
      </c>
      <c r="C862" t="s">
        <v>30</v>
      </c>
      <c r="D862">
        <v>3918</v>
      </c>
      <c r="F862" t="b">
        <v>0</v>
      </c>
    </row>
    <row r="863" spans="1:6">
      <c r="A863">
        <v>6219</v>
      </c>
      <c r="B863" t="s">
        <v>318</v>
      </c>
      <c r="C863" t="s">
        <v>30</v>
      </c>
      <c r="D863">
        <v>4264</v>
      </c>
      <c r="F863" t="b">
        <v>1</v>
      </c>
    </row>
    <row r="864" spans="1:6">
      <c r="A864">
        <v>4458</v>
      </c>
      <c r="B864" t="s">
        <v>696</v>
      </c>
      <c r="C864" t="s">
        <v>30</v>
      </c>
      <c r="D864">
        <v>1485</v>
      </c>
      <c r="F864" t="b">
        <v>1</v>
      </c>
    </row>
    <row r="865" spans="1:6">
      <c r="A865">
        <v>4115</v>
      </c>
      <c r="B865" t="s">
        <v>698</v>
      </c>
      <c r="C865" t="s">
        <v>30</v>
      </c>
      <c r="D865">
        <v>3508</v>
      </c>
      <c r="F865" t="b">
        <v>0</v>
      </c>
    </row>
    <row r="866" spans="1:6">
      <c r="A866">
        <v>6586</v>
      </c>
      <c r="B866" t="s">
        <v>677</v>
      </c>
      <c r="C866" t="s">
        <v>30</v>
      </c>
      <c r="D866">
        <v>3433</v>
      </c>
      <c r="F866" t="b">
        <v>0</v>
      </c>
    </row>
    <row r="867" spans="1:6">
      <c r="A867">
        <v>3985</v>
      </c>
      <c r="B867" t="s">
        <v>290</v>
      </c>
      <c r="C867" t="s">
        <v>30</v>
      </c>
      <c r="D867">
        <v>3610</v>
      </c>
      <c r="F867" t="b">
        <v>0</v>
      </c>
    </row>
    <row r="868" spans="1:6">
      <c r="A868">
        <v>8501</v>
      </c>
      <c r="B868" t="s">
        <v>106</v>
      </c>
      <c r="C868" t="s">
        <v>30</v>
      </c>
      <c r="D868">
        <v>3307</v>
      </c>
      <c r="F868" t="b">
        <v>1</v>
      </c>
    </row>
    <row r="869" spans="1:6">
      <c r="A869">
        <v>4048</v>
      </c>
      <c r="B869" t="s">
        <v>186</v>
      </c>
      <c r="C869" t="s">
        <v>30</v>
      </c>
      <c r="D869">
        <v>868</v>
      </c>
      <c r="F869" t="b">
        <v>1</v>
      </c>
    </row>
    <row r="870" spans="1:6">
      <c r="A870">
        <v>4466</v>
      </c>
      <c r="B870" t="s">
        <v>138</v>
      </c>
      <c r="C870" t="s">
        <v>30</v>
      </c>
      <c r="D870">
        <v>4358</v>
      </c>
      <c r="F870" t="b">
        <v>0</v>
      </c>
    </row>
    <row r="871" spans="1:6">
      <c r="A871">
        <v>5479</v>
      </c>
      <c r="B871" t="s">
        <v>179</v>
      </c>
      <c r="C871" t="s">
        <v>30</v>
      </c>
      <c r="D871">
        <v>4552</v>
      </c>
      <c r="F871" t="b">
        <v>0</v>
      </c>
    </row>
    <row r="872" spans="1:6">
      <c r="A872">
        <v>2480</v>
      </c>
      <c r="B872" t="s">
        <v>618</v>
      </c>
      <c r="C872" t="s">
        <v>30</v>
      </c>
      <c r="D872">
        <v>3003</v>
      </c>
      <c r="F872" t="b">
        <v>1</v>
      </c>
    </row>
    <row r="873" spans="1:6">
      <c r="A873">
        <v>6288</v>
      </c>
      <c r="B873" t="s">
        <v>271</v>
      </c>
      <c r="C873" t="s">
        <v>30</v>
      </c>
      <c r="D873">
        <v>783</v>
      </c>
      <c r="F873" t="b">
        <v>0</v>
      </c>
    </row>
    <row r="874" spans="1:6">
      <c r="A874">
        <v>9973</v>
      </c>
      <c r="B874" t="s">
        <v>224</v>
      </c>
      <c r="C874" t="s">
        <v>30</v>
      </c>
      <c r="D874">
        <v>3578</v>
      </c>
      <c r="F874" t="b">
        <v>0</v>
      </c>
    </row>
    <row r="875" spans="1:6">
      <c r="A875">
        <v>6078</v>
      </c>
      <c r="B875" t="s">
        <v>606</v>
      </c>
      <c r="C875" t="s">
        <v>30</v>
      </c>
      <c r="D875">
        <v>1952</v>
      </c>
      <c r="F875" t="b">
        <v>0</v>
      </c>
    </row>
    <row r="876" spans="1:6">
      <c r="A876">
        <v>5362</v>
      </c>
      <c r="B876" t="s">
        <v>332</v>
      </c>
      <c r="C876" t="s">
        <v>30</v>
      </c>
      <c r="D876">
        <v>860</v>
      </c>
      <c r="F876" t="b">
        <v>1</v>
      </c>
    </row>
    <row r="877" spans="1:6">
      <c r="A877">
        <v>1687</v>
      </c>
      <c r="B877" t="s">
        <v>126</v>
      </c>
      <c r="C877" t="s">
        <v>30</v>
      </c>
      <c r="D877">
        <v>3</v>
      </c>
      <c r="F877" t="b">
        <v>0</v>
      </c>
    </row>
    <row r="878" spans="1:6">
      <c r="A878">
        <v>8986</v>
      </c>
      <c r="B878" t="s">
        <v>409</v>
      </c>
      <c r="C878" t="s">
        <v>30</v>
      </c>
      <c r="D878">
        <v>1836</v>
      </c>
      <c r="F878" t="b">
        <v>1</v>
      </c>
    </row>
    <row r="879" spans="1:6">
      <c r="A879">
        <v>5994</v>
      </c>
      <c r="B879" t="s">
        <v>492</v>
      </c>
      <c r="C879" t="s">
        <v>30</v>
      </c>
      <c r="D879">
        <v>808</v>
      </c>
      <c r="F879" t="b">
        <v>0</v>
      </c>
    </row>
    <row r="880" spans="1:6">
      <c r="A880">
        <v>6293</v>
      </c>
      <c r="B880" t="s">
        <v>224</v>
      </c>
      <c r="C880" t="s">
        <v>30</v>
      </c>
      <c r="D880">
        <v>2141</v>
      </c>
      <c r="F880" t="b">
        <v>0</v>
      </c>
    </row>
    <row r="881" spans="1:6">
      <c r="A881">
        <v>7558</v>
      </c>
      <c r="B881" t="s">
        <v>369</v>
      </c>
      <c r="C881" t="s">
        <v>30</v>
      </c>
      <c r="D881">
        <v>1254</v>
      </c>
      <c r="F881" t="b">
        <v>0</v>
      </c>
    </row>
    <row r="882" spans="1:6">
      <c r="A882">
        <v>1805</v>
      </c>
      <c r="B882" t="s">
        <v>88</v>
      </c>
      <c r="C882" t="s">
        <v>30</v>
      </c>
      <c r="D882">
        <v>2864</v>
      </c>
      <c r="F882" t="b">
        <v>0</v>
      </c>
    </row>
    <row r="883" spans="1:6">
      <c r="A883">
        <v>1661</v>
      </c>
      <c r="B883" t="s">
        <v>374</v>
      </c>
      <c r="C883" t="s">
        <v>30</v>
      </c>
      <c r="D883">
        <v>4589</v>
      </c>
      <c r="F883" t="b">
        <v>1</v>
      </c>
    </row>
    <row r="884" spans="1:6">
      <c r="A884">
        <v>8960</v>
      </c>
      <c r="B884" t="s">
        <v>631</v>
      </c>
      <c r="C884" t="s">
        <v>30</v>
      </c>
      <c r="D884">
        <v>2932</v>
      </c>
      <c r="F884" t="b">
        <v>0</v>
      </c>
    </row>
    <row r="885" spans="1:6">
      <c r="A885">
        <v>6131</v>
      </c>
      <c r="B885" t="s">
        <v>80</v>
      </c>
      <c r="C885" t="s">
        <v>30</v>
      </c>
      <c r="D885">
        <v>1697</v>
      </c>
      <c r="F885" t="b">
        <v>0</v>
      </c>
    </row>
    <row r="886" spans="1:6">
      <c r="A886">
        <v>4114</v>
      </c>
      <c r="B886" t="s">
        <v>344</v>
      </c>
      <c r="C886" t="s">
        <v>30</v>
      </c>
      <c r="D886">
        <v>1411</v>
      </c>
      <c r="F886" t="b">
        <v>0</v>
      </c>
    </row>
    <row r="887" spans="1:6">
      <c r="A887">
        <v>4833</v>
      </c>
      <c r="B887" t="s">
        <v>137</v>
      </c>
      <c r="C887" t="s">
        <v>30</v>
      </c>
      <c r="D887">
        <v>3437</v>
      </c>
      <c r="F887" t="b">
        <v>1</v>
      </c>
    </row>
    <row r="888" spans="1:6">
      <c r="A888">
        <v>2401</v>
      </c>
      <c r="B888" t="s">
        <v>404</v>
      </c>
      <c r="C888" t="s">
        <v>30</v>
      </c>
      <c r="D888">
        <v>4509</v>
      </c>
      <c r="F888" t="b">
        <v>1</v>
      </c>
    </row>
    <row r="889" spans="1:6">
      <c r="A889">
        <v>1037</v>
      </c>
      <c r="B889" t="s">
        <v>150</v>
      </c>
      <c r="C889" t="s">
        <v>30</v>
      </c>
      <c r="D889">
        <v>3165</v>
      </c>
      <c r="F889" t="b">
        <v>1</v>
      </c>
    </row>
    <row r="890" spans="1:6">
      <c r="A890">
        <v>2675</v>
      </c>
      <c r="B890" t="s">
        <v>701</v>
      </c>
      <c r="C890" t="s">
        <v>30</v>
      </c>
      <c r="D890">
        <v>2538</v>
      </c>
      <c r="F890" t="b">
        <v>0</v>
      </c>
    </row>
    <row r="891" spans="1:6">
      <c r="A891">
        <v>1665</v>
      </c>
      <c r="B891" t="s">
        <v>128</v>
      </c>
      <c r="C891" t="s">
        <v>30</v>
      </c>
      <c r="D891">
        <v>245</v>
      </c>
      <c r="F891" t="b">
        <v>1</v>
      </c>
    </row>
    <row r="892" spans="1:6">
      <c r="A892">
        <v>5671</v>
      </c>
      <c r="B892" t="s">
        <v>274</v>
      </c>
      <c r="C892" t="s">
        <v>30</v>
      </c>
      <c r="D892">
        <v>1364</v>
      </c>
      <c r="F892" t="b">
        <v>0</v>
      </c>
    </row>
    <row r="893" spans="1:6">
      <c r="A893">
        <v>5153</v>
      </c>
      <c r="B893" t="s">
        <v>254</v>
      </c>
      <c r="C893" t="s">
        <v>30</v>
      </c>
      <c r="D893">
        <v>732</v>
      </c>
      <c r="F893" t="b">
        <v>0</v>
      </c>
    </row>
    <row r="894" spans="1:6">
      <c r="A894">
        <v>1114</v>
      </c>
      <c r="B894" t="s">
        <v>325</v>
      </c>
      <c r="C894" t="s">
        <v>30</v>
      </c>
      <c r="D894">
        <v>4976</v>
      </c>
      <c r="F894" t="b">
        <v>0</v>
      </c>
    </row>
    <row r="895" spans="1:6">
      <c r="A895">
        <v>6180</v>
      </c>
      <c r="B895" t="s">
        <v>701</v>
      </c>
      <c r="C895" t="s">
        <v>30</v>
      </c>
      <c r="D895">
        <v>4176</v>
      </c>
      <c r="F895" t="b">
        <v>0</v>
      </c>
    </row>
    <row r="896" spans="1:6">
      <c r="A896">
        <v>8237</v>
      </c>
      <c r="B896" t="s">
        <v>52</v>
      </c>
      <c r="C896" t="s">
        <v>30</v>
      </c>
      <c r="D896">
        <v>2919</v>
      </c>
      <c r="F896" t="b">
        <v>0</v>
      </c>
    </row>
    <row r="897" spans="1:6">
      <c r="A897">
        <v>9500</v>
      </c>
      <c r="B897" t="s">
        <v>703</v>
      </c>
      <c r="C897" t="s">
        <v>30</v>
      </c>
      <c r="D897">
        <v>3081</v>
      </c>
      <c r="F897" t="b">
        <v>1</v>
      </c>
    </row>
    <row r="898" spans="1:6">
      <c r="A898">
        <v>7476</v>
      </c>
      <c r="B898" t="s">
        <v>34</v>
      </c>
      <c r="C898" t="s">
        <v>30</v>
      </c>
      <c r="D898">
        <v>3138</v>
      </c>
      <c r="F898" t="b">
        <v>1</v>
      </c>
    </row>
    <row r="899" spans="1:6">
      <c r="A899">
        <v>9908</v>
      </c>
      <c r="B899" t="s">
        <v>624</v>
      </c>
      <c r="C899" t="s">
        <v>30</v>
      </c>
      <c r="D899">
        <v>1180</v>
      </c>
      <c r="F899" t="b">
        <v>1</v>
      </c>
    </row>
    <row r="900" spans="1:6">
      <c r="A900">
        <v>1534</v>
      </c>
      <c r="B900" t="s">
        <v>52</v>
      </c>
      <c r="C900" t="s">
        <v>30</v>
      </c>
      <c r="D900">
        <v>4518</v>
      </c>
      <c r="F900" t="b">
        <v>1</v>
      </c>
    </row>
    <row r="901" spans="1:6">
      <c r="A901">
        <v>4613</v>
      </c>
      <c r="B901" t="s">
        <v>114</v>
      </c>
      <c r="C901" t="s">
        <v>30</v>
      </c>
      <c r="D901">
        <v>3843</v>
      </c>
      <c r="F901" t="b">
        <v>1</v>
      </c>
    </row>
    <row r="902" spans="1:6">
      <c r="A902">
        <v>5063</v>
      </c>
      <c r="B902" t="s">
        <v>491</v>
      </c>
      <c r="C902" t="s">
        <v>30</v>
      </c>
      <c r="D902">
        <v>3604</v>
      </c>
      <c r="F902" t="b">
        <v>1</v>
      </c>
    </row>
    <row r="903" spans="1:6">
      <c r="A903">
        <v>4548</v>
      </c>
      <c r="B903" t="s">
        <v>244</v>
      </c>
      <c r="C903" t="s">
        <v>30</v>
      </c>
      <c r="D903">
        <v>4445</v>
      </c>
      <c r="F903" t="b">
        <v>1</v>
      </c>
    </row>
    <row r="904" spans="1:6">
      <c r="A904">
        <v>7556</v>
      </c>
      <c r="B904" t="s">
        <v>598</v>
      </c>
      <c r="C904" t="s">
        <v>30</v>
      </c>
      <c r="D904">
        <v>1587</v>
      </c>
      <c r="F904" t="b">
        <v>0</v>
      </c>
    </row>
    <row r="905" spans="1:6">
      <c r="A905">
        <v>1846</v>
      </c>
      <c r="B905" t="s">
        <v>705</v>
      </c>
      <c r="C905" t="s">
        <v>30</v>
      </c>
      <c r="D905">
        <v>4400</v>
      </c>
      <c r="F905" t="b">
        <v>0</v>
      </c>
    </row>
    <row r="906" spans="1:6">
      <c r="A906">
        <v>7088</v>
      </c>
      <c r="B906" t="s">
        <v>120</v>
      </c>
      <c r="C906" t="s">
        <v>30</v>
      </c>
      <c r="D906">
        <v>2891</v>
      </c>
      <c r="F906" t="b">
        <v>0</v>
      </c>
    </row>
    <row r="907" spans="1:6">
      <c r="A907">
        <v>1179</v>
      </c>
      <c r="B907" t="s">
        <v>395</v>
      </c>
      <c r="C907" t="s">
        <v>30</v>
      </c>
      <c r="D907">
        <v>1363</v>
      </c>
      <c r="F907" t="b">
        <v>1</v>
      </c>
    </row>
    <row r="908" spans="1:6">
      <c r="A908">
        <v>2190</v>
      </c>
      <c r="B908" t="s">
        <v>682</v>
      </c>
      <c r="C908" t="s">
        <v>30</v>
      </c>
      <c r="D908">
        <v>2323</v>
      </c>
      <c r="F908" t="b">
        <v>0</v>
      </c>
    </row>
    <row r="909" spans="1:6">
      <c r="A909">
        <v>2847</v>
      </c>
      <c r="B909" t="s">
        <v>98</v>
      </c>
      <c r="C909" t="s">
        <v>30</v>
      </c>
      <c r="D909">
        <v>4291</v>
      </c>
      <c r="F909" t="b">
        <v>1</v>
      </c>
    </row>
    <row r="910" spans="1:6">
      <c r="A910">
        <v>6570</v>
      </c>
      <c r="B910" t="s">
        <v>304</v>
      </c>
      <c r="C910" t="s">
        <v>30</v>
      </c>
      <c r="D910">
        <v>4938</v>
      </c>
      <c r="F910" t="b">
        <v>1</v>
      </c>
    </row>
    <row r="911" spans="1:6">
      <c r="A911">
        <v>1149</v>
      </c>
      <c r="B911" t="s">
        <v>157</v>
      </c>
      <c r="C911" t="s">
        <v>30</v>
      </c>
      <c r="D911">
        <v>913</v>
      </c>
      <c r="F911" t="b">
        <v>1</v>
      </c>
    </row>
    <row r="912" spans="1:6">
      <c r="A912">
        <v>1336</v>
      </c>
      <c r="B912" t="s">
        <v>153</v>
      </c>
      <c r="C912" t="s">
        <v>30</v>
      </c>
      <c r="D912">
        <v>3925</v>
      </c>
      <c r="F912" t="b">
        <v>0</v>
      </c>
    </row>
    <row r="913" spans="1:6">
      <c r="A913">
        <v>6956</v>
      </c>
      <c r="B913" t="s">
        <v>291</v>
      </c>
      <c r="C913" t="s">
        <v>30</v>
      </c>
      <c r="D913">
        <v>2517</v>
      </c>
      <c r="F913" t="b">
        <v>1</v>
      </c>
    </row>
    <row r="914" spans="1:6">
      <c r="A914">
        <v>7015</v>
      </c>
      <c r="B914" t="s">
        <v>675</v>
      </c>
      <c r="C914" t="s">
        <v>30</v>
      </c>
      <c r="D914">
        <v>2070</v>
      </c>
      <c r="F914" t="b">
        <v>0</v>
      </c>
    </row>
    <row r="915" spans="1:6">
      <c r="A915">
        <v>4104</v>
      </c>
      <c r="B915" t="s">
        <v>706</v>
      </c>
      <c r="C915" t="s">
        <v>30</v>
      </c>
      <c r="D915">
        <v>4726</v>
      </c>
      <c r="F915" t="b">
        <v>0</v>
      </c>
    </row>
    <row r="916" spans="1:6">
      <c r="A916">
        <v>9413</v>
      </c>
      <c r="B916" t="s">
        <v>128</v>
      </c>
      <c r="C916" t="s">
        <v>30</v>
      </c>
      <c r="D916">
        <v>1536</v>
      </c>
      <c r="F916" t="b">
        <v>1</v>
      </c>
    </row>
    <row r="917" spans="1:6">
      <c r="A917">
        <v>8300</v>
      </c>
      <c r="B917" t="s">
        <v>260</v>
      </c>
      <c r="C917" t="s">
        <v>30</v>
      </c>
      <c r="D917">
        <v>2113</v>
      </c>
      <c r="F917" t="b">
        <v>0</v>
      </c>
    </row>
    <row r="918" spans="1:6">
      <c r="A918">
        <v>5126</v>
      </c>
      <c r="B918" t="s">
        <v>272</v>
      </c>
      <c r="C918" t="s">
        <v>30</v>
      </c>
      <c r="D918">
        <v>428</v>
      </c>
      <c r="F918" t="b">
        <v>1</v>
      </c>
    </row>
    <row r="919" spans="1:6">
      <c r="A919">
        <v>1754</v>
      </c>
      <c r="B919" t="s">
        <v>70</v>
      </c>
      <c r="C919" t="s">
        <v>30</v>
      </c>
      <c r="D919">
        <v>2336</v>
      </c>
      <c r="F919" t="b">
        <v>1</v>
      </c>
    </row>
    <row r="920" spans="1:6">
      <c r="A920">
        <v>7089</v>
      </c>
      <c r="B920" t="s">
        <v>357</v>
      </c>
      <c r="C920" t="s">
        <v>30</v>
      </c>
      <c r="D920">
        <v>2344</v>
      </c>
      <c r="F920" t="b">
        <v>0</v>
      </c>
    </row>
    <row r="921" spans="1:6">
      <c r="A921">
        <v>1697</v>
      </c>
      <c r="B921" t="s">
        <v>104</v>
      </c>
      <c r="C921" t="s">
        <v>30</v>
      </c>
      <c r="D921">
        <v>1351</v>
      </c>
      <c r="F921" t="b">
        <v>1</v>
      </c>
    </row>
    <row r="922" spans="1:6">
      <c r="A922">
        <v>4768</v>
      </c>
      <c r="B922" t="s">
        <v>542</v>
      </c>
      <c r="C922" t="s">
        <v>30</v>
      </c>
      <c r="D922">
        <v>165</v>
      </c>
      <c r="F922" t="b">
        <v>1</v>
      </c>
    </row>
    <row r="923" spans="1:6">
      <c r="A923">
        <v>4205</v>
      </c>
      <c r="B923" t="s">
        <v>257</v>
      </c>
      <c r="C923" t="s">
        <v>30</v>
      </c>
      <c r="D923">
        <v>3411</v>
      </c>
      <c r="F923" t="b">
        <v>0</v>
      </c>
    </row>
    <row r="924" spans="1:6">
      <c r="A924">
        <v>8844</v>
      </c>
      <c r="B924" t="s">
        <v>140</v>
      </c>
      <c r="C924" t="s">
        <v>30</v>
      </c>
      <c r="D924">
        <v>615</v>
      </c>
      <c r="F924" t="b">
        <v>1</v>
      </c>
    </row>
    <row r="925" spans="1:6">
      <c r="A925">
        <v>1103</v>
      </c>
      <c r="B925" t="s">
        <v>411</v>
      </c>
      <c r="C925" t="s">
        <v>30</v>
      </c>
      <c r="D925">
        <v>1538</v>
      </c>
      <c r="F925" t="b">
        <v>0</v>
      </c>
    </row>
    <row r="926" spans="1:6">
      <c r="A926">
        <v>2180</v>
      </c>
      <c r="B926" t="s">
        <v>709</v>
      </c>
      <c r="C926" t="s">
        <v>30</v>
      </c>
      <c r="D926">
        <v>1835</v>
      </c>
      <c r="F926" t="b">
        <v>1</v>
      </c>
    </row>
    <row r="927" spans="1:6">
      <c r="A927">
        <v>6607</v>
      </c>
      <c r="B927" t="s">
        <v>710</v>
      </c>
      <c r="C927" t="s">
        <v>30</v>
      </c>
      <c r="D927">
        <v>3515</v>
      </c>
      <c r="F927" t="b">
        <v>1</v>
      </c>
    </row>
    <row r="928" spans="1:6">
      <c r="A928">
        <v>7949</v>
      </c>
      <c r="B928" t="s">
        <v>391</v>
      </c>
      <c r="C928" t="s">
        <v>30</v>
      </c>
      <c r="D928">
        <v>1657</v>
      </c>
      <c r="F928" t="b">
        <v>1</v>
      </c>
    </row>
    <row r="929" spans="1:6">
      <c r="A929">
        <v>5337</v>
      </c>
      <c r="B929" t="s">
        <v>508</v>
      </c>
      <c r="C929" t="s">
        <v>30</v>
      </c>
      <c r="D929">
        <v>2209</v>
      </c>
      <c r="F929" t="b">
        <v>1</v>
      </c>
    </row>
    <row r="930" spans="1:6">
      <c r="A930">
        <v>8477</v>
      </c>
      <c r="B930" t="s">
        <v>236</v>
      </c>
      <c r="C930" t="s">
        <v>30</v>
      </c>
      <c r="D930">
        <v>1327</v>
      </c>
      <c r="F930" t="b">
        <v>1</v>
      </c>
    </row>
    <row r="931" spans="1:6">
      <c r="A931">
        <v>7673</v>
      </c>
      <c r="B931" t="s">
        <v>712</v>
      </c>
      <c r="C931" t="s">
        <v>30</v>
      </c>
      <c r="D931">
        <v>4337</v>
      </c>
      <c r="F931" t="b">
        <v>0</v>
      </c>
    </row>
    <row r="932" spans="1:6">
      <c r="A932">
        <v>6113</v>
      </c>
      <c r="B932" t="s">
        <v>713</v>
      </c>
      <c r="C932" t="s">
        <v>30</v>
      </c>
      <c r="D932">
        <v>398</v>
      </c>
      <c r="F932" t="b">
        <v>1</v>
      </c>
    </row>
    <row r="933" spans="1:6">
      <c r="A933">
        <v>7457</v>
      </c>
      <c r="B933" t="s">
        <v>498</v>
      </c>
      <c r="C933" t="s">
        <v>30</v>
      </c>
      <c r="D933">
        <v>1508</v>
      </c>
      <c r="F933" t="b">
        <v>1</v>
      </c>
    </row>
    <row r="934" spans="1:6">
      <c r="A934">
        <v>6639</v>
      </c>
      <c r="B934" t="s">
        <v>401</v>
      </c>
      <c r="C934" t="s">
        <v>30</v>
      </c>
      <c r="D934">
        <v>249</v>
      </c>
      <c r="F934" t="b">
        <v>1</v>
      </c>
    </row>
    <row r="935" spans="1:6">
      <c r="A935">
        <v>5220</v>
      </c>
      <c r="B935" t="s">
        <v>212</v>
      </c>
      <c r="C935" t="s">
        <v>30</v>
      </c>
      <c r="D935">
        <v>954</v>
      </c>
      <c r="F935" t="b">
        <v>1</v>
      </c>
    </row>
    <row r="936" spans="1:6">
      <c r="A936">
        <v>6970</v>
      </c>
      <c r="B936" t="s">
        <v>367</v>
      </c>
      <c r="C936" t="s">
        <v>30</v>
      </c>
      <c r="D936">
        <v>3313</v>
      </c>
      <c r="F936" t="b">
        <v>1</v>
      </c>
    </row>
    <row r="937" spans="1:6">
      <c r="A937">
        <v>6705</v>
      </c>
      <c r="B937" t="s">
        <v>126</v>
      </c>
      <c r="C937" t="s">
        <v>30</v>
      </c>
      <c r="D937">
        <v>1790</v>
      </c>
      <c r="F937" t="b">
        <v>1</v>
      </c>
    </row>
    <row r="938" spans="1:6">
      <c r="A938">
        <v>2477</v>
      </c>
      <c r="B938" t="s">
        <v>365</v>
      </c>
      <c r="C938" t="s">
        <v>30</v>
      </c>
      <c r="D938">
        <v>2864</v>
      </c>
      <c r="F938" t="b">
        <v>0</v>
      </c>
    </row>
    <row r="939" spans="1:6">
      <c r="A939">
        <v>6236</v>
      </c>
      <c r="B939" t="s">
        <v>657</v>
      </c>
      <c r="C939" t="s">
        <v>30</v>
      </c>
      <c r="D939">
        <v>1872</v>
      </c>
      <c r="F939" t="b">
        <v>0</v>
      </c>
    </row>
    <row r="940" spans="1:6">
      <c r="A940">
        <v>4079</v>
      </c>
      <c r="B940" t="s">
        <v>716</v>
      </c>
      <c r="C940" t="s">
        <v>30</v>
      </c>
      <c r="D940">
        <v>2521</v>
      </c>
      <c r="F940" t="b">
        <v>1</v>
      </c>
    </row>
    <row r="941" spans="1:6">
      <c r="A941">
        <v>7927</v>
      </c>
      <c r="B941" t="s">
        <v>592</v>
      </c>
      <c r="C941" t="s">
        <v>30</v>
      </c>
      <c r="D941">
        <v>4426</v>
      </c>
      <c r="F941" t="b">
        <v>1</v>
      </c>
    </row>
    <row r="942" spans="1:6">
      <c r="A942">
        <v>5059</v>
      </c>
      <c r="B942" t="s">
        <v>41</v>
      </c>
      <c r="C942" t="s">
        <v>30</v>
      </c>
      <c r="D942">
        <v>3100</v>
      </c>
      <c r="F942" t="b">
        <v>0</v>
      </c>
    </row>
    <row r="943" spans="1:6">
      <c r="A943">
        <v>4210</v>
      </c>
      <c r="B943" t="s">
        <v>284</v>
      </c>
      <c r="C943" t="s">
        <v>30</v>
      </c>
      <c r="D943">
        <v>4273</v>
      </c>
      <c r="F943" t="b">
        <v>0</v>
      </c>
    </row>
    <row r="944" spans="1:6">
      <c r="A944">
        <v>5054</v>
      </c>
      <c r="B944" t="s">
        <v>41</v>
      </c>
      <c r="C944" t="s">
        <v>30</v>
      </c>
      <c r="D944">
        <v>1254</v>
      </c>
      <c r="F944" t="b">
        <v>0</v>
      </c>
    </row>
    <row r="945" spans="1:6">
      <c r="A945">
        <v>5836</v>
      </c>
      <c r="B945" t="s">
        <v>504</v>
      </c>
      <c r="C945" t="s">
        <v>30</v>
      </c>
      <c r="D945">
        <v>4817</v>
      </c>
      <c r="F945" t="b">
        <v>1</v>
      </c>
    </row>
    <row r="946" spans="1:6">
      <c r="A946">
        <v>8612</v>
      </c>
      <c r="B946" t="s">
        <v>304</v>
      </c>
      <c r="C946" t="s">
        <v>30</v>
      </c>
      <c r="D946">
        <v>2330</v>
      </c>
      <c r="F946" t="b">
        <v>0</v>
      </c>
    </row>
    <row r="947" spans="1:6">
      <c r="A947">
        <v>7445</v>
      </c>
      <c r="B947" t="s">
        <v>125</v>
      </c>
      <c r="C947" t="s">
        <v>30</v>
      </c>
      <c r="D947">
        <v>244</v>
      </c>
      <c r="F947" t="b">
        <v>0</v>
      </c>
    </row>
    <row r="948" spans="1:6">
      <c r="A948">
        <v>6135</v>
      </c>
      <c r="B948" t="s">
        <v>112</v>
      </c>
      <c r="C948" t="s">
        <v>30</v>
      </c>
      <c r="D948">
        <v>1539</v>
      </c>
      <c r="F948" t="b">
        <v>1</v>
      </c>
    </row>
    <row r="949" spans="1:6">
      <c r="A949">
        <v>3168</v>
      </c>
      <c r="B949" t="s">
        <v>373</v>
      </c>
      <c r="C949" t="s">
        <v>30</v>
      </c>
      <c r="D949">
        <v>2657</v>
      </c>
      <c r="F949" t="b">
        <v>1</v>
      </c>
    </row>
    <row r="950" spans="1:6">
      <c r="A950">
        <v>2981</v>
      </c>
      <c r="B950" t="s">
        <v>718</v>
      </c>
      <c r="C950" t="s">
        <v>30</v>
      </c>
      <c r="D950">
        <v>4851</v>
      </c>
      <c r="F950" t="b">
        <v>1</v>
      </c>
    </row>
    <row r="951" spans="1:6">
      <c r="A951">
        <v>7739</v>
      </c>
      <c r="B951" t="s">
        <v>254</v>
      </c>
      <c r="C951" t="s">
        <v>30</v>
      </c>
      <c r="D951">
        <v>2341</v>
      </c>
      <c r="F951" t="b">
        <v>0</v>
      </c>
    </row>
    <row r="952" spans="1:6">
      <c r="A952">
        <v>5905</v>
      </c>
      <c r="B952" t="s">
        <v>345</v>
      </c>
      <c r="C952" t="s">
        <v>30</v>
      </c>
      <c r="D952">
        <v>3356</v>
      </c>
      <c r="F952" t="b">
        <v>0</v>
      </c>
    </row>
    <row r="953" spans="1:6">
      <c r="A953">
        <v>1443</v>
      </c>
      <c r="B953" t="s">
        <v>369</v>
      </c>
      <c r="C953" t="s">
        <v>30</v>
      </c>
      <c r="D953">
        <v>228</v>
      </c>
      <c r="F953" t="b">
        <v>0</v>
      </c>
    </row>
    <row r="954" spans="1:6">
      <c r="A954">
        <v>6181</v>
      </c>
      <c r="B954" t="s">
        <v>608</v>
      </c>
      <c r="C954" t="s">
        <v>30</v>
      </c>
      <c r="D954">
        <v>2821</v>
      </c>
      <c r="F954" t="b">
        <v>1</v>
      </c>
    </row>
    <row r="955" spans="1:6">
      <c r="A955">
        <v>8406</v>
      </c>
      <c r="B955" t="s">
        <v>720</v>
      </c>
      <c r="C955" t="s">
        <v>30</v>
      </c>
      <c r="D955">
        <v>4380</v>
      </c>
      <c r="F955" t="b">
        <v>1</v>
      </c>
    </row>
    <row r="956" spans="1:6">
      <c r="A956">
        <v>5389</v>
      </c>
      <c r="B956" t="s">
        <v>721</v>
      </c>
      <c r="C956" t="s">
        <v>30</v>
      </c>
      <c r="D956">
        <v>2131</v>
      </c>
      <c r="F956" t="b">
        <v>1</v>
      </c>
    </row>
    <row r="957" spans="1:6">
      <c r="A957">
        <v>4586</v>
      </c>
      <c r="B957" t="s">
        <v>723</v>
      </c>
      <c r="C957" t="s">
        <v>30</v>
      </c>
      <c r="D957">
        <v>3589</v>
      </c>
      <c r="F957" t="b">
        <v>0</v>
      </c>
    </row>
    <row r="958" spans="1:6">
      <c r="A958">
        <v>4020</v>
      </c>
      <c r="B958" t="s">
        <v>691</v>
      </c>
      <c r="C958" t="s">
        <v>30</v>
      </c>
      <c r="D958">
        <v>4162</v>
      </c>
      <c r="F958" t="b">
        <v>0</v>
      </c>
    </row>
    <row r="959" spans="1:6">
      <c r="A959">
        <v>1635</v>
      </c>
      <c r="B959" t="s">
        <v>434</v>
      </c>
      <c r="C959" t="s">
        <v>30</v>
      </c>
      <c r="D959">
        <v>1013</v>
      </c>
      <c r="F959" t="b">
        <v>1</v>
      </c>
    </row>
    <row r="960" spans="1:6">
      <c r="A960">
        <v>9257</v>
      </c>
      <c r="B960" t="s">
        <v>177</v>
      </c>
      <c r="C960" t="s">
        <v>30</v>
      </c>
      <c r="D960">
        <v>2731</v>
      </c>
      <c r="F960" t="b">
        <v>0</v>
      </c>
    </row>
    <row r="961" spans="1:6">
      <c r="A961">
        <v>6380</v>
      </c>
      <c r="B961" t="s">
        <v>88</v>
      </c>
      <c r="C961" t="s">
        <v>30</v>
      </c>
      <c r="D961">
        <v>833</v>
      </c>
      <c r="F961" t="b">
        <v>0</v>
      </c>
    </row>
    <row r="962" spans="1:6">
      <c r="A962">
        <v>6385</v>
      </c>
      <c r="B962" t="s">
        <v>508</v>
      </c>
      <c r="C962" t="s">
        <v>30</v>
      </c>
      <c r="D962">
        <v>2428</v>
      </c>
      <c r="F962" t="b">
        <v>0</v>
      </c>
    </row>
    <row r="963" spans="1:6">
      <c r="A963">
        <v>6858</v>
      </c>
      <c r="B963" t="s">
        <v>318</v>
      </c>
      <c r="C963" t="s">
        <v>30</v>
      </c>
      <c r="D963">
        <v>4555</v>
      </c>
      <c r="F963" t="b">
        <v>0</v>
      </c>
    </row>
    <row r="964" spans="1:6">
      <c r="A964">
        <v>8875</v>
      </c>
      <c r="B964" t="s">
        <v>434</v>
      </c>
      <c r="C964" t="s">
        <v>30</v>
      </c>
      <c r="D964">
        <v>4777</v>
      </c>
      <c r="F964" t="b">
        <v>0</v>
      </c>
    </row>
    <row r="965" spans="1:6">
      <c r="A965">
        <v>3334</v>
      </c>
      <c r="B965" t="s">
        <v>286</v>
      </c>
      <c r="C965" t="s">
        <v>30</v>
      </c>
      <c r="D965">
        <v>459</v>
      </c>
      <c r="F965" t="b">
        <v>1</v>
      </c>
    </row>
    <row r="966" spans="1:6">
      <c r="A966">
        <v>5850</v>
      </c>
      <c r="B966" t="s">
        <v>126</v>
      </c>
      <c r="C966" t="s">
        <v>30</v>
      </c>
      <c r="D966">
        <v>2644</v>
      </c>
      <c r="F966" t="b">
        <v>0</v>
      </c>
    </row>
    <row r="967" spans="1:6">
      <c r="A967">
        <v>8593</v>
      </c>
      <c r="B967" t="s">
        <v>153</v>
      </c>
      <c r="C967" t="s">
        <v>30</v>
      </c>
      <c r="D967">
        <v>2678</v>
      </c>
      <c r="F967" t="b">
        <v>0</v>
      </c>
    </row>
    <row r="968" spans="1:6">
      <c r="A968">
        <v>6278</v>
      </c>
      <c r="B968" t="s">
        <v>357</v>
      </c>
      <c r="C968" t="s">
        <v>30</v>
      </c>
      <c r="D968">
        <v>1129</v>
      </c>
      <c r="F968" t="b">
        <v>0</v>
      </c>
    </row>
    <row r="969" spans="1:6">
      <c r="A969">
        <v>1388</v>
      </c>
      <c r="B969" t="s">
        <v>157</v>
      </c>
      <c r="C969" t="s">
        <v>30</v>
      </c>
      <c r="D969">
        <v>1258</v>
      </c>
      <c r="F969" t="b">
        <v>0</v>
      </c>
    </row>
    <row r="970" spans="1:6">
      <c r="A970">
        <v>2521</v>
      </c>
      <c r="B970" t="s">
        <v>143</v>
      </c>
      <c r="C970" t="s">
        <v>30</v>
      </c>
      <c r="D970">
        <v>3213</v>
      </c>
      <c r="F970" t="b">
        <v>0</v>
      </c>
    </row>
    <row r="971" spans="1:6">
      <c r="A971">
        <v>1269</v>
      </c>
      <c r="B971" t="s">
        <v>726</v>
      </c>
      <c r="C971" t="s">
        <v>30</v>
      </c>
      <c r="D971">
        <v>4127</v>
      </c>
      <c r="F971" t="b">
        <v>0</v>
      </c>
    </row>
    <row r="972" spans="1:6">
      <c r="A972">
        <v>9959</v>
      </c>
      <c r="B972" t="s">
        <v>266</v>
      </c>
      <c r="C972" t="s">
        <v>30</v>
      </c>
      <c r="D972">
        <v>1961</v>
      </c>
      <c r="F972" t="b">
        <v>0</v>
      </c>
    </row>
    <row r="973" spans="1:6">
      <c r="A973">
        <v>7549</v>
      </c>
      <c r="B973" t="s">
        <v>720</v>
      </c>
      <c r="C973" t="s">
        <v>30</v>
      </c>
      <c r="D973">
        <v>1708</v>
      </c>
      <c r="F973" t="b">
        <v>1</v>
      </c>
    </row>
    <row r="974" spans="1:6">
      <c r="A974">
        <v>4747</v>
      </c>
      <c r="B974" t="s">
        <v>224</v>
      </c>
      <c r="C974" t="s">
        <v>30</v>
      </c>
      <c r="D974">
        <v>2288</v>
      </c>
      <c r="F974" t="b">
        <v>1</v>
      </c>
    </row>
    <row r="975" spans="1:6">
      <c r="A975">
        <v>8320</v>
      </c>
      <c r="B975" t="s">
        <v>549</v>
      </c>
      <c r="C975" t="s">
        <v>30</v>
      </c>
      <c r="D975">
        <v>4570</v>
      </c>
      <c r="F975" t="b">
        <v>1</v>
      </c>
    </row>
    <row r="976" spans="1:6">
      <c r="A976">
        <v>1333</v>
      </c>
      <c r="B976" t="s">
        <v>106</v>
      </c>
      <c r="C976" t="s">
        <v>30</v>
      </c>
      <c r="D976">
        <v>2547</v>
      </c>
      <c r="F976" t="b">
        <v>0</v>
      </c>
    </row>
    <row r="977" spans="1:6">
      <c r="A977">
        <v>5254</v>
      </c>
      <c r="B977" t="s">
        <v>542</v>
      </c>
      <c r="C977" t="s">
        <v>30</v>
      </c>
      <c r="D977">
        <v>4655</v>
      </c>
      <c r="F977" t="b">
        <v>1</v>
      </c>
    </row>
    <row r="978" spans="1:6">
      <c r="A978">
        <v>6842</v>
      </c>
      <c r="B978" t="s">
        <v>648</v>
      </c>
      <c r="C978" t="s">
        <v>30</v>
      </c>
      <c r="D978">
        <v>1656</v>
      </c>
      <c r="F978" t="b">
        <v>1</v>
      </c>
    </row>
    <row r="979" spans="1:6">
      <c r="A979">
        <v>9333</v>
      </c>
      <c r="B979" t="s">
        <v>635</v>
      </c>
      <c r="C979" t="s">
        <v>30</v>
      </c>
      <c r="D979">
        <v>2761</v>
      </c>
      <c r="F979" t="b">
        <v>0</v>
      </c>
    </row>
    <row r="980" spans="1:6">
      <c r="A980">
        <v>9122</v>
      </c>
      <c r="B980" t="s">
        <v>729</v>
      </c>
      <c r="C980" t="s">
        <v>30</v>
      </c>
      <c r="D980">
        <v>773</v>
      </c>
      <c r="F980" t="b">
        <v>0</v>
      </c>
    </row>
    <row r="981" spans="1:6">
      <c r="A981">
        <v>6221</v>
      </c>
      <c r="B981" t="s">
        <v>143</v>
      </c>
      <c r="C981" t="s">
        <v>30</v>
      </c>
      <c r="D981">
        <v>1652</v>
      </c>
      <c r="F981" t="b">
        <v>0</v>
      </c>
    </row>
    <row r="982" spans="1:6">
      <c r="A982">
        <v>9957</v>
      </c>
      <c r="B982" t="s">
        <v>357</v>
      </c>
      <c r="C982" t="s">
        <v>30</v>
      </c>
      <c r="D982">
        <v>1037</v>
      </c>
      <c r="F982" t="b">
        <v>0</v>
      </c>
    </row>
    <row r="983" spans="1:6">
      <c r="A983">
        <v>4680</v>
      </c>
      <c r="B983" t="s">
        <v>730</v>
      </c>
      <c r="C983" t="s">
        <v>30</v>
      </c>
      <c r="D983">
        <v>4505</v>
      </c>
      <c r="F983" t="b">
        <v>1</v>
      </c>
    </row>
    <row r="984" spans="1:6">
      <c r="A984">
        <v>5974</v>
      </c>
      <c r="B984" t="s">
        <v>731</v>
      </c>
      <c r="C984" t="s">
        <v>30</v>
      </c>
      <c r="D984">
        <v>3648</v>
      </c>
      <c r="F984" t="b">
        <v>0</v>
      </c>
    </row>
    <row r="985" spans="1:6">
      <c r="A985">
        <v>6938</v>
      </c>
      <c r="B985" t="s">
        <v>382</v>
      </c>
      <c r="C985" t="s">
        <v>30</v>
      </c>
      <c r="D985">
        <v>4015</v>
      </c>
      <c r="F985" t="b">
        <v>0</v>
      </c>
    </row>
    <row r="986" spans="1:6">
      <c r="A986">
        <v>1175</v>
      </c>
      <c r="B986" t="s">
        <v>584</v>
      </c>
      <c r="C986" t="s">
        <v>30</v>
      </c>
      <c r="D986">
        <v>2050</v>
      </c>
      <c r="F986" t="b">
        <v>1</v>
      </c>
    </row>
    <row r="987" spans="1:6">
      <c r="A987">
        <v>1260</v>
      </c>
      <c r="B987" t="s">
        <v>453</v>
      </c>
      <c r="C987" t="s">
        <v>30</v>
      </c>
      <c r="D987">
        <v>2390</v>
      </c>
      <c r="F987" t="b">
        <v>1</v>
      </c>
    </row>
    <row r="988" spans="1:6">
      <c r="A988">
        <v>4645</v>
      </c>
      <c r="B988" t="s">
        <v>130</v>
      </c>
      <c r="C988" t="s">
        <v>30</v>
      </c>
      <c r="D988">
        <v>3079</v>
      </c>
      <c r="F988" t="b">
        <v>1</v>
      </c>
    </row>
    <row r="989" spans="1:6">
      <c r="A989">
        <v>1637</v>
      </c>
      <c r="B989" t="s">
        <v>122</v>
      </c>
      <c r="C989" t="s">
        <v>30</v>
      </c>
      <c r="D989">
        <v>4111</v>
      </c>
      <c r="F989" t="b">
        <v>0</v>
      </c>
    </row>
    <row r="990" spans="1:6">
      <c r="A990">
        <v>7960</v>
      </c>
      <c r="B990" t="s">
        <v>521</v>
      </c>
      <c r="C990" t="s">
        <v>30</v>
      </c>
      <c r="D990">
        <v>3221</v>
      </c>
      <c r="F990" t="b">
        <v>1</v>
      </c>
    </row>
    <row r="991" spans="1:6">
      <c r="A991">
        <v>9693</v>
      </c>
      <c r="B991" t="s">
        <v>733</v>
      </c>
      <c r="C991" t="s">
        <v>30</v>
      </c>
      <c r="D991">
        <v>2461</v>
      </c>
      <c r="F991" t="b">
        <v>0</v>
      </c>
    </row>
    <row r="992" spans="1:6">
      <c r="A992">
        <v>8743</v>
      </c>
      <c r="B992" t="s">
        <v>201</v>
      </c>
      <c r="C992" t="s">
        <v>30</v>
      </c>
      <c r="D992">
        <v>2858</v>
      </c>
      <c r="F992" t="b">
        <v>0</v>
      </c>
    </row>
    <row r="993" spans="1:6">
      <c r="A993">
        <v>3379</v>
      </c>
      <c r="B993" t="s">
        <v>695</v>
      </c>
      <c r="C993" t="s">
        <v>30</v>
      </c>
      <c r="D993">
        <v>4076</v>
      </c>
      <c r="F993" t="b">
        <v>0</v>
      </c>
    </row>
    <row r="994" spans="1:6">
      <c r="A994">
        <v>7696</v>
      </c>
      <c r="B994" t="s">
        <v>224</v>
      </c>
      <c r="C994" t="s">
        <v>30</v>
      </c>
      <c r="D994">
        <v>2163</v>
      </c>
      <c r="F994" t="b">
        <v>0</v>
      </c>
    </row>
    <row r="995" spans="1:6">
      <c r="A995">
        <v>8552</v>
      </c>
      <c r="B995" t="s">
        <v>23</v>
      </c>
      <c r="C995" t="s">
        <v>30</v>
      </c>
      <c r="D995">
        <v>3726</v>
      </c>
      <c r="F995" t="b">
        <v>1</v>
      </c>
    </row>
    <row r="996" spans="1:6">
      <c r="A996">
        <v>5065</v>
      </c>
      <c r="B996" t="s">
        <v>257</v>
      </c>
      <c r="C996" t="s">
        <v>30</v>
      </c>
      <c r="D996">
        <v>47</v>
      </c>
      <c r="F996" t="b">
        <v>1</v>
      </c>
    </row>
    <row r="997" spans="1:6">
      <c r="A997">
        <v>6878</v>
      </c>
      <c r="B997" t="s">
        <v>52</v>
      </c>
      <c r="C997" t="s">
        <v>30</v>
      </c>
      <c r="D997">
        <v>4742</v>
      </c>
      <c r="F997" t="b">
        <v>1</v>
      </c>
    </row>
    <row r="998" spans="1:6">
      <c r="A998">
        <v>5681</v>
      </c>
      <c r="B998" t="s">
        <v>254</v>
      </c>
      <c r="C998" t="s">
        <v>30</v>
      </c>
      <c r="D998">
        <v>2910</v>
      </c>
      <c r="F998" t="b">
        <v>0</v>
      </c>
    </row>
    <row r="999" spans="1:6">
      <c r="A999">
        <v>4448</v>
      </c>
      <c r="B999" t="s">
        <v>179</v>
      </c>
      <c r="C999" t="s">
        <v>30</v>
      </c>
      <c r="D999">
        <v>1180</v>
      </c>
      <c r="F999" t="b">
        <v>0</v>
      </c>
    </row>
    <row r="1000" spans="1:6">
      <c r="A1000">
        <v>5795</v>
      </c>
      <c r="B1000" t="s">
        <v>224</v>
      </c>
      <c r="C1000" t="s">
        <v>30</v>
      </c>
      <c r="D1000">
        <v>1965</v>
      </c>
      <c r="F1000" t="b">
        <v>0</v>
      </c>
    </row>
    <row r="1001" spans="1:6">
      <c r="A1001">
        <v>5320</v>
      </c>
      <c r="B1001" t="s">
        <v>201</v>
      </c>
      <c r="C1001" t="s">
        <v>30</v>
      </c>
      <c r="D1001">
        <v>3179</v>
      </c>
      <c r="F1001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AE1001"/>
  <sheetViews>
    <sheetView workbookViewId="0"/>
    <sheetView workbookViewId="1"/>
    <sheetView topLeftCell="H31" workbookViewId="2">
      <selection activeCell="N48" sqref="N48"/>
    </sheetView>
  </sheetViews>
  <sheetFormatPr defaultRowHeight="14.4"/>
  <cols>
    <col min="2" max="2" width="10.77734375" bestFit="1" customWidth="1"/>
    <col min="4" max="4" width="16.44140625" bestFit="1" customWidth="1"/>
    <col min="5" max="5" width="13.44140625" bestFit="1" customWidth="1"/>
    <col min="6" max="6" width="21" bestFit="1" customWidth="1"/>
    <col min="7" max="7" width="21" customWidth="1"/>
    <col min="8" max="8" width="19.44140625" bestFit="1" customWidth="1"/>
    <col min="9" max="11" width="21" customWidth="1"/>
    <col min="13" max="13" width="12.5546875" customWidth="1"/>
    <col min="14" max="14" width="19" customWidth="1"/>
    <col min="15" max="16" width="6" customWidth="1"/>
    <col min="17" max="17" width="10.77734375" bestFit="1" customWidth="1"/>
    <col min="23" max="23" width="13.5546875" customWidth="1"/>
    <col min="24" max="24" width="15.5546875" customWidth="1"/>
    <col min="25" max="25" width="7.33203125" customWidth="1"/>
    <col min="26" max="26" width="6.5546875" customWidth="1"/>
    <col min="27" max="27" width="8.6640625" customWidth="1"/>
    <col min="28" max="28" width="5.21875" customWidth="1"/>
    <col min="29" max="29" width="4" customWidth="1"/>
    <col min="30" max="30" width="4.5546875" customWidth="1"/>
    <col min="31" max="31" width="10.77734375" customWidth="1"/>
    <col min="32" max="32" width="10.77734375" bestFit="1" customWidth="1"/>
  </cols>
  <sheetData>
    <row r="1" spans="1:31">
      <c r="A1" s="2" t="s">
        <v>0</v>
      </c>
      <c r="B1" s="2" t="s">
        <v>1</v>
      </c>
      <c r="C1" s="2" t="s">
        <v>12</v>
      </c>
      <c r="D1" s="2" t="s">
        <v>13</v>
      </c>
      <c r="E1" s="2" t="s">
        <v>4</v>
      </c>
      <c r="G1" s="2" t="s">
        <v>5</v>
      </c>
      <c r="H1" s="2" t="s">
        <v>14</v>
      </c>
    </row>
    <row r="2" spans="1:31">
      <c r="A2">
        <v>2518</v>
      </c>
      <c r="B2" t="s">
        <v>23</v>
      </c>
      <c r="C2" t="s">
        <v>27</v>
      </c>
      <c r="D2" t="s">
        <v>28</v>
      </c>
      <c r="E2">
        <v>7.99</v>
      </c>
      <c r="F2" t="str">
        <f>C2&amp;D2</f>
        <v>USAPayPal</v>
      </c>
      <c r="G2">
        <v>49</v>
      </c>
      <c r="H2" t="s">
        <v>29</v>
      </c>
      <c r="M2" s="4" t="s">
        <v>12</v>
      </c>
      <c r="N2" s="4" t="s">
        <v>13</v>
      </c>
      <c r="O2" t="s">
        <v>792</v>
      </c>
      <c r="P2" t="s">
        <v>780</v>
      </c>
      <c r="R2" t="s">
        <v>12</v>
      </c>
      <c r="S2" t="s">
        <v>13</v>
      </c>
      <c r="T2" t="s">
        <v>792</v>
      </c>
      <c r="U2" t="s">
        <v>780</v>
      </c>
    </row>
    <row r="3" spans="1:31">
      <c r="A3">
        <v>6430</v>
      </c>
      <c r="B3" t="s">
        <v>34</v>
      </c>
      <c r="C3" t="s">
        <v>27</v>
      </c>
      <c r="D3" t="s">
        <v>28</v>
      </c>
      <c r="E3">
        <v>7.99</v>
      </c>
      <c r="F3" t="str">
        <f>C3&amp;D3</f>
        <v>USAPayPal</v>
      </c>
      <c r="G3">
        <v>161</v>
      </c>
      <c r="H3" t="s">
        <v>37</v>
      </c>
      <c r="M3" t="s">
        <v>68</v>
      </c>
      <c r="N3" t="s">
        <v>56</v>
      </c>
      <c r="O3" t="str">
        <f>$M$3&amp;N3</f>
        <v>AustraliaCredit Card</v>
      </c>
      <c r="P3">
        <f>COUNTIF(F:F,O3)</f>
        <v>22</v>
      </c>
      <c r="R3" t="s">
        <v>68</v>
      </c>
      <c r="S3" t="s">
        <v>56</v>
      </c>
      <c r="T3" t="s">
        <v>793</v>
      </c>
      <c r="U3">
        <v>22</v>
      </c>
      <c r="W3" s="4" t="s">
        <v>821</v>
      </c>
      <c r="X3" s="4" t="s">
        <v>791</v>
      </c>
    </row>
    <row r="4" spans="1:31">
      <c r="A4">
        <v>1798</v>
      </c>
      <c r="B4" t="s">
        <v>41</v>
      </c>
      <c r="C4" t="s">
        <v>43</v>
      </c>
      <c r="D4" t="s">
        <v>44</v>
      </c>
      <c r="E4">
        <v>11.99</v>
      </c>
      <c r="F4" t="str">
        <f>C4&amp;D4</f>
        <v>CanadaDebit Card</v>
      </c>
      <c r="G4">
        <v>87</v>
      </c>
      <c r="H4" t="s">
        <v>45</v>
      </c>
      <c r="N4" t="s">
        <v>75</v>
      </c>
      <c r="O4" t="str">
        <f>$M$3&amp;N4</f>
        <v>AustraliaCryptocurrency</v>
      </c>
      <c r="P4">
        <f>COUNTIF(F:F,O4)</f>
        <v>44</v>
      </c>
      <c r="R4" t="str">
        <f>R3</f>
        <v>Australia</v>
      </c>
      <c r="S4" t="s">
        <v>75</v>
      </c>
      <c r="T4" t="s">
        <v>794</v>
      </c>
      <c r="U4">
        <v>44</v>
      </c>
      <c r="W4" s="4" t="s">
        <v>790</v>
      </c>
      <c r="X4" t="s">
        <v>68</v>
      </c>
      <c r="Y4" t="s">
        <v>43</v>
      </c>
      <c r="Z4" t="s">
        <v>92</v>
      </c>
      <c r="AA4" t="s">
        <v>74</v>
      </c>
      <c r="AB4" t="s">
        <v>55</v>
      </c>
      <c r="AC4" t="s">
        <v>49</v>
      </c>
      <c r="AD4" t="s">
        <v>27</v>
      </c>
      <c r="AE4" t="s">
        <v>737</v>
      </c>
    </row>
    <row r="5" spans="1:31">
      <c r="A5">
        <v>5255</v>
      </c>
      <c r="B5" t="s">
        <v>46</v>
      </c>
      <c r="C5" t="s">
        <v>49</v>
      </c>
      <c r="D5" t="s">
        <v>44</v>
      </c>
      <c r="E5">
        <v>15.99</v>
      </c>
      <c r="F5" t="str">
        <f>C5&amp;D5</f>
        <v>UKDebit Card</v>
      </c>
      <c r="G5">
        <v>321</v>
      </c>
      <c r="H5" t="s">
        <v>45</v>
      </c>
      <c r="N5" t="s">
        <v>44</v>
      </c>
      <c r="O5" t="str">
        <f>$M$3&amp;N5</f>
        <v>AustraliaDebit Card</v>
      </c>
      <c r="P5">
        <f>COUNTIF(F:F,O5)</f>
        <v>38</v>
      </c>
      <c r="R5" t="str">
        <f t="shared" ref="R5:R6" si="0">R4</f>
        <v>Australia</v>
      </c>
      <c r="S5" t="s">
        <v>44</v>
      </c>
      <c r="T5" t="s">
        <v>795</v>
      </c>
      <c r="U5">
        <v>38</v>
      </c>
      <c r="W5" s="5" t="s">
        <v>56</v>
      </c>
      <c r="X5" s="44">
        <v>22</v>
      </c>
      <c r="Y5" s="44">
        <v>34</v>
      </c>
      <c r="Z5" s="44">
        <v>39</v>
      </c>
      <c r="AA5" s="44">
        <v>31</v>
      </c>
      <c r="AB5" s="44">
        <v>25</v>
      </c>
      <c r="AC5" s="44">
        <v>33</v>
      </c>
      <c r="AD5" s="45">
        <v>44</v>
      </c>
      <c r="AE5" s="44">
        <v>228</v>
      </c>
    </row>
    <row r="6" spans="1:31">
      <c r="A6">
        <v>2854</v>
      </c>
      <c r="B6" t="s">
        <v>50</v>
      </c>
      <c r="C6" t="s">
        <v>27</v>
      </c>
      <c r="D6" t="s">
        <v>28</v>
      </c>
      <c r="E6">
        <v>11.99</v>
      </c>
      <c r="F6" t="str">
        <f>C6&amp;D6</f>
        <v>USAPayPal</v>
      </c>
      <c r="G6">
        <v>386</v>
      </c>
      <c r="H6" t="s">
        <v>45</v>
      </c>
      <c r="N6" t="s">
        <v>28</v>
      </c>
      <c r="O6" t="str">
        <f>$M$3&amp;N6</f>
        <v>AustraliaPayPal</v>
      </c>
      <c r="P6">
        <f>COUNTIF(F:F,O6)</f>
        <v>36</v>
      </c>
      <c r="R6" t="str">
        <f t="shared" si="0"/>
        <v>Australia</v>
      </c>
      <c r="S6" t="s">
        <v>28</v>
      </c>
      <c r="T6" t="s">
        <v>796</v>
      </c>
      <c r="U6">
        <v>36</v>
      </c>
      <c r="W6" s="5" t="s">
        <v>75</v>
      </c>
      <c r="X6" s="45">
        <v>44</v>
      </c>
      <c r="Y6" s="44">
        <v>27</v>
      </c>
      <c r="Z6" s="45">
        <v>41</v>
      </c>
      <c r="AA6" s="44">
        <v>35</v>
      </c>
      <c r="AB6" s="44">
        <v>29</v>
      </c>
      <c r="AC6" s="44">
        <v>38</v>
      </c>
      <c r="AD6" s="44">
        <v>40</v>
      </c>
      <c r="AE6" s="44">
        <v>254</v>
      </c>
    </row>
    <row r="7" spans="1:31">
      <c r="A7">
        <v>6735</v>
      </c>
      <c r="B7" t="s">
        <v>52</v>
      </c>
      <c r="C7" t="s">
        <v>55</v>
      </c>
      <c r="D7" t="s">
        <v>56</v>
      </c>
      <c r="E7">
        <v>15.99</v>
      </c>
      <c r="F7" t="str">
        <f>C7&amp;D7</f>
        <v>IndiaCredit Card</v>
      </c>
      <c r="G7">
        <v>408</v>
      </c>
      <c r="H7" t="s">
        <v>57</v>
      </c>
      <c r="M7" t="s">
        <v>43</v>
      </c>
      <c r="N7" t="s">
        <v>56</v>
      </c>
      <c r="O7" t="str">
        <f>$M$7&amp;N7</f>
        <v>CanadaCredit Card</v>
      </c>
      <c r="P7">
        <f>COUNTIF(F:F,O7)</f>
        <v>34</v>
      </c>
      <c r="R7" t="s">
        <v>43</v>
      </c>
      <c r="S7" t="s">
        <v>56</v>
      </c>
      <c r="T7" t="s">
        <v>797</v>
      </c>
      <c r="U7">
        <v>34</v>
      </c>
      <c r="W7" s="5" t="s">
        <v>44</v>
      </c>
      <c r="X7" s="44">
        <v>38</v>
      </c>
      <c r="Y7" s="44">
        <v>36</v>
      </c>
      <c r="Z7" s="44">
        <v>31</v>
      </c>
      <c r="AA7" s="45">
        <v>43</v>
      </c>
      <c r="AB7" s="45">
        <v>39</v>
      </c>
      <c r="AC7" s="44">
        <v>31</v>
      </c>
      <c r="AD7" s="44">
        <v>31</v>
      </c>
      <c r="AE7" s="44">
        <v>249</v>
      </c>
    </row>
    <row r="8" spans="1:31">
      <c r="A8">
        <v>2995</v>
      </c>
      <c r="B8" t="s">
        <v>61</v>
      </c>
      <c r="C8" t="s">
        <v>27</v>
      </c>
      <c r="D8" t="s">
        <v>56</v>
      </c>
      <c r="E8">
        <v>7.99</v>
      </c>
      <c r="F8" t="str">
        <f>C8&amp;D8</f>
        <v>USACredit Card</v>
      </c>
      <c r="G8">
        <v>475</v>
      </c>
      <c r="H8" t="s">
        <v>64</v>
      </c>
      <c r="N8" t="s">
        <v>75</v>
      </c>
      <c r="O8" t="str">
        <f>$M$7&amp;N8</f>
        <v>CanadaCryptocurrency</v>
      </c>
      <c r="P8">
        <f>COUNTIF(F:F,O8)</f>
        <v>27</v>
      </c>
      <c r="R8" t="str">
        <f t="shared" ref="R8:R10" si="1">R7</f>
        <v>Canada</v>
      </c>
      <c r="S8" t="s">
        <v>75</v>
      </c>
      <c r="T8" t="s">
        <v>798</v>
      </c>
      <c r="U8">
        <v>27</v>
      </c>
      <c r="W8" s="5" t="s">
        <v>28</v>
      </c>
      <c r="X8" s="44">
        <v>36</v>
      </c>
      <c r="Y8" s="45">
        <v>42</v>
      </c>
      <c r="Z8" s="44">
        <v>40</v>
      </c>
      <c r="AA8" s="44">
        <v>37</v>
      </c>
      <c r="AB8" s="44">
        <v>23</v>
      </c>
      <c r="AC8" s="45">
        <v>48</v>
      </c>
      <c r="AD8" s="44">
        <v>43</v>
      </c>
      <c r="AE8" s="45">
        <v>269</v>
      </c>
    </row>
    <row r="9" spans="1:31">
      <c r="A9">
        <v>5120</v>
      </c>
      <c r="B9" t="s">
        <v>66</v>
      </c>
      <c r="C9" t="s">
        <v>68</v>
      </c>
      <c r="D9" t="s">
        <v>44</v>
      </c>
      <c r="E9">
        <v>15.99</v>
      </c>
      <c r="F9" t="str">
        <f>C9&amp;D9</f>
        <v>AustraliaDebit Card</v>
      </c>
      <c r="G9">
        <v>258</v>
      </c>
      <c r="H9" t="s">
        <v>29</v>
      </c>
      <c r="N9" t="s">
        <v>44</v>
      </c>
      <c r="O9" t="str">
        <f>$M$7&amp;N9</f>
        <v>CanadaDebit Card</v>
      </c>
      <c r="P9">
        <f>COUNTIF(F:F,O9)</f>
        <v>36</v>
      </c>
      <c r="R9" t="str">
        <f t="shared" si="1"/>
        <v>Canada</v>
      </c>
      <c r="S9" t="s">
        <v>44</v>
      </c>
      <c r="T9" t="s">
        <v>799</v>
      </c>
      <c r="U9">
        <v>36</v>
      </c>
      <c r="W9" s="5" t="s">
        <v>737</v>
      </c>
      <c r="X9" s="44">
        <v>140</v>
      </c>
      <c r="Y9" s="44">
        <v>139</v>
      </c>
      <c r="Z9" s="44">
        <v>151</v>
      </c>
      <c r="AA9" s="44">
        <v>146</v>
      </c>
      <c r="AB9" s="44">
        <v>116</v>
      </c>
      <c r="AC9" s="44">
        <v>150</v>
      </c>
      <c r="AD9" s="44">
        <v>158</v>
      </c>
      <c r="AE9" s="44">
        <v>1000</v>
      </c>
    </row>
    <row r="10" spans="1:31">
      <c r="A10">
        <v>6063</v>
      </c>
      <c r="B10" t="s">
        <v>70</v>
      </c>
      <c r="C10" t="s">
        <v>74</v>
      </c>
      <c r="D10" t="s">
        <v>75</v>
      </c>
      <c r="E10">
        <v>15.99</v>
      </c>
      <c r="F10" t="str">
        <f>C10&amp;D10</f>
        <v>GermanyCryptocurrency</v>
      </c>
      <c r="G10">
        <v>183</v>
      </c>
      <c r="H10" t="s">
        <v>45</v>
      </c>
      <c r="N10" t="s">
        <v>28</v>
      </c>
      <c r="O10" t="str">
        <f>$M$7&amp;N10</f>
        <v>CanadaPayPal</v>
      </c>
      <c r="P10">
        <f>COUNTIF(F:F,O10)</f>
        <v>42</v>
      </c>
      <c r="R10" t="str">
        <f t="shared" si="1"/>
        <v>Canada</v>
      </c>
      <c r="S10" t="s">
        <v>28</v>
      </c>
      <c r="T10" t="s">
        <v>800</v>
      </c>
      <c r="U10">
        <v>42</v>
      </c>
    </row>
    <row r="11" spans="1:31">
      <c r="A11">
        <v>6896</v>
      </c>
      <c r="B11" t="s">
        <v>77</v>
      </c>
      <c r="C11" t="s">
        <v>27</v>
      </c>
      <c r="D11" t="s">
        <v>56</v>
      </c>
      <c r="E11">
        <v>7.99</v>
      </c>
      <c r="F11" t="str">
        <f>C11&amp;D11</f>
        <v>USACredit Card</v>
      </c>
      <c r="G11">
        <v>164</v>
      </c>
      <c r="H11" t="s">
        <v>78</v>
      </c>
      <c r="M11" t="s">
        <v>92</v>
      </c>
      <c r="N11" t="s">
        <v>56</v>
      </c>
      <c r="O11" t="str">
        <f>$M$11&amp;N11</f>
        <v>FranceCredit Card</v>
      </c>
      <c r="P11">
        <f>COUNTIF(F:F,O11)</f>
        <v>39</v>
      </c>
      <c r="R11" t="s">
        <v>92</v>
      </c>
      <c r="S11" t="s">
        <v>56</v>
      </c>
      <c r="T11" t="s">
        <v>801</v>
      </c>
      <c r="U11">
        <v>39</v>
      </c>
    </row>
    <row r="12" spans="1:31">
      <c r="A12">
        <v>8447</v>
      </c>
      <c r="B12" t="s">
        <v>80</v>
      </c>
      <c r="C12" t="s">
        <v>49</v>
      </c>
      <c r="D12" t="s">
        <v>56</v>
      </c>
      <c r="E12">
        <v>11.99</v>
      </c>
      <c r="F12" t="str">
        <f>C12&amp;D12</f>
        <v>UKCredit Card</v>
      </c>
      <c r="G12">
        <v>411</v>
      </c>
      <c r="H12" t="s">
        <v>64</v>
      </c>
      <c r="N12" t="s">
        <v>75</v>
      </c>
      <c r="O12" t="str">
        <f>$M$11&amp;N12</f>
        <v>FranceCryptocurrency</v>
      </c>
      <c r="P12">
        <f>COUNTIF(F:F,O12)</f>
        <v>41</v>
      </c>
      <c r="R12" t="str">
        <f t="shared" ref="R12:R14" si="2">R11</f>
        <v>France</v>
      </c>
      <c r="S12" t="s">
        <v>75</v>
      </c>
      <c r="T12" t="s">
        <v>802</v>
      </c>
      <c r="U12">
        <v>41</v>
      </c>
    </row>
    <row r="13" spans="1:31">
      <c r="A13">
        <v>1433</v>
      </c>
      <c r="B13" t="s">
        <v>83</v>
      </c>
      <c r="C13" t="s">
        <v>43</v>
      </c>
      <c r="D13" t="s">
        <v>44</v>
      </c>
      <c r="E13">
        <v>15.99</v>
      </c>
      <c r="F13" t="str">
        <f>C13&amp;D13</f>
        <v>CanadaDebit Card</v>
      </c>
      <c r="G13">
        <v>160</v>
      </c>
      <c r="H13" t="s">
        <v>37</v>
      </c>
      <c r="N13" t="s">
        <v>44</v>
      </c>
      <c r="O13" t="str">
        <f>$M$11&amp;N13</f>
        <v>FranceDebit Card</v>
      </c>
      <c r="P13">
        <f>COUNTIF(F:F,O13)</f>
        <v>31</v>
      </c>
      <c r="R13" t="str">
        <f t="shared" si="2"/>
        <v>France</v>
      </c>
      <c r="S13" t="s">
        <v>44</v>
      </c>
      <c r="T13" t="s">
        <v>803</v>
      </c>
      <c r="U13">
        <v>31</v>
      </c>
    </row>
    <row r="14" spans="1:31">
      <c r="A14">
        <v>4511</v>
      </c>
      <c r="B14" t="s">
        <v>85</v>
      </c>
      <c r="C14" t="s">
        <v>74</v>
      </c>
      <c r="D14" t="s">
        <v>44</v>
      </c>
      <c r="E14">
        <v>7.99</v>
      </c>
      <c r="F14" t="str">
        <f>C14&amp;D14</f>
        <v>GermanyDebit Card</v>
      </c>
      <c r="G14">
        <v>348</v>
      </c>
      <c r="H14" t="s">
        <v>78</v>
      </c>
      <c r="N14" t="s">
        <v>28</v>
      </c>
      <c r="O14" t="str">
        <f>$M$11&amp;N14</f>
        <v>FrancePayPal</v>
      </c>
      <c r="P14">
        <f>COUNTIF(F:F,O14)</f>
        <v>40</v>
      </c>
      <c r="R14" t="str">
        <f t="shared" si="2"/>
        <v>France</v>
      </c>
      <c r="S14" t="s">
        <v>28</v>
      </c>
      <c r="T14" t="s">
        <v>804</v>
      </c>
      <c r="U14">
        <v>40</v>
      </c>
    </row>
    <row r="15" spans="1:31">
      <c r="A15">
        <v>9966</v>
      </c>
      <c r="B15" t="s">
        <v>88</v>
      </c>
      <c r="C15" t="s">
        <v>49</v>
      </c>
      <c r="D15" t="s">
        <v>75</v>
      </c>
      <c r="E15">
        <v>7.99</v>
      </c>
      <c r="F15" t="str">
        <f>C15&amp;D15</f>
        <v>UKCryptocurrency</v>
      </c>
      <c r="G15">
        <v>451</v>
      </c>
      <c r="H15" t="s">
        <v>64</v>
      </c>
      <c r="M15" t="s">
        <v>74</v>
      </c>
      <c r="N15" t="s">
        <v>56</v>
      </c>
      <c r="O15" t="str">
        <f>$M$15&amp;N15</f>
        <v>GermanyCredit Card</v>
      </c>
      <c r="P15">
        <f>COUNTIF(F:F,O15)</f>
        <v>31</v>
      </c>
      <c r="R15" t="s">
        <v>74</v>
      </c>
      <c r="S15" t="s">
        <v>56</v>
      </c>
      <c r="T15" t="s">
        <v>805</v>
      </c>
      <c r="U15">
        <v>31</v>
      </c>
    </row>
    <row r="16" spans="1:31">
      <c r="A16">
        <v>7093</v>
      </c>
      <c r="B16" t="s">
        <v>91</v>
      </c>
      <c r="C16" t="s">
        <v>92</v>
      </c>
      <c r="D16" t="s">
        <v>28</v>
      </c>
      <c r="E16">
        <v>7.99</v>
      </c>
      <c r="F16" t="str">
        <f>C16&amp;D16</f>
        <v>FrancePayPal</v>
      </c>
      <c r="G16">
        <v>69</v>
      </c>
      <c r="H16" t="s">
        <v>37</v>
      </c>
      <c r="N16" t="s">
        <v>75</v>
      </c>
      <c r="O16" t="str">
        <f>$M$15&amp;N16</f>
        <v>GermanyCryptocurrency</v>
      </c>
      <c r="P16">
        <f>COUNTIF(F:F,O16)</f>
        <v>35</v>
      </c>
      <c r="R16" t="str">
        <f t="shared" ref="R16:R18" si="3">R15</f>
        <v>Germany</v>
      </c>
      <c r="S16" t="s">
        <v>75</v>
      </c>
      <c r="T16" t="s">
        <v>806</v>
      </c>
      <c r="U16">
        <v>35</v>
      </c>
    </row>
    <row r="17" spans="1:21">
      <c r="A17">
        <v>4351</v>
      </c>
      <c r="B17" t="s">
        <v>94</v>
      </c>
      <c r="C17" t="s">
        <v>27</v>
      </c>
      <c r="D17" t="s">
        <v>28</v>
      </c>
      <c r="E17">
        <v>11.99</v>
      </c>
      <c r="F17" t="str">
        <f>C17&amp;D17</f>
        <v>USAPayPal</v>
      </c>
      <c r="G17">
        <v>166</v>
      </c>
      <c r="H17" t="s">
        <v>37</v>
      </c>
      <c r="N17" t="s">
        <v>44</v>
      </c>
      <c r="O17" t="str">
        <f>$M$15&amp;N17</f>
        <v>GermanyDebit Card</v>
      </c>
      <c r="P17">
        <f>COUNTIF(F:F,O17)</f>
        <v>43</v>
      </c>
      <c r="R17" t="str">
        <f t="shared" si="3"/>
        <v>Germany</v>
      </c>
      <c r="S17" t="s">
        <v>44</v>
      </c>
      <c r="T17" t="s">
        <v>807</v>
      </c>
      <c r="U17">
        <v>43</v>
      </c>
    </row>
    <row r="18" spans="1:21">
      <c r="A18">
        <v>6007</v>
      </c>
      <c r="B18" t="s">
        <v>96</v>
      </c>
      <c r="C18" t="s">
        <v>74</v>
      </c>
      <c r="D18" t="s">
        <v>44</v>
      </c>
      <c r="E18">
        <v>7.99</v>
      </c>
      <c r="F18" t="str">
        <f>C18&amp;D18</f>
        <v>GermanyDebit Card</v>
      </c>
      <c r="G18">
        <v>449</v>
      </c>
      <c r="H18" t="s">
        <v>57</v>
      </c>
      <c r="N18" t="s">
        <v>28</v>
      </c>
      <c r="O18" t="str">
        <f>$M$15&amp;N18</f>
        <v>GermanyPayPal</v>
      </c>
      <c r="P18">
        <f>COUNTIF(F:F,O18)</f>
        <v>37</v>
      </c>
      <c r="R18" t="str">
        <f t="shared" si="3"/>
        <v>Germany</v>
      </c>
      <c r="S18" t="s">
        <v>28</v>
      </c>
      <c r="T18" t="s">
        <v>808</v>
      </c>
      <c r="U18">
        <v>37</v>
      </c>
    </row>
    <row r="19" spans="1:21">
      <c r="A19">
        <v>9710</v>
      </c>
      <c r="B19" t="s">
        <v>98</v>
      </c>
      <c r="C19" t="s">
        <v>74</v>
      </c>
      <c r="D19" t="s">
        <v>28</v>
      </c>
      <c r="E19">
        <v>7.99</v>
      </c>
      <c r="F19" t="str">
        <f>C19&amp;D19</f>
        <v>GermanyPayPal</v>
      </c>
      <c r="G19">
        <v>441</v>
      </c>
      <c r="H19" t="s">
        <v>45</v>
      </c>
      <c r="M19" t="s">
        <v>55</v>
      </c>
      <c r="N19" t="s">
        <v>56</v>
      </c>
      <c r="O19" t="str">
        <f>$M$19&amp;N19</f>
        <v>IndiaCredit Card</v>
      </c>
      <c r="P19">
        <f>COUNTIF(F:F,O19)</f>
        <v>25</v>
      </c>
      <c r="R19" t="s">
        <v>55</v>
      </c>
      <c r="S19" t="s">
        <v>56</v>
      </c>
      <c r="T19" t="s">
        <v>809</v>
      </c>
      <c r="U19">
        <v>25</v>
      </c>
    </row>
    <row r="20" spans="1:21">
      <c r="A20">
        <v>9034</v>
      </c>
      <c r="B20" t="s">
        <v>101</v>
      </c>
      <c r="C20" t="s">
        <v>43</v>
      </c>
      <c r="D20" t="s">
        <v>44</v>
      </c>
      <c r="E20">
        <v>15.99</v>
      </c>
      <c r="F20" t="str">
        <f>C20&amp;D20</f>
        <v>CanadaDebit Card</v>
      </c>
      <c r="G20">
        <v>224</v>
      </c>
      <c r="H20" t="s">
        <v>45</v>
      </c>
      <c r="N20" t="s">
        <v>75</v>
      </c>
      <c r="O20" t="str">
        <f>$M$19&amp;N20</f>
        <v>IndiaCryptocurrency</v>
      </c>
      <c r="P20">
        <f>COUNTIF(F:F,O20)</f>
        <v>29</v>
      </c>
      <c r="R20" t="str">
        <f t="shared" ref="R20:R22" si="4">R19</f>
        <v>India</v>
      </c>
      <c r="S20" t="s">
        <v>75</v>
      </c>
      <c r="T20" t="s">
        <v>810</v>
      </c>
      <c r="U20">
        <v>29</v>
      </c>
    </row>
    <row r="21" spans="1:21">
      <c r="A21">
        <v>6197</v>
      </c>
      <c r="B21" t="s">
        <v>104</v>
      </c>
      <c r="C21" t="s">
        <v>55</v>
      </c>
      <c r="D21" t="s">
        <v>28</v>
      </c>
      <c r="E21">
        <v>15.99</v>
      </c>
      <c r="F21" t="str">
        <f>C21&amp;D21</f>
        <v>IndiaPayPal</v>
      </c>
      <c r="G21">
        <v>44</v>
      </c>
      <c r="H21" t="s">
        <v>78</v>
      </c>
      <c r="N21" t="s">
        <v>44</v>
      </c>
      <c r="O21" t="str">
        <f>$M$19&amp;N21</f>
        <v>IndiaDebit Card</v>
      </c>
      <c r="P21">
        <f>COUNTIF(F:F,O21)</f>
        <v>39</v>
      </c>
      <c r="R21" t="str">
        <f t="shared" si="4"/>
        <v>India</v>
      </c>
      <c r="S21" t="s">
        <v>44</v>
      </c>
      <c r="T21" t="s">
        <v>811</v>
      </c>
      <c r="U21">
        <v>39</v>
      </c>
    </row>
    <row r="22" spans="1:21">
      <c r="A22">
        <v>2820</v>
      </c>
      <c r="B22" t="s">
        <v>106</v>
      </c>
      <c r="C22" t="s">
        <v>27</v>
      </c>
      <c r="D22" t="s">
        <v>75</v>
      </c>
      <c r="E22">
        <v>7.99</v>
      </c>
      <c r="F22" t="str">
        <f>C22&amp;D22</f>
        <v>USACryptocurrency</v>
      </c>
      <c r="G22">
        <v>202</v>
      </c>
      <c r="H22" t="s">
        <v>57</v>
      </c>
      <c r="N22" t="s">
        <v>28</v>
      </c>
      <c r="O22" t="str">
        <f>$M$19&amp;N22</f>
        <v>IndiaPayPal</v>
      </c>
      <c r="P22">
        <f>COUNTIF(F:F,O22)</f>
        <v>23</v>
      </c>
      <c r="R22" t="str">
        <f t="shared" si="4"/>
        <v>India</v>
      </c>
      <c r="S22" t="s">
        <v>28</v>
      </c>
      <c r="T22" t="s">
        <v>812</v>
      </c>
      <c r="U22">
        <v>23</v>
      </c>
    </row>
    <row r="23" spans="1:21">
      <c r="A23">
        <v>1101</v>
      </c>
      <c r="B23" t="s">
        <v>52</v>
      </c>
      <c r="C23" t="s">
        <v>68</v>
      </c>
      <c r="D23" t="s">
        <v>28</v>
      </c>
      <c r="E23">
        <v>15.99</v>
      </c>
      <c r="F23" t="str">
        <f>C23&amp;D23</f>
        <v>AustraliaPayPal</v>
      </c>
      <c r="G23">
        <v>39</v>
      </c>
      <c r="H23" t="s">
        <v>45</v>
      </c>
      <c r="M23" t="s">
        <v>49</v>
      </c>
      <c r="N23" t="s">
        <v>56</v>
      </c>
      <c r="O23" t="str">
        <f>$M$23&amp;N23</f>
        <v>UKCredit Card</v>
      </c>
      <c r="P23">
        <f>COUNTIF(F:F,O23)</f>
        <v>33</v>
      </c>
      <c r="R23" t="s">
        <v>49</v>
      </c>
      <c r="S23" t="s">
        <v>56</v>
      </c>
      <c r="T23" t="s">
        <v>813</v>
      </c>
      <c r="U23">
        <v>33</v>
      </c>
    </row>
    <row r="24" spans="1:21">
      <c r="A24">
        <v>1650</v>
      </c>
      <c r="B24" t="s">
        <v>98</v>
      </c>
      <c r="C24" t="s">
        <v>92</v>
      </c>
      <c r="D24" t="s">
        <v>75</v>
      </c>
      <c r="E24">
        <v>15.99</v>
      </c>
      <c r="F24" t="str">
        <f>C24&amp;D24</f>
        <v>FranceCryptocurrency</v>
      </c>
      <c r="G24">
        <v>319</v>
      </c>
      <c r="H24" t="s">
        <v>45</v>
      </c>
      <c r="N24" t="s">
        <v>75</v>
      </c>
      <c r="O24" t="str">
        <f>$M$23&amp;N24</f>
        <v>UKCryptocurrency</v>
      </c>
      <c r="P24">
        <f>COUNTIF(F:F,O24)</f>
        <v>38</v>
      </c>
      <c r="R24" t="str">
        <f t="shared" ref="R24:R26" si="5">R23</f>
        <v>UK</v>
      </c>
      <c r="S24" t="s">
        <v>75</v>
      </c>
      <c r="T24" t="s">
        <v>814</v>
      </c>
      <c r="U24">
        <v>38</v>
      </c>
    </row>
    <row r="25" spans="1:21">
      <c r="A25">
        <v>4884</v>
      </c>
      <c r="B25" t="s">
        <v>110</v>
      </c>
      <c r="C25" t="s">
        <v>43</v>
      </c>
      <c r="D25" t="s">
        <v>44</v>
      </c>
      <c r="E25">
        <v>15.99</v>
      </c>
      <c r="F25" t="str">
        <f>C25&amp;D25</f>
        <v>CanadaDebit Card</v>
      </c>
      <c r="G25">
        <v>150</v>
      </c>
      <c r="H25" t="s">
        <v>37</v>
      </c>
      <c r="N25" t="s">
        <v>44</v>
      </c>
      <c r="O25" t="str">
        <f>$M$23&amp;N25</f>
        <v>UKDebit Card</v>
      </c>
      <c r="P25">
        <f>COUNTIF(F:F,O25)</f>
        <v>31</v>
      </c>
      <c r="R25" t="str">
        <f t="shared" si="5"/>
        <v>UK</v>
      </c>
      <c r="S25" t="s">
        <v>44</v>
      </c>
      <c r="T25" t="s">
        <v>815</v>
      </c>
      <c r="U25">
        <v>31</v>
      </c>
    </row>
    <row r="26" spans="1:21">
      <c r="A26">
        <v>8321</v>
      </c>
      <c r="B26" t="s">
        <v>112</v>
      </c>
      <c r="C26" t="s">
        <v>55</v>
      </c>
      <c r="D26" t="s">
        <v>56</v>
      </c>
      <c r="E26">
        <v>11.99</v>
      </c>
      <c r="F26" t="str">
        <f>C26&amp;D26</f>
        <v>IndiaCredit Card</v>
      </c>
      <c r="G26">
        <v>496</v>
      </c>
      <c r="H26" t="s">
        <v>64</v>
      </c>
      <c r="N26" t="s">
        <v>28</v>
      </c>
      <c r="O26" t="str">
        <f>$M$23&amp;N26</f>
        <v>UKPayPal</v>
      </c>
      <c r="P26">
        <f>COUNTIF(F:F,O26)</f>
        <v>48</v>
      </c>
      <c r="R26" t="str">
        <f t="shared" si="5"/>
        <v>UK</v>
      </c>
      <c r="S26" t="s">
        <v>28</v>
      </c>
      <c r="T26" t="s">
        <v>816</v>
      </c>
      <c r="U26">
        <v>48</v>
      </c>
    </row>
    <row r="27" spans="1:21">
      <c r="A27">
        <v>2381</v>
      </c>
      <c r="B27" t="s">
        <v>114</v>
      </c>
      <c r="C27" t="s">
        <v>27</v>
      </c>
      <c r="D27" t="s">
        <v>56</v>
      </c>
      <c r="E27">
        <v>7.99</v>
      </c>
      <c r="F27" t="str">
        <f>C27&amp;D27</f>
        <v>USACredit Card</v>
      </c>
      <c r="G27">
        <v>347</v>
      </c>
      <c r="H27" t="s">
        <v>37</v>
      </c>
      <c r="M27" t="s">
        <v>27</v>
      </c>
      <c r="N27" t="s">
        <v>56</v>
      </c>
      <c r="O27" t="str">
        <f>$M$27&amp;N27</f>
        <v>USACredit Card</v>
      </c>
      <c r="P27">
        <f>COUNTIF(F:F,O27)</f>
        <v>44</v>
      </c>
      <c r="R27" t="s">
        <v>27</v>
      </c>
      <c r="S27" t="s">
        <v>56</v>
      </c>
      <c r="T27" t="s">
        <v>817</v>
      </c>
      <c r="U27">
        <v>44</v>
      </c>
    </row>
    <row r="28" spans="1:21">
      <c r="A28">
        <v>9507</v>
      </c>
      <c r="B28" t="s">
        <v>116</v>
      </c>
      <c r="C28" t="s">
        <v>27</v>
      </c>
      <c r="D28" t="s">
        <v>75</v>
      </c>
      <c r="E28">
        <v>11.99</v>
      </c>
      <c r="F28" t="str">
        <f>C28&amp;D28</f>
        <v>USACryptocurrency</v>
      </c>
      <c r="G28">
        <v>201</v>
      </c>
      <c r="H28" t="s">
        <v>78</v>
      </c>
      <c r="N28" t="s">
        <v>75</v>
      </c>
      <c r="O28" t="str">
        <f>$M$27&amp;N28</f>
        <v>USACryptocurrency</v>
      </c>
      <c r="P28">
        <f>COUNTIF(F:F,O28)</f>
        <v>40</v>
      </c>
      <c r="R28" t="str">
        <f t="shared" ref="R28:R30" si="6">R27</f>
        <v>USA</v>
      </c>
      <c r="S28" t="s">
        <v>75</v>
      </c>
      <c r="T28" t="s">
        <v>818</v>
      </c>
      <c r="U28">
        <v>40</v>
      </c>
    </row>
    <row r="29" spans="1:21">
      <c r="A29">
        <v>2851</v>
      </c>
      <c r="B29" t="s">
        <v>118</v>
      </c>
      <c r="C29" t="s">
        <v>68</v>
      </c>
      <c r="D29" t="s">
        <v>75</v>
      </c>
      <c r="E29">
        <v>15.99</v>
      </c>
      <c r="F29" t="str">
        <f>C29&amp;D29</f>
        <v>AustraliaCryptocurrency</v>
      </c>
      <c r="G29">
        <v>415</v>
      </c>
      <c r="H29" t="s">
        <v>57</v>
      </c>
      <c r="N29" t="s">
        <v>44</v>
      </c>
      <c r="O29" t="str">
        <f>$M$27&amp;N29</f>
        <v>USADebit Card</v>
      </c>
      <c r="P29">
        <f>COUNTIF(F:F,O29)</f>
        <v>31</v>
      </c>
      <c r="R29" t="str">
        <f t="shared" si="6"/>
        <v>USA</v>
      </c>
      <c r="S29" t="s">
        <v>44</v>
      </c>
      <c r="T29" t="s">
        <v>819</v>
      </c>
      <c r="U29">
        <v>31</v>
      </c>
    </row>
    <row r="30" spans="1:21">
      <c r="A30">
        <v>4083</v>
      </c>
      <c r="B30" t="s">
        <v>120</v>
      </c>
      <c r="C30" t="s">
        <v>92</v>
      </c>
      <c r="D30" t="s">
        <v>56</v>
      </c>
      <c r="E30">
        <v>11.99</v>
      </c>
      <c r="F30" t="str">
        <f>C30&amp;D30</f>
        <v>FranceCredit Card</v>
      </c>
      <c r="G30">
        <v>32</v>
      </c>
      <c r="H30" t="s">
        <v>64</v>
      </c>
      <c r="N30" t="s">
        <v>28</v>
      </c>
      <c r="O30" t="str">
        <f>$M$27&amp;N30</f>
        <v>USAPayPal</v>
      </c>
      <c r="P30">
        <f>COUNTIF(F:F,O30)</f>
        <v>43</v>
      </c>
      <c r="R30" t="str">
        <f t="shared" si="6"/>
        <v>USA</v>
      </c>
      <c r="S30" t="s">
        <v>28</v>
      </c>
      <c r="T30" t="s">
        <v>820</v>
      </c>
      <c r="U30">
        <v>43</v>
      </c>
    </row>
    <row r="31" spans="1:21">
      <c r="A31">
        <v>4608</v>
      </c>
      <c r="B31" t="s">
        <v>122</v>
      </c>
      <c r="C31" t="s">
        <v>49</v>
      </c>
      <c r="D31" t="s">
        <v>75</v>
      </c>
      <c r="E31">
        <v>11.99</v>
      </c>
      <c r="F31" t="str">
        <f>C31&amp;D31</f>
        <v>UKCryptocurrency</v>
      </c>
      <c r="G31">
        <v>338</v>
      </c>
      <c r="H31" t="s">
        <v>57</v>
      </c>
      <c r="M31" t="s">
        <v>737</v>
      </c>
      <c r="R31" t="s">
        <v>737</v>
      </c>
    </row>
    <row r="32" spans="1:21">
      <c r="A32">
        <v>4815</v>
      </c>
      <c r="B32" t="s">
        <v>124</v>
      </c>
      <c r="C32" t="s">
        <v>27</v>
      </c>
      <c r="D32" t="s">
        <v>28</v>
      </c>
      <c r="E32">
        <v>7.99</v>
      </c>
      <c r="F32" t="str">
        <f>C32&amp;D32</f>
        <v>USAPayPal</v>
      </c>
      <c r="G32">
        <v>52</v>
      </c>
      <c r="H32" t="s">
        <v>57</v>
      </c>
    </row>
    <row r="33" spans="1:17">
      <c r="A33">
        <v>9597</v>
      </c>
      <c r="B33" t="s">
        <v>125</v>
      </c>
      <c r="C33" t="s">
        <v>74</v>
      </c>
      <c r="D33" t="s">
        <v>44</v>
      </c>
      <c r="E33">
        <v>11.99</v>
      </c>
      <c r="F33" t="str">
        <f>C33&amp;D33</f>
        <v>GermanyDebit Card</v>
      </c>
      <c r="G33">
        <v>447</v>
      </c>
      <c r="H33" t="s">
        <v>29</v>
      </c>
    </row>
    <row r="34" spans="1:17">
      <c r="A34">
        <v>6566</v>
      </c>
      <c r="B34" t="s">
        <v>126</v>
      </c>
      <c r="C34" t="s">
        <v>74</v>
      </c>
      <c r="D34" t="s">
        <v>44</v>
      </c>
      <c r="E34">
        <v>11.99</v>
      </c>
      <c r="F34" t="str">
        <f>C34&amp;D34</f>
        <v>GermanyDebit Card</v>
      </c>
      <c r="G34">
        <v>312</v>
      </c>
      <c r="H34" t="s">
        <v>57</v>
      </c>
    </row>
    <row r="35" spans="1:17">
      <c r="A35">
        <v>1419</v>
      </c>
      <c r="B35" t="s">
        <v>128</v>
      </c>
      <c r="C35" t="s">
        <v>55</v>
      </c>
      <c r="D35" t="s">
        <v>75</v>
      </c>
      <c r="E35">
        <v>11.99</v>
      </c>
      <c r="F35" t="str">
        <f>C35&amp;D35</f>
        <v>IndiaCryptocurrency</v>
      </c>
      <c r="G35">
        <v>406</v>
      </c>
      <c r="H35" t="s">
        <v>37</v>
      </c>
      <c r="M35" s="4" t="s">
        <v>822</v>
      </c>
      <c r="N35" s="4" t="s">
        <v>791</v>
      </c>
    </row>
    <row r="36" spans="1:17">
      <c r="A36">
        <v>9470</v>
      </c>
      <c r="B36" t="s">
        <v>130</v>
      </c>
      <c r="C36" t="s">
        <v>92</v>
      </c>
      <c r="D36" t="s">
        <v>56</v>
      </c>
      <c r="E36">
        <v>7.99</v>
      </c>
      <c r="F36" t="str">
        <f>C36&amp;D36</f>
        <v>FranceCredit Card</v>
      </c>
      <c r="G36">
        <v>350</v>
      </c>
      <c r="H36" t="s">
        <v>45</v>
      </c>
      <c r="M36" s="4" t="s">
        <v>790</v>
      </c>
      <c r="N36">
        <v>7.99</v>
      </c>
      <c r="O36">
        <v>11.99</v>
      </c>
      <c r="P36">
        <v>15.99</v>
      </c>
      <c r="Q36" t="s">
        <v>737</v>
      </c>
    </row>
    <row r="37" spans="1:17">
      <c r="A37">
        <v>4989</v>
      </c>
      <c r="B37" t="s">
        <v>132</v>
      </c>
      <c r="C37" t="s">
        <v>27</v>
      </c>
      <c r="D37" t="s">
        <v>28</v>
      </c>
      <c r="E37">
        <v>7.99</v>
      </c>
      <c r="F37" t="str">
        <f>C37&amp;D37</f>
        <v>USAPayPal</v>
      </c>
      <c r="G37">
        <v>99</v>
      </c>
      <c r="H37" t="s">
        <v>29</v>
      </c>
      <c r="M37" s="5" t="s">
        <v>68</v>
      </c>
      <c r="N37" s="44">
        <v>39</v>
      </c>
      <c r="O37" s="44">
        <v>50</v>
      </c>
      <c r="P37" s="45">
        <v>51</v>
      </c>
      <c r="Q37" s="44">
        <v>140</v>
      </c>
    </row>
    <row r="38" spans="1:17">
      <c r="A38">
        <v>9389</v>
      </c>
      <c r="B38" t="s">
        <v>133</v>
      </c>
      <c r="C38" t="s">
        <v>55</v>
      </c>
      <c r="D38" t="s">
        <v>56</v>
      </c>
      <c r="E38">
        <v>15.99</v>
      </c>
      <c r="F38" t="str">
        <f>C38&amp;D38</f>
        <v>IndiaCredit Card</v>
      </c>
      <c r="G38">
        <v>53</v>
      </c>
      <c r="H38" t="s">
        <v>45</v>
      </c>
      <c r="M38" s="5" t="s">
        <v>43</v>
      </c>
      <c r="N38" s="44">
        <v>46</v>
      </c>
      <c r="O38" s="44">
        <v>44</v>
      </c>
      <c r="P38" s="45">
        <v>49</v>
      </c>
      <c r="Q38" s="44">
        <v>139</v>
      </c>
    </row>
    <row r="39" spans="1:17">
      <c r="A39">
        <v>7728</v>
      </c>
      <c r="B39" t="s">
        <v>135</v>
      </c>
      <c r="C39" t="s">
        <v>49</v>
      </c>
      <c r="D39" t="s">
        <v>28</v>
      </c>
      <c r="E39">
        <v>11.99</v>
      </c>
      <c r="F39" t="str">
        <f>C39&amp;D39</f>
        <v>UKPayPal</v>
      </c>
      <c r="G39">
        <v>484</v>
      </c>
      <c r="H39" t="s">
        <v>37</v>
      </c>
      <c r="M39" s="5" t="s">
        <v>92</v>
      </c>
      <c r="N39" s="45">
        <v>54</v>
      </c>
      <c r="O39" s="44">
        <v>50</v>
      </c>
      <c r="P39" s="44">
        <v>47</v>
      </c>
      <c r="Q39" s="44">
        <v>151</v>
      </c>
    </row>
    <row r="40" spans="1:17">
      <c r="A40">
        <v>7943</v>
      </c>
      <c r="B40" t="s">
        <v>137</v>
      </c>
      <c r="C40" t="s">
        <v>68</v>
      </c>
      <c r="D40" t="s">
        <v>56</v>
      </c>
      <c r="E40">
        <v>15.99</v>
      </c>
      <c r="F40" t="str">
        <f>C40&amp;D40</f>
        <v>AustraliaCredit Card</v>
      </c>
      <c r="G40">
        <v>211</v>
      </c>
      <c r="H40" t="s">
        <v>29</v>
      </c>
      <c r="M40" s="5" t="s">
        <v>74</v>
      </c>
      <c r="N40" s="44">
        <v>49</v>
      </c>
      <c r="O40" s="45">
        <v>51</v>
      </c>
      <c r="P40" s="44">
        <v>46</v>
      </c>
      <c r="Q40" s="44">
        <v>146</v>
      </c>
    </row>
    <row r="41" spans="1:17">
      <c r="A41">
        <v>2490</v>
      </c>
      <c r="B41" t="s">
        <v>138</v>
      </c>
      <c r="C41" t="s">
        <v>55</v>
      </c>
      <c r="D41" t="s">
        <v>44</v>
      </c>
      <c r="E41">
        <v>11.99</v>
      </c>
      <c r="F41" t="str">
        <f>C41&amp;D41</f>
        <v>IndiaDebit Card</v>
      </c>
      <c r="G41">
        <v>248</v>
      </c>
      <c r="H41" t="s">
        <v>57</v>
      </c>
      <c r="M41" s="5" t="s">
        <v>55</v>
      </c>
      <c r="N41" s="44">
        <v>34</v>
      </c>
      <c r="O41" s="45">
        <v>45</v>
      </c>
      <c r="P41" s="44">
        <v>37</v>
      </c>
      <c r="Q41" s="44">
        <v>116</v>
      </c>
    </row>
    <row r="42" spans="1:17">
      <c r="A42">
        <v>5042</v>
      </c>
      <c r="B42" t="s">
        <v>140</v>
      </c>
      <c r="C42" t="s">
        <v>68</v>
      </c>
      <c r="D42" t="s">
        <v>75</v>
      </c>
      <c r="E42">
        <v>15.99</v>
      </c>
      <c r="F42" t="str">
        <f>C42&amp;D42</f>
        <v>AustraliaCryptocurrency</v>
      </c>
      <c r="G42">
        <v>197</v>
      </c>
      <c r="H42" t="s">
        <v>45</v>
      </c>
      <c r="M42" s="5" t="s">
        <v>49</v>
      </c>
      <c r="N42" s="44">
        <v>48</v>
      </c>
      <c r="O42" s="45">
        <v>52</v>
      </c>
      <c r="P42" s="44">
        <v>50</v>
      </c>
      <c r="Q42" s="44">
        <v>150</v>
      </c>
    </row>
    <row r="43" spans="1:17">
      <c r="A43">
        <v>3620</v>
      </c>
      <c r="B43" t="s">
        <v>142</v>
      </c>
      <c r="C43" t="s">
        <v>27</v>
      </c>
      <c r="D43" t="s">
        <v>44</v>
      </c>
      <c r="E43">
        <v>15.99</v>
      </c>
      <c r="F43" t="str">
        <f>C43&amp;D43</f>
        <v>USADebit Card</v>
      </c>
      <c r="G43">
        <v>253</v>
      </c>
      <c r="H43" t="s">
        <v>78</v>
      </c>
      <c r="M43" s="5" t="s">
        <v>27</v>
      </c>
      <c r="N43" s="45">
        <v>53</v>
      </c>
      <c r="O43" s="45">
        <v>53</v>
      </c>
      <c r="P43" s="44">
        <v>52</v>
      </c>
      <c r="Q43" s="45">
        <v>158</v>
      </c>
    </row>
    <row r="44" spans="1:17">
      <c r="A44">
        <v>8976</v>
      </c>
      <c r="B44" t="s">
        <v>143</v>
      </c>
      <c r="C44" t="s">
        <v>92</v>
      </c>
      <c r="D44" t="s">
        <v>56</v>
      </c>
      <c r="E44">
        <v>7.99</v>
      </c>
      <c r="F44" t="str">
        <f>C44&amp;D44</f>
        <v>FranceCredit Card</v>
      </c>
      <c r="G44">
        <v>352</v>
      </c>
      <c r="H44" t="s">
        <v>78</v>
      </c>
      <c r="M44" s="5" t="s">
        <v>737</v>
      </c>
      <c r="N44" s="44">
        <v>323</v>
      </c>
      <c r="O44" s="44">
        <v>345</v>
      </c>
      <c r="P44" s="44">
        <v>332</v>
      </c>
      <c r="Q44" s="44">
        <v>1000</v>
      </c>
    </row>
    <row r="45" spans="1:17">
      <c r="A45">
        <v>1570</v>
      </c>
      <c r="B45" t="s">
        <v>138</v>
      </c>
      <c r="C45" t="s">
        <v>49</v>
      </c>
      <c r="D45" t="s">
        <v>44</v>
      </c>
      <c r="E45">
        <v>11.99</v>
      </c>
      <c r="F45" t="str">
        <f>C45&amp;D45</f>
        <v>UKDebit Card</v>
      </c>
      <c r="G45">
        <v>97</v>
      </c>
      <c r="H45" t="s">
        <v>57</v>
      </c>
    </row>
    <row r="46" spans="1:17">
      <c r="A46">
        <v>7709</v>
      </c>
      <c r="B46" t="s">
        <v>146</v>
      </c>
      <c r="C46" t="s">
        <v>68</v>
      </c>
      <c r="D46" t="s">
        <v>44</v>
      </c>
      <c r="E46">
        <v>11.99</v>
      </c>
      <c r="F46" t="str">
        <f>C46&amp;D46</f>
        <v>AustraliaDebit Card</v>
      </c>
      <c r="G46">
        <v>283</v>
      </c>
      <c r="H46" t="s">
        <v>37</v>
      </c>
    </row>
    <row r="47" spans="1:17">
      <c r="A47">
        <v>9503</v>
      </c>
      <c r="B47" t="s">
        <v>147</v>
      </c>
      <c r="C47" t="s">
        <v>92</v>
      </c>
      <c r="D47" t="s">
        <v>75</v>
      </c>
      <c r="E47">
        <v>11.99</v>
      </c>
      <c r="F47" t="str">
        <f>C47&amp;D47</f>
        <v>FranceCryptocurrency</v>
      </c>
      <c r="G47">
        <v>307</v>
      </c>
      <c r="H47" t="s">
        <v>29</v>
      </c>
    </row>
    <row r="48" spans="1:17">
      <c r="A48">
        <v>9564</v>
      </c>
      <c r="B48" t="s">
        <v>148</v>
      </c>
      <c r="C48" t="s">
        <v>68</v>
      </c>
      <c r="D48" t="s">
        <v>75</v>
      </c>
      <c r="E48">
        <v>15.99</v>
      </c>
      <c r="F48" t="str">
        <f>C48&amp;D48</f>
        <v>AustraliaCryptocurrency</v>
      </c>
      <c r="G48">
        <v>203</v>
      </c>
      <c r="H48" t="s">
        <v>57</v>
      </c>
      <c r="M48" s="4" t="s">
        <v>790</v>
      </c>
      <c r="N48" t="s">
        <v>823</v>
      </c>
    </row>
    <row r="49" spans="1:14">
      <c r="A49">
        <v>8934</v>
      </c>
      <c r="B49" t="s">
        <v>150</v>
      </c>
      <c r="C49" t="s">
        <v>43</v>
      </c>
      <c r="D49" t="s">
        <v>75</v>
      </c>
      <c r="E49">
        <v>7.99</v>
      </c>
      <c r="F49" t="str">
        <f>C49&amp;D49</f>
        <v>CanadaCryptocurrency</v>
      </c>
      <c r="G49">
        <v>22</v>
      </c>
      <c r="H49" t="s">
        <v>57</v>
      </c>
      <c r="M49" s="5" t="s">
        <v>64</v>
      </c>
      <c r="N49" s="44">
        <v>41728</v>
      </c>
    </row>
    <row r="50" spans="1:14">
      <c r="A50">
        <v>1222</v>
      </c>
      <c r="B50" t="s">
        <v>152</v>
      </c>
      <c r="C50" t="s">
        <v>43</v>
      </c>
      <c r="D50" t="s">
        <v>28</v>
      </c>
      <c r="E50">
        <v>15.99</v>
      </c>
      <c r="F50" t="str">
        <f>C50&amp;D50</f>
        <v>CanadaPayPal</v>
      </c>
      <c r="G50">
        <v>382</v>
      </c>
      <c r="H50" t="s">
        <v>29</v>
      </c>
      <c r="M50" s="5" t="s">
        <v>78</v>
      </c>
      <c r="N50" s="44">
        <v>46762</v>
      </c>
    </row>
    <row r="51" spans="1:14">
      <c r="A51">
        <v>5762</v>
      </c>
      <c r="B51" t="s">
        <v>153</v>
      </c>
      <c r="C51" t="s">
        <v>92</v>
      </c>
      <c r="D51" t="s">
        <v>44</v>
      </c>
      <c r="E51">
        <v>11.99</v>
      </c>
      <c r="F51" t="str">
        <f>C51&amp;D51</f>
        <v>FranceDebit Card</v>
      </c>
      <c r="G51">
        <v>302</v>
      </c>
      <c r="H51" t="s">
        <v>45</v>
      </c>
      <c r="M51" s="5" t="s">
        <v>37</v>
      </c>
      <c r="N51" s="44">
        <v>40881</v>
      </c>
    </row>
    <row r="52" spans="1:14">
      <c r="A52">
        <v>4066</v>
      </c>
      <c r="B52" t="s">
        <v>143</v>
      </c>
      <c r="C52" t="s">
        <v>49</v>
      </c>
      <c r="D52" t="s">
        <v>56</v>
      </c>
      <c r="E52">
        <v>11.99</v>
      </c>
      <c r="F52" t="str">
        <f>C52&amp;D52</f>
        <v>UKCredit Card</v>
      </c>
      <c r="G52">
        <v>76</v>
      </c>
      <c r="H52" t="s">
        <v>37</v>
      </c>
      <c r="M52" s="5" t="s">
        <v>29</v>
      </c>
      <c r="N52" s="44">
        <v>41044</v>
      </c>
    </row>
    <row r="53" spans="1:14">
      <c r="A53">
        <v>6469</v>
      </c>
      <c r="B53" t="s">
        <v>98</v>
      </c>
      <c r="C53" t="s">
        <v>68</v>
      </c>
      <c r="D53" t="s">
        <v>28</v>
      </c>
      <c r="E53">
        <v>11.99</v>
      </c>
      <c r="F53" t="str">
        <f>C53&amp;D53</f>
        <v>AustraliaPayPal</v>
      </c>
      <c r="G53">
        <v>125</v>
      </c>
      <c r="H53" t="s">
        <v>37</v>
      </c>
      <c r="M53" s="5" t="s">
        <v>45</v>
      </c>
      <c r="N53" s="44">
        <v>43557</v>
      </c>
    </row>
    <row r="54" spans="1:14">
      <c r="A54">
        <v>1364</v>
      </c>
      <c r="B54" t="s">
        <v>157</v>
      </c>
      <c r="C54" t="s">
        <v>49</v>
      </c>
      <c r="D54" t="s">
        <v>56</v>
      </c>
      <c r="E54">
        <v>11.99</v>
      </c>
      <c r="F54" t="str">
        <f>C54&amp;D54</f>
        <v>UKCredit Card</v>
      </c>
      <c r="G54">
        <v>113</v>
      </c>
      <c r="H54" t="s">
        <v>37</v>
      </c>
      <c r="M54" s="5" t="s">
        <v>57</v>
      </c>
      <c r="N54" s="44">
        <v>40544</v>
      </c>
    </row>
    <row r="55" spans="1:14">
      <c r="A55">
        <v>4197</v>
      </c>
      <c r="B55" t="s">
        <v>143</v>
      </c>
      <c r="C55" t="s">
        <v>43</v>
      </c>
      <c r="D55" t="s">
        <v>44</v>
      </c>
      <c r="E55">
        <v>15.99</v>
      </c>
      <c r="F55" t="str">
        <f>C55&amp;D55</f>
        <v>CanadaDebit Card</v>
      </c>
      <c r="G55">
        <v>183</v>
      </c>
      <c r="H55" t="s">
        <v>29</v>
      </c>
      <c r="M55" s="5" t="s">
        <v>737</v>
      </c>
      <c r="N55" s="44">
        <v>254516</v>
      </c>
    </row>
    <row r="56" spans="1:14">
      <c r="A56">
        <v>9700</v>
      </c>
      <c r="B56" t="s">
        <v>160</v>
      </c>
      <c r="C56" t="s">
        <v>55</v>
      </c>
      <c r="D56" t="s">
        <v>75</v>
      </c>
      <c r="E56">
        <v>15.99</v>
      </c>
      <c r="F56" t="str">
        <f>C56&amp;D56</f>
        <v>IndiaCryptocurrency</v>
      </c>
      <c r="G56">
        <v>272</v>
      </c>
      <c r="H56" t="s">
        <v>64</v>
      </c>
    </row>
    <row r="57" spans="1:14">
      <c r="A57">
        <v>5644</v>
      </c>
      <c r="B57" t="s">
        <v>126</v>
      </c>
      <c r="C57" t="s">
        <v>92</v>
      </c>
      <c r="D57" t="s">
        <v>28</v>
      </c>
      <c r="E57">
        <v>11.99</v>
      </c>
      <c r="F57" t="str">
        <f>C57&amp;D57</f>
        <v>FrancePayPal</v>
      </c>
      <c r="G57">
        <v>19</v>
      </c>
      <c r="H57" t="s">
        <v>64</v>
      </c>
    </row>
    <row r="58" spans="1:14">
      <c r="A58">
        <v>5420</v>
      </c>
      <c r="B58" t="s">
        <v>162</v>
      </c>
      <c r="C58" t="s">
        <v>55</v>
      </c>
      <c r="D58" t="s">
        <v>56</v>
      </c>
      <c r="E58">
        <v>11.99</v>
      </c>
      <c r="F58" t="str">
        <f>C58&amp;D58</f>
        <v>IndiaCredit Card</v>
      </c>
      <c r="G58">
        <v>204</v>
      </c>
      <c r="H58" t="s">
        <v>45</v>
      </c>
    </row>
    <row r="59" spans="1:14">
      <c r="A59">
        <v>7560</v>
      </c>
      <c r="B59" t="s">
        <v>164</v>
      </c>
      <c r="C59" t="s">
        <v>27</v>
      </c>
      <c r="D59" t="s">
        <v>56</v>
      </c>
      <c r="E59">
        <v>7.99</v>
      </c>
      <c r="F59" t="str">
        <f>C59&amp;D59</f>
        <v>USACredit Card</v>
      </c>
      <c r="G59">
        <v>345</v>
      </c>
      <c r="H59" t="s">
        <v>29</v>
      </c>
    </row>
    <row r="60" spans="1:14">
      <c r="A60">
        <v>9644</v>
      </c>
      <c r="B60" t="s">
        <v>106</v>
      </c>
      <c r="C60" t="s">
        <v>92</v>
      </c>
      <c r="D60" t="s">
        <v>28</v>
      </c>
      <c r="E60">
        <v>7.99</v>
      </c>
      <c r="F60" t="str">
        <f>C60&amp;D60</f>
        <v>FrancePayPal</v>
      </c>
      <c r="G60">
        <v>294</v>
      </c>
      <c r="H60" t="s">
        <v>29</v>
      </c>
    </row>
    <row r="61" spans="1:14">
      <c r="A61">
        <v>7239</v>
      </c>
      <c r="B61" t="s">
        <v>166</v>
      </c>
      <c r="C61" t="s">
        <v>43</v>
      </c>
      <c r="D61" t="s">
        <v>28</v>
      </c>
      <c r="E61">
        <v>15.99</v>
      </c>
      <c r="F61" t="str">
        <f>C61&amp;D61</f>
        <v>CanadaPayPal</v>
      </c>
      <c r="G61">
        <v>318</v>
      </c>
      <c r="H61" t="s">
        <v>29</v>
      </c>
    </row>
    <row r="62" spans="1:14">
      <c r="A62">
        <v>6415</v>
      </c>
      <c r="B62" t="s">
        <v>169</v>
      </c>
      <c r="C62" t="s">
        <v>49</v>
      </c>
      <c r="D62" t="s">
        <v>75</v>
      </c>
      <c r="E62">
        <v>11.99</v>
      </c>
      <c r="F62" t="str">
        <f>C62&amp;D62</f>
        <v>UKCryptocurrency</v>
      </c>
      <c r="G62">
        <v>396</v>
      </c>
      <c r="H62" t="s">
        <v>29</v>
      </c>
    </row>
    <row r="63" spans="1:14">
      <c r="A63">
        <v>9020</v>
      </c>
      <c r="B63" t="s">
        <v>170</v>
      </c>
      <c r="C63" t="s">
        <v>55</v>
      </c>
      <c r="D63" t="s">
        <v>56</v>
      </c>
      <c r="E63">
        <v>11.99</v>
      </c>
      <c r="F63" t="str">
        <f>C63&amp;D63</f>
        <v>IndiaCredit Card</v>
      </c>
      <c r="G63">
        <v>455</v>
      </c>
      <c r="H63" t="s">
        <v>37</v>
      </c>
    </row>
    <row r="64" spans="1:14">
      <c r="A64">
        <v>2324</v>
      </c>
      <c r="B64" t="s">
        <v>171</v>
      </c>
      <c r="C64" t="s">
        <v>27</v>
      </c>
      <c r="D64" t="s">
        <v>56</v>
      </c>
      <c r="E64">
        <v>7.99</v>
      </c>
      <c r="F64" t="str">
        <f>C64&amp;D64</f>
        <v>USACredit Card</v>
      </c>
      <c r="G64">
        <v>175</v>
      </c>
      <c r="H64" t="s">
        <v>64</v>
      </c>
    </row>
    <row r="65" spans="1:8">
      <c r="A65">
        <v>1354</v>
      </c>
      <c r="B65" t="s">
        <v>172</v>
      </c>
      <c r="C65" t="s">
        <v>55</v>
      </c>
      <c r="D65" t="s">
        <v>28</v>
      </c>
      <c r="E65">
        <v>7.99</v>
      </c>
      <c r="F65" t="str">
        <f>C65&amp;D65</f>
        <v>IndiaPayPal</v>
      </c>
      <c r="G65">
        <v>36</v>
      </c>
      <c r="H65" t="s">
        <v>57</v>
      </c>
    </row>
    <row r="66" spans="1:8">
      <c r="A66">
        <v>4019</v>
      </c>
      <c r="B66" t="s">
        <v>174</v>
      </c>
      <c r="C66" t="s">
        <v>43</v>
      </c>
      <c r="D66" t="s">
        <v>56</v>
      </c>
      <c r="E66">
        <v>15.99</v>
      </c>
      <c r="F66" t="str">
        <f>C66&amp;D66</f>
        <v>CanadaCredit Card</v>
      </c>
      <c r="G66">
        <v>349</v>
      </c>
      <c r="H66" t="s">
        <v>45</v>
      </c>
    </row>
    <row r="67" spans="1:8">
      <c r="A67">
        <v>6178</v>
      </c>
      <c r="B67" t="s">
        <v>176</v>
      </c>
      <c r="C67" t="s">
        <v>55</v>
      </c>
      <c r="D67" t="s">
        <v>56</v>
      </c>
      <c r="E67">
        <v>11.99</v>
      </c>
      <c r="F67" t="str">
        <f>C67&amp;D67</f>
        <v>IndiaCredit Card</v>
      </c>
      <c r="G67">
        <v>262</v>
      </c>
      <c r="H67" t="s">
        <v>78</v>
      </c>
    </row>
    <row r="68" spans="1:8">
      <c r="A68">
        <v>8673</v>
      </c>
      <c r="B68" t="s">
        <v>135</v>
      </c>
      <c r="C68" t="s">
        <v>49</v>
      </c>
      <c r="D68" t="s">
        <v>44</v>
      </c>
      <c r="E68">
        <v>7.99</v>
      </c>
      <c r="F68" t="str">
        <f>C68&amp;D68</f>
        <v>UKDebit Card</v>
      </c>
      <c r="G68">
        <v>378</v>
      </c>
      <c r="H68" t="s">
        <v>57</v>
      </c>
    </row>
    <row r="69" spans="1:8">
      <c r="A69">
        <v>8250</v>
      </c>
      <c r="B69" t="s">
        <v>177</v>
      </c>
      <c r="C69" t="s">
        <v>68</v>
      </c>
      <c r="D69" t="s">
        <v>75</v>
      </c>
      <c r="E69">
        <v>15.99</v>
      </c>
      <c r="F69" t="str">
        <f>C69&amp;D69</f>
        <v>AustraliaCryptocurrency</v>
      </c>
      <c r="G69">
        <v>469</v>
      </c>
      <c r="H69" t="s">
        <v>78</v>
      </c>
    </row>
    <row r="70" spans="1:8">
      <c r="A70">
        <v>1609</v>
      </c>
      <c r="B70" t="s">
        <v>179</v>
      </c>
      <c r="C70" t="s">
        <v>43</v>
      </c>
      <c r="D70" t="s">
        <v>56</v>
      </c>
      <c r="E70">
        <v>7.99</v>
      </c>
      <c r="F70" t="str">
        <f>C70&amp;D70</f>
        <v>CanadaCredit Card</v>
      </c>
      <c r="G70">
        <v>87</v>
      </c>
      <c r="H70" t="s">
        <v>37</v>
      </c>
    </row>
    <row r="71" spans="1:8">
      <c r="A71">
        <v>3806</v>
      </c>
      <c r="B71" t="s">
        <v>181</v>
      </c>
      <c r="C71" t="s">
        <v>43</v>
      </c>
      <c r="D71" t="s">
        <v>28</v>
      </c>
      <c r="E71">
        <v>15.99</v>
      </c>
      <c r="F71" t="str">
        <f>C71&amp;D71</f>
        <v>CanadaPayPal</v>
      </c>
      <c r="G71">
        <v>471</v>
      </c>
      <c r="H71" t="s">
        <v>45</v>
      </c>
    </row>
    <row r="72" spans="1:8">
      <c r="A72">
        <v>7973</v>
      </c>
      <c r="B72" t="s">
        <v>183</v>
      </c>
      <c r="C72" t="s">
        <v>92</v>
      </c>
      <c r="D72" t="s">
        <v>75</v>
      </c>
      <c r="E72">
        <v>7.99</v>
      </c>
      <c r="F72" t="str">
        <f>C72&amp;D72</f>
        <v>FranceCryptocurrency</v>
      </c>
      <c r="G72">
        <v>469</v>
      </c>
      <c r="H72" t="s">
        <v>29</v>
      </c>
    </row>
    <row r="73" spans="1:8">
      <c r="A73">
        <v>7948</v>
      </c>
      <c r="B73" t="s">
        <v>184</v>
      </c>
      <c r="C73" t="s">
        <v>74</v>
      </c>
      <c r="D73" t="s">
        <v>28</v>
      </c>
      <c r="E73">
        <v>15.99</v>
      </c>
      <c r="F73" t="str">
        <f>C73&amp;D73</f>
        <v>GermanyPayPal</v>
      </c>
      <c r="G73">
        <v>298</v>
      </c>
      <c r="H73" t="s">
        <v>57</v>
      </c>
    </row>
    <row r="74" spans="1:8">
      <c r="A74">
        <v>3195</v>
      </c>
      <c r="B74" t="s">
        <v>186</v>
      </c>
      <c r="C74" t="s">
        <v>74</v>
      </c>
      <c r="D74" t="s">
        <v>44</v>
      </c>
      <c r="E74">
        <v>11.99</v>
      </c>
      <c r="F74" t="str">
        <f>C74&amp;D74</f>
        <v>GermanyDebit Card</v>
      </c>
      <c r="G74">
        <v>331</v>
      </c>
      <c r="H74" t="s">
        <v>57</v>
      </c>
    </row>
    <row r="75" spans="1:8">
      <c r="A75">
        <v>6285</v>
      </c>
      <c r="B75" t="s">
        <v>188</v>
      </c>
      <c r="C75" t="s">
        <v>27</v>
      </c>
      <c r="D75" t="s">
        <v>28</v>
      </c>
      <c r="E75">
        <v>11.99</v>
      </c>
      <c r="F75" t="str">
        <f>C75&amp;D75</f>
        <v>USAPayPal</v>
      </c>
      <c r="G75">
        <v>238</v>
      </c>
      <c r="H75" t="s">
        <v>37</v>
      </c>
    </row>
    <row r="76" spans="1:8">
      <c r="A76">
        <v>4303</v>
      </c>
      <c r="B76" t="s">
        <v>179</v>
      </c>
      <c r="C76" t="s">
        <v>74</v>
      </c>
      <c r="D76" t="s">
        <v>75</v>
      </c>
      <c r="E76">
        <v>7.99</v>
      </c>
      <c r="F76" t="str">
        <f>C76&amp;D76</f>
        <v>GermanyCryptocurrency</v>
      </c>
      <c r="G76">
        <v>231</v>
      </c>
      <c r="H76" t="s">
        <v>45</v>
      </c>
    </row>
    <row r="77" spans="1:8">
      <c r="A77">
        <v>7751</v>
      </c>
      <c r="B77" t="s">
        <v>190</v>
      </c>
      <c r="C77" t="s">
        <v>43</v>
      </c>
      <c r="D77" t="s">
        <v>28</v>
      </c>
      <c r="E77">
        <v>11.99</v>
      </c>
      <c r="F77" t="str">
        <f>C77&amp;D77</f>
        <v>CanadaPayPal</v>
      </c>
      <c r="G77">
        <v>457</v>
      </c>
      <c r="H77" t="s">
        <v>45</v>
      </c>
    </row>
    <row r="78" spans="1:8">
      <c r="A78">
        <v>7813</v>
      </c>
      <c r="B78" t="s">
        <v>191</v>
      </c>
      <c r="C78" t="s">
        <v>55</v>
      </c>
      <c r="D78" t="s">
        <v>75</v>
      </c>
      <c r="E78">
        <v>15.99</v>
      </c>
      <c r="F78" t="str">
        <f>C78&amp;D78</f>
        <v>IndiaCryptocurrency</v>
      </c>
      <c r="G78">
        <v>373</v>
      </c>
      <c r="H78" t="s">
        <v>57</v>
      </c>
    </row>
    <row r="79" spans="1:8">
      <c r="A79">
        <v>9028</v>
      </c>
      <c r="B79" t="s">
        <v>193</v>
      </c>
      <c r="C79" t="s">
        <v>27</v>
      </c>
      <c r="D79" t="s">
        <v>28</v>
      </c>
      <c r="E79">
        <v>15.99</v>
      </c>
      <c r="F79" t="str">
        <f>C79&amp;D79</f>
        <v>USAPayPal</v>
      </c>
      <c r="G79">
        <v>11</v>
      </c>
      <c r="H79" t="s">
        <v>78</v>
      </c>
    </row>
    <row r="80" spans="1:8">
      <c r="A80">
        <v>6109</v>
      </c>
      <c r="B80" t="s">
        <v>194</v>
      </c>
      <c r="C80" t="s">
        <v>74</v>
      </c>
      <c r="D80" t="s">
        <v>75</v>
      </c>
      <c r="E80">
        <v>15.99</v>
      </c>
      <c r="F80" t="str">
        <f>C80&amp;D80</f>
        <v>GermanyCryptocurrency</v>
      </c>
      <c r="G80">
        <v>425</v>
      </c>
      <c r="H80" t="s">
        <v>64</v>
      </c>
    </row>
    <row r="81" spans="1:8">
      <c r="A81">
        <v>2565</v>
      </c>
      <c r="B81" t="s">
        <v>196</v>
      </c>
      <c r="C81" t="s">
        <v>68</v>
      </c>
      <c r="D81" t="s">
        <v>56</v>
      </c>
      <c r="E81">
        <v>7.99</v>
      </c>
      <c r="F81" t="str">
        <f>C81&amp;D81</f>
        <v>AustraliaCredit Card</v>
      </c>
      <c r="G81">
        <v>231</v>
      </c>
      <c r="H81" t="s">
        <v>78</v>
      </c>
    </row>
    <row r="82" spans="1:8">
      <c r="A82">
        <v>7551</v>
      </c>
      <c r="B82" t="s">
        <v>197</v>
      </c>
      <c r="C82" t="s">
        <v>27</v>
      </c>
      <c r="D82" t="s">
        <v>75</v>
      </c>
      <c r="E82">
        <v>15.99</v>
      </c>
      <c r="F82" t="str">
        <f>C82&amp;D82</f>
        <v>USACryptocurrency</v>
      </c>
      <c r="G82">
        <v>483</v>
      </c>
      <c r="H82" t="s">
        <v>78</v>
      </c>
    </row>
    <row r="83" spans="1:8">
      <c r="A83">
        <v>6398</v>
      </c>
      <c r="B83" t="s">
        <v>199</v>
      </c>
      <c r="C83" t="s">
        <v>49</v>
      </c>
      <c r="D83" t="s">
        <v>28</v>
      </c>
      <c r="E83">
        <v>7.99</v>
      </c>
      <c r="F83" t="str">
        <f>C83&amp;D83</f>
        <v>UKPayPal</v>
      </c>
      <c r="G83">
        <v>55</v>
      </c>
      <c r="H83" t="s">
        <v>45</v>
      </c>
    </row>
    <row r="84" spans="1:8">
      <c r="A84">
        <v>4982</v>
      </c>
      <c r="B84" t="s">
        <v>201</v>
      </c>
      <c r="C84" t="s">
        <v>43</v>
      </c>
      <c r="D84" t="s">
        <v>28</v>
      </c>
      <c r="E84">
        <v>11.99</v>
      </c>
      <c r="F84" t="str">
        <f>C84&amp;D84</f>
        <v>CanadaPayPal</v>
      </c>
      <c r="G84">
        <v>375</v>
      </c>
      <c r="H84" t="s">
        <v>29</v>
      </c>
    </row>
    <row r="85" spans="1:8">
      <c r="A85">
        <v>8108</v>
      </c>
      <c r="B85" t="s">
        <v>202</v>
      </c>
      <c r="C85" t="s">
        <v>43</v>
      </c>
      <c r="D85" t="s">
        <v>75</v>
      </c>
      <c r="E85">
        <v>11.99</v>
      </c>
      <c r="F85" t="str">
        <f>C85&amp;D85</f>
        <v>CanadaCryptocurrency</v>
      </c>
      <c r="G85">
        <v>336</v>
      </c>
      <c r="H85" t="s">
        <v>37</v>
      </c>
    </row>
    <row r="86" spans="1:8">
      <c r="A86">
        <v>6779</v>
      </c>
      <c r="B86" t="s">
        <v>204</v>
      </c>
      <c r="C86" t="s">
        <v>68</v>
      </c>
      <c r="D86" t="s">
        <v>28</v>
      </c>
      <c r="E86">
        <v>7.99</v>
      </c>
      <c r="F86" t="str">
        <f>C86&amp;D86</f>
        <v>AustraliaPayPal</v>
      </c>
      <c r="G86">
        <v>196</v>
      </c>
      <c r="H86" t="s">
        <v>45</v>
      </c>
    </row>
    <row r="87" spans="1:8">
      <c r="A87">
        <v>1169</v>
      </c>
      <c r="B87" t="s">
        <v>157</v>
      </c>
      <c r="C87" t="s">
        <v>68</v>
      </c>
      <c r="D87" t="s">
        <v>56</v>
      </c>
      <c r="E87">
        <v>11.99</v>
      </c>
      <c r="F87" t="str">
        <f>C87&amp;D87</f>
        <v>AustraliaCredit Card</v>
      </c>
      <c r="G87">
        <v>285</v>
      </c>
      <c r="H87" t="s">
        <v>57</v>
      </c>
    </row>
    <row r="88" spans="1:8">
      <c r="A88">
        <v>5067</v>
      </c>
      <c r="B88" t="s">
        <v>207</v>
      </c>
      <c r="C88" t="s">
        <v>27</v>
      </c>
      <c r="D88" t="s">
        <v>75</v>
      </c>
      <c r="E88">
        <v>7.99</v>
      </c>
      <c r="F88" t="str">
        <f>C88&amp;D88</f>
        <v>USACryptocurrency</v>
      </c>
      <c r="G88">
        <v>155</v>
      </c>
      <c r="H88" t="s">
        <v>78</v>
      </c>
    </row>
    <row r="89" spans="1:8">
      <c r="A89">
        <v>5299</v>
      </c>
      <c r="B89" t="s">
        <v>209</v>
      </c>
      <c r="C89" t="s">
        <v>74</v>
      </c>
      <c r="D89" t="s">
        <v>44</v>
      </c>
      <c r="E89">
        <v>7.99</v>
      </c>
      <c r="F89" t="str">
        <f>C89&amp;D89</f>
        <v>GermanyDebit Card</v>
      </c>
      <c r="G89">
        <v>275</v>
      </c>
      <c r="H89" t="s">
        <v>45</v>
      </c>
    </row>
    <row r="90" spans="1:8">
      <c r="A90">
        <v>3978</v>
      </c>
      <c r="B90" t="s">
        <v>143</v>
      </c>
      <c r="C90" t="s">
        <v>27</v>
      </c>
      <c r="D90" t="s">
        <v>44</v>
      </c>
      <c r="E90">
        <v>7.99</v>
      </c>
      <c r="F90" t="str">
        <f>C90&amp;D90</f>
        <v>USADebit Card</v>
      </c>
      <c r="G90">
        <v>341</v>
      </c>
      <c r="H90" t="s">
        <v>37</v>
      </c>
    </row>
    <row r="91" spans="1:8">
      <c r="A91">
        <v>8634</v>
      </c>
      <c r="B91" t="s">
        <v>211</v>
      </c>
      <c r="C91" t="s">
        <v>27</v>
      </c>
      <c r="D91" t="s">
        <v>75</v>
      </c>
      <c r="E91">
        <v>15.99</v>
      </c>
      <c r="F91" t="str">
        <f>C91&amp;D91</f>
        <v>USACryptocurrency</v>
      </c>
      <c r="G91">
        <v>321</v>
      </c>
      <c r="H91" t="s">
        <v>64</v>
      </c>
    </row>
    <row r="92" spans="1:8">
      <c r="A92">
        <v>9635</v>
      </c>
      <c r="B92" t="s">
        <v>212</v>
      </c>
      <c r="C92" t="s">
        <v>55</v>
      </c>
      <c r="D92" t="s">
        <v>44</v>
      </c>
      <c r="E92">
        <v>11.99</v>
      </c>
      <c r="F92" t="str">
        <f>C92&amp;D92</f>
        <v>IndiaDebit Card</v>
      </c>
      <c r="G92">
        <v>456</v>
      </c>
      <c r="H92" t="s">
        <v>78</v>
      </c>
    </row>
    <row r="93" spans="1:8">
      <c r="A93">
        <v>1776</v>
      </c>
      <c r="B93" t="s">
        <v>215</v>
      </c>
      <c r="C93" t="s">
        <v>92</v>
      </c>
      <c r="D93" t="s">
        <v>75</v>
      </c>
      <c r="E93">
        <v>15.99</v>
      </c>
      <c r="F93" t="str">
        <f>C93&amp;D93</f>
        <v>FranceCryptocurrency</v>
      </c>
      <c r="G93">
        <v>15</v>
      </c>
      <c r="H93" t="s">
        <v>29</v>
      </c>
    </row>
    <row r="94" spans="1:8">
      <c r="A94">
        <v>9703</v>
      </c>
      <c r="B94" t="s">
        <v>106</v>
      </c>
      <c r="C94" t="s">
        <v>49</v>
      </c>
      <c r="D94" t="s">
        <v>75</v>
      </c>
      <c r="E94">
        <v>11.99</v>
      </c>
      <c r="F94" t="str">
        <f>C94&amp;D94</f>
        <v>UKCryptocurrency</v>
      </c>
      <c r="G94">
        <v>410</v>
      </c>
      <c r="H94" t="s">
        <v>64</v>
      </c>
    </row>
    <row r="95" spans="1:8">
      <c r="A95">
        <v>3498</v>
      </c>
      <c r="B95" t="s">
        <v>218</v>
      </c>
      <c r="C95" t="s">
        <v>55</v>
      </c>
      <c r="D95" t="s">
        <v>56</v>
      </c>
      <c r="E95">
        <v>15.99</v>
      </c>
      <c r="F95" t="str">
        <f>C95&amp;D95</f>
        <v>IndiaCredit Card</v>
      </c>
      <c r="G95">
        <v>29</v>
      </c>
      <c r="H95" t="s">
        <v>37</v>
      </c>
    </row>
    <row r="96" spans="1:8">
      <c r="A96">
        <v>4260</v>
      </c>
      <c r="B96" t="s">
        <v>219</v>
      </c>
      <c r="C96" t="s">
        <v>74</v>
      </c>
      <c r="D96" t="s">
        <v>56</v>
      </c>
      <c r="E96">
        <v>7.99</v>
      </c>
      <c r="F96" t="str">
        <f>C96&amp;D96</f>
        <v>GermanyCredit Card</v>
      </c>
      <c r="G96">
        <v>427</v>
      </c>
      <c r="H96" t="s">
        <v>57</v>
      </c>
    </row>
    <row r="97" spans="1:8">
      <c r="A97">
        <v>7152</v>
      </c>
      <c r="B97" t="s">
        <v>153</v>
      </c>
      <c r="C97" t="s">
        <v>55</v>
      </c>
      <c r="D97" t="s">
        <v>44</v>
      </c>
      <c r="E97">
        <v>11.99</v>
      </c>
      <c r="F97" t="str">
        <f>C97&amp;D97</f>
        <v>IndiaDebit Card</v>
      </c>
      <c r="G97">
        <v>166</v>
      </c>
      <c r="H97" t="s">
        <v>29</v>
      </c>
    </row>
    <row r="98" spans="1:8">
      <c r="A98">
        <v>2457</v>
      </c>
      <c r="B98" t="s">
        <v>179</v>
      </c>
      <c r="C98" t="s">
        <v>43</v>
      </c>
      <c r="D98" t="s">
        <v>44</v>
      </c>
      <c r="E98">
        <v>7.99</v>
      </c>
      <c r="F98" t="str">
        <f>C98&amp;D98</f>
        <v>CanadaDebit Card</v>
      </c>
      <c r="G98">
        <v>192</v>
      </c>
      <c r="H98" t="s">
        <v>78</v>
      </c>
    </row>
    <row r="99" spans="1:8">
      <c r="A99">
        <v>8530</v>
      </c>
      <c r="B99" t="s">
        <v>222</v>
      </c>
      <c r="C99" t="s">
        <v>68</v>
      </c>
      <c r="D99" t="s">
        <v>44</v>
      </c>
      <c r="E99">
        <v>11.99</v>
      </c>
      <c r="F99" t="str">
        <f>C99&amp;D99</f>
        <v>AustraliaDebit Card</v>
      </c>
      <c r="G99">
        <v>88</v>
      </c>
      <c r="H99" t="s">
        <v>64</v>
      </c>
    </row>
    <row r="100" spans="1:8">
      <c r="A100">
        <v>9131</v>
      </c>
      <c r="B100" t="s">
        <v>223</v>
      </c>
      <c r="C100" t="s">
        <v>55</v>
      </c>
      <c r="D100" t="s">
        <v>75</v>
      </c>
      <c r="E100">
        <v>7.99</v>
      </c>
      <c r="F100" t="str">
        <f>C100&amp;D100</f>
        <v>IndiaCryptocurrency</v>
      </c>
      <c r="G100">
        <v>127</v>
      </c>
      <c r="H100" t="s">
        <v>64</v>
      </c>
    </row>
    <row r="101" spans="1:8">
      <c r="A101">
        <v>9770</v>
      </c>
      <c r="B101" t="s">
        <v>224</v>
      </c>
      <c r="C101" t="s">
        <v>49</v>
      </c>
      <c r="D101" t="s">
        <v>28</v>
      </c>
      <c r="E101">
        <v>7.99</v>
      </c>
      <c r="F101" t="str">
        <f>C101&amp;D101</f>
        <v>UKPayPal</v>
      </c>
      <c r="G101">
        <v>327</v>
      </c>
      <c r="H101" t="s">
        <v>57</v>
      </c>
    </row>
    <row r="102" spans="1:8">
      <c r="A102">
        <v>8095</v>
      </c>
      <c r="B102" t="s">
        <v>226</v>
      </c>
      <c r="C102" t="s">
        <v>68</v>
      </c>
      <c r="D102" t="s">
        <v>44</v>
      </c>
      <c r="E102">
        <v>7.99</v>
      </c>
      <c r="F102" t="str">
        <f>C102&amp;D102</f>
        <v>AustraliaDebit Card</v>
      </c>
      <c r="G102">
        <v>10</v>
      </c>
      <c r="H102" t="s">
        <v>64</v>
      </c>
    </row>
    <row r="103" spans="1:8">
      <c r="A103">
        <v>3763</v>
      </c>
      <c r="B103" t="s">
        <v>228</v>
      </c>
      <c r="C103" t="s">
        <v>55</v>
      </c>
      <c r="D103" t="s">
        <v>75</v>
      </c>
      <c r="E103">
        <v>11.99</v>
      </c>
      <c r="F103" t="str">
        <f>C103&amp;D103</f>
        <v>IndiaCryptocurrency</v>
      </c>
      <c r="G103">
        <v>181</v>
      </c>
      <c r="H103" t="s">
        <v>45</v>
      </c>
    </row>
    <row r="104" spans="1:8">
      <c r="A104">
        <v>4346</v>
      </c>
      <c r="B104" t="s">
        <v>230</v>
      </c>
      <c r="C104" t="s">
        <v>27</v>
      </c>
      <c r="D104" t="s">
        <v>75</v>
      </c>
      <c r="E104">
        <v>15.99</v>
      </c>
      <c r="F104" t="str">
        <f>C104&amp;D104</f>
        <v>USACryptocurrency</v>
      </c>
      <c r="G104">
        <v>238</v>
      </c>
      <c r="H104" t="s">
        <v>37</v>
      </c>
    </row>
    <row r="105" spans="1:8">
      <c r="A105">
        <v>5866</v>
      </c>
      <c r="B105" t="s">
        <v>191</v>
      </c>
      <c r="C105" t="s">
        <v>74</v>
      </c>
      <c r="D105" t="s">
        <v>28</v>
      </c>
      <c r="E105">
        <v>7.99</v>
      </c>
      <c r="F105" t="str">
        <f>C105&amp;D105</f>
        <v>GermanyPayPal</v>
      </c>
      <c r="G105">
        <v>380</v>
      </c>
      <c r="H105" t="s">
        <v>29</v>
      </c>
    </row>
    <row r="106" spans="1:8">
      <c r="A106">
        <v>5865</v>
      </c>
      <c r="B106" t="s">
        <v>232</v>
      </c>
      <c r="C106" t="s">
        <v>74</v>
      </c>
      <c r="D106" t="s">
        <v>28</v>
      </c>
      <c r="E106">
        <v>11.99</v>
      </c>
      <c r="F106" t="str">
        <f>C106&amp;D106</f>
        <v>GermanyPayPal</v>
      </c>
      <c r="G106">
        <v>444</v>
      </c>
      <c r="H106" t="s">
        <v>29</v>
      </c>
    </row>
    <row r="107" spans="1:8">
      <c r="A107">
        <v>9398</v>
      </c>
      <c r="B107" t="s">
        <v>234</v>
      </c>
      <c r="C107" t="s">
        <v>49</v>
      </c>
      <c r="D107" t="s">
        <v>56</v>
      </c>
      <c r="E107">
        <v>7.99</v>
      </c>
      <c r="F107" t="str">
        <f>C107&amp;D107</f>
        <v>UKCredit Card</v>
      </c>
      <c r="G107">
        <v>83</v>
      </c>
      <c r="H107" t="s">
        <v>29</v>
      </c>
    </row>
    <row r="108" spans="1:8">
      <c r="A108">
        <v>9695</v>
      </c>
      <c r="B108" t="s">
        <v>236</v>
      </c>
      <c r="C108" t="s">
        <v>68</v>
      </c>
      <c r="D108" t="s">
        <v>28</v>
      </c>
      <c r="E108">
        <v>7.99</v>
      </c>
      <c r="F108" t="str">
        <f>C108&amp;D108</f>
        <v>AustraliaPayPal</v>
      </c>
      <c r="G108">
        <v>452</v>
      </c>
      <c r="H108" t="s">
        <v>57</v>
      </c>
    </row>
    <row r="109" spans="1:8">
      <c r="A109">
        <v>8805</v>
      </c>
      <c r="B109" t="s">
        <v>85</v>
      </c>
      <c r="C109" t="s">
        <v>68</v>
      </c>
      <c r="D109" t="s">
        <v>28</v>
      </c>
      <c r="E109">
        <v>15.99</v>
      </c>
      <c r="F109" t="str">
        <f>C109&amp;D109</f>
        <v>AustraliaPayPal</v>
      </c>
      <c r="G109">
        <v>53</v>
      </c>
      <c r="H109" t="s">
        <v>57</v>
      </c>
    </row>
    <row r="110" spans="1:8">
      <c r="A110">
        <v>8353</v>
      </c>
      <c r="B110" t="s">
        <v>148</v>
      </c>
      <c r="C110" t="s">
        <v>68</v>
      </c>
      <c r="D110" t="s">
        <v>28</v>
      </c>
      <c r="E110">
        <v>15.99</v>
      </c>
      <c r="F110" t="str">
        <f>C110&amp;D110</f>
        <v>AustraliaPayPal</v>
      </c>
      <c r="G110">
        <v>89</v>
      </c>
      <c r="H110" t="s">
        <v>64</v>
      </c>
    </row>
    <row r="111" spans="1:8">
      <c r="A111">
        <v>3178</v>
      </c>
      <c r="B111" t="s">
        <v>238</v>
      </c>
      <c r="C111" t="s">
        <v>55</v>
      </c>
      <c r="D111" t="s">
        <v>44</v>
      </c>
      <c r="E111">
        <v>7.99</v>
      </c>
      <c r="F111" t="str">
        <f>C111&amp;D111</f>
        <v>IndiaDebit Card</v>
      </c>
      <c r="G111">
        <v>359</v>
      </c>
      <c r="H111" t="s">
        <v>57</v>
      </c>
    </row>
    <row r="112" spans="1:8">
      <c r="A112">
        <v>4917</v>
      </c>
      <c r="B112" t="s">
        <v>240</v>
      </c>
      <c r="C112" t="s">
        <v>68</v>
      </c>
      <c r="D112" t="s">
        <v>28</v>
      </c>
      <c r="E112">
        <v>11.99</v>
      </c>
      <c r="F112" t="str">
        <f>C112&amp;D112</f>
        <v>AustraliaPayPal</v>
      </c>
      <c r="G112">
        <v>487</v>
      </c>
      <c r="H112" t="s">
        <v>78</v>
      </c>
    </row>
    <row r="113" spans="1:8">
      <c r="A113">
        <v>8878</v>
      </c>
      <c r="B113" t="s">
        <v>241</v>
      </c>
      <c r="C113" t="s">
        <v>43</v>
      </c>
      <c r="D113" t="s">
        <v>56</v>
      </c>
      <c r="E113">
        <v>7.99</v>
      </c>
      <c r="F113" t="str">
        <f>C113&amp;D113</f>
        <v>CanadaCredit Card</v>
      </c>
      <c r="G113">
        <v>337</v>
      </c>
      <c r="H113" t="s">
        <v>45</v>
      </c>
    </row>
    <row r="114" spans="1:8">
      <c r="A114">
        <v>3810</v>
      </c>
      <c r="B114" t="s">
        <v>242</v>
      </c>
      <c r="C114" t="s">
        <v>68</v>
      </c>
      <c r="D114" t="s">
        <v>75</v>
      </c>
      <c r="E114">
        <v>15.99</v>
      </c>
      <c r="F114" t="str">
        <f>C114&amp;D114</f>
        <v>AustraliaCryptocurrency</v>
      </c>
      <c r="G114">
        <v>427</v>
      </c>
      <c r="H114" t="s">
        <v>45</v>
      </c>
    </row>
    <row r="115" spans="1:8">
      <c r="A115">
        <v>9353</v>
      </c>
      <c r="B115" t="s">
        <v>244</v>
      </c>
      <c r="C115" t="s">
        <v>74</v>
      </c>
      <c r="D115" t="s">
        <v>44</v>
      </c>
      <c r="E115">
        <v>7.99</v>
      </c>
      <c r="F115" t="str">
        <f>C115&amp;D115</f>
        <v>GermanyDebit Card</v>
      </c>
      <c r="G115">
        <v>397</v>
      </c>
      <c r="H115" t="s">
        <v>45</v>
      </c>
    </row>
    <row r="116" spans="1:8">
      <c r="A116">
        <v>1672</v>
      </c>
      <c r="B116" t="s">
        <v>245</v>
      </c>
      <c r="C116" t="s">
        <v>92</v>
      </c>
      <c r="D116" t="s">
        <v>56</v>
      </c>
      <c r="E116">
        <v>15.99</v>
      </c>
      <c r="F116" t="str">
        <f>C116&amp;D116</f>
        <v>FranceCredit Card</v>
      </c>
      <c r="G116">
        <v>200</v>
      </c>
      <c r="H116" t="s">
        <v>78</v>
      </c>
    </row>
    <row r="117" spans="1:8">
      <c r="A117">
        <v>6650</v>
      </c>
      <c r="B117" t="s">
        <v>247</v>
      </c>
      <c r="C117" t="s">
        <v>74</v>
      </c>
      <c r="D117" t="s">
        <v>75</v>
      </c>
      <c r="E117">
        <v>11.99</v>
      </c>
      <c r="F117" t="str">
        <f>C117&amp;D117</f>
        <v>GermanyCryptocurrency</v>
      </c>
      <c r="G117">
        <v>464</v>
      </c>
      <c r="H117" t="s">
        <v>57</v>
      </c>
    </row>
    <row r="118" spans="1:8">
      <c r="A118">
        <v>2581</v>
      </c>
      <c r="B118" t="s">
        <v>248</v>
      </c>
      <c r="C118" t="s">
        <v>49</v>
      </c>
      <c r="D118" t="s">
        <v>56</v>
      </c>
      <c r="E118">
        <v>15.99</v>
      </c>
      <c r="F118" t="str">
        <f>C118&amp;D118</f>
        <v>UKCredit Card</v>
      </c>
      <c r="G118">
        <v>495</v>
      </c>
      <c r="H118" t="s">
        <v>64</v>
      </c>
    </row>
    <row r="119" spans="1:8">
      <c r="A119">
        <v>6860</v>
      </c>
      <c r="B119" t="s">
        <v>249</v>
      </c>
      <c r="C119" t="s">
        <v>49</v>
      </c>
      <c r="D119" t="s">
        <v>75</v>
      </c>
      <c r="E119">
        <v>7.99</v>
      </c>
      <c r="F119" t="str">
        <f>C119&amp;D119</f>
        <v>UKCryptocurrency</v>
      </c>
      <c r="G119">
        <v>286</v>
      </c>
      <c r="H119" t="s">
        <v>78</v>
      </c>
    </row>
    <row r="120" spans="1:8">
      <c r="A120">
        <v>4584</v>
      </c>
      <c r="B120" t="s">
        <v>138</v>
      </c>
      <c r="C120" t="s">
        <v>27</v>
      </c>
      <c r="D120" t="s">
        <v>56</v>
      </c>
      <c r="E120">
        <v>7.99</v>
      </c>
      <c r="F120" t="str">
        <f>C120&amp;D120</f>
        <v>USACredit Card</v>
      </c>
      <c r="G120">
        <v>446</v>
      </c>
      <c r="H120" t="s">
        <v>57</v>
      </c>
    </row>
    <row r="121" spans="1:8">
      <c r="A121">
        <v>3354</v>
      </c>
      <c r="B121" t="s">
        <v>148</v>
      </c>
      <c r="C121" t="s">
        <v>92</v>
      </c>
      <c r="D121" t="s">
        <v>28</v>
      </c>
      <c r="E121">
        <v>11.99</v>
      </c>
      <c r="F121" t="str">
        <f>C121&amp;D121</f>
        <v>FrancePayPal</v>
      </c>
      <c r="G121">
        <v>342</v>
      </c>
      <c r="H121" t="s">
        <v>78</v>
      </c>
    </row>
    <row r="122" spans="1:8">
      <c r="A122">
        <v>4668</v>
      </c>
      <c r="B122" t="s">
        <v>251</v>
      </c>
      <c r="C122" t="s">
        <v>43</v>
      </c>
      <c r="D122" t="s">
        <v>28</v>
      </c>
      <c r="E122">
        <v>11.99</v>
      </c>
      <c r="F122" t="str">
        <f>C122&amp;D122</f>
        <v>CanadaPayPal</v>
      </c>
      <c r="G122">
        <v>396</v>
      </c>
      <c r="H122" t="s">
        <v>37</v>
      </c>
    </row>
    <row r="123" spans="1:8">
      <c r="A123">
        <v>6684</v>
      </c>
      <c r="B123" t="s">
        <v>252</v>
      </c>
      <c r="C123" t="s">
        <v>74</v>
      </c>
      <c r="D123" t="s">
        <v>75</v>
      </c>
      <c r="E123">
        <v>11.99</v>
      </c>
      <c r="F123" t="str">
        <f>C123&amp;D123</f>
        <v>GermanyCryptocurrency</v>
      </c>
      <c r="G123">
        <v>491</v>
      </c>
      <c r="H123" t="s">
        <v>57</v>
      </c>
    </row>
    <row r="124" spans="1:8">
      <c r="A124">
        <v>8058</v>
      </c>
      <c r="B124" t="s">
        <v>253</v>
      </c>
      <c r="C124" t="s">
        <v>68</v>
      </c>
      <c r="D124" t="s">
        <v>75</v>
      </c>
      <c r="E124">
        <v>15.99</v>
      </c>
      <c r="F124" t="str">
        <f>C124&amp;D124</f>
        <v>AustraliaCryptocurrency</v>
      </c>
      <c r="G124">
        <v>239</v>
      </c>
      <c r="H124" t="s">
        <v>57</v>
      </c>
    </row>
    <row r="125" spans="1:8">
      <c r="A125">
        <v>3035</v>
      </c>
      <c r="B125" t="s">
        <v>157</v>
      </c>
      <c r="C125" t="s">
        <v>74</v>
      </c>
      <c r="D125" t="s">
        <v>56</v>
      </c>
      <c r="E125">
        <v>15.99</v>
      </c>
      <c r="F125" t="str">
        <f>C125&amp;D125</f>
        <v>GermanyCredit Card</v>
      </c>
      <c r="G125">
        <v>106</v>
      </c>
      <c r="H125" t="s">
        <v>64</v>
      </c>
    </row>
    <row r="126" spans="1:8">
      <c r="A126">
        <v>2146</v>
      </c>
      <c r="B126" t="s">
        <v>254</v>
      </c>
      <c r="C126" t="s">
        <v>68</v>
      </c>
      <c r="D126" t="s">
        <v>28</v>
      </c>
      <c r="E126">
        <v>11.99</v>
      </c>
      <c r="F126" t="str">
        <f>C126&amp;D126</f>
        <v>AustraliaPayPal</v>
      </c>
      <c r="G126">
        <v>388</v>
      </c>
      <c r="H126" t="s">
        <v>37</v>
      </c>
    </row>
    <row r="127" spans="1:8">
      <c r="A127">
        <v>5761</v>
      </c>
      <c r="B127" t="s">
        <v>255</v>
      </c>
      <c r="C127" t="s">
        <v>55</v>
      </c>
      <c r="D127" t="s">
        <v>75</v>
      </c>
      <c r="E127">
        <v>15.99</v>
      </c>
      <c r="F127" t="str">
        <f>C127&amp;D127</f>
        <v>IndiaCryptocurrency</v>
      </c>
      <c r="G127">
        <v>452</v>
      </c>
      <c r="H127" t="s">
        <v>57</v>
      </c>
    </row>
    <row r="128" spans="1:8">
      <c r="A128">
        <v>5256</v>
      </c>
      <c r="B128" t="s">
        <v>257</v>
      </c>
      <c r="C128" t="s">
        <v>68</v>
      </c>
      <c r="D128" t="s">
        <v>44</v>
      </c>
      <c r="E128">
        <v>15.99</v>
      </c>
      <c r="F128" t="str">
        <f>C128&amp;D128</f>
        <v>AustraliaDebit Card</v>
      </c>
      <c r="G128">
        <v>368</v>
      </c>
      <c r="H128" t="s">
        <v>45</v>
      </c>
    </row>
    <row r="129" spans="1:8">
      <c r="A129">
        <v>5995</v>
      </c>
      <c r="B129" t="s">
        <v>238</v>
      </c>
      <c r="C129" t="s">
        <v>49</v>
      </c>
      <c r="D129" t="s">
        <v>56</v>
      </c>
      <c r="E129">
        <v>15.99</v>
      </c>
      <c r="F129" t="str">
        <f>C129&amp;D129</f>
        <v>UKCredit Card</v>
      </c>
      <c r="G129">
        <v>325</v>
      </c>
      <c r="H129" t="s">
        <v>45</v>
      </c>
    </row>
    <row r="130" spans="1:8">
      <c r="A130">
        <v>4155</v>
      </c>
      <c r="B130" t="s">
        <v>259</v>
      </c>
      <c r="C130" t="s">
        <v>92</v>
      </c>
      <c r="D130" t="s">
        <v>44</v>
      </c>
      <c r="E130">
        <v>11.99</v>
      </c>
      <c r="F130" t="str">
        <f>C130&amp;D130</f>
        <v>FranceDebit Card</v>
      </c>
      <c r="G130">
        <v>42</v>
      </c>
      <c r="H130" t="s">
        <v>45</v>
      </c>
    </row>
    <row r="131" spans="1:8">
      <c r="A131">
        <v>1851</v>
      </c>
      <c r="B131" t="s">
        <v>88</v>
      </c>
      <c r="C131" t="s">
        <v>92</v>
      </c>
      <c r="D131" t="s">
        <v>56</v>
      </c>
      <c r="E131">
        <v>11.99</v>
      </c>
      <c r="F131" t="str">
        <f>C131&amp;D131</f>
        <v>FranceCredit Card</v>
      </c>
      <c r="G131">
        <v>344</v>
      </c>
      <c r="H131" t="s">
        <v>45</v>
      </c>
    </row>
    <row r="132" spans="1:8">
      <c r="A132">
        <v>8068</v>
      </c>
      <c r="B132" t="s">
        <v>260</v>
      </c>
      <c r="C132" t="s">
        <v>55</v>
      </c>
      <c r="D132" t="s">
        <v>75</v>
      </c>
      <c r="E132">
        <v>15.99</v>
      </c>
      <c r="F132" t="str">
        <f>C132&amp;D132</f>
        <v>IndiaCryptocurrency</v>
      </c>
      <c r="G132">
        <v>77</v>
      </c>
      <c r="H132" t="s">
        <v>78</v>
      </c>
    </row>
    <row r="133" spans="1:8">
      <c r="A133">
        <v>8425</v>
      </c>
      <c r="B133" t="s">
        <v>34</v>
      </c>
      <c r="C133" t="s">
        <v>68</v>
      </c>
      <c r="D133" t="s">
        <v>75</v>
      </c>
      <c r="E133">
        <v>7.99</v>
      </c>
      <c r="F133" t="str">
        <f>C133&amp;D133</f>
        <v>AustraliaCryptocurrency</v>
      </c>
      <c r="G133">
        <v>237</v>
      </c>
      <c r="H133" t="s">
        <v>45</v>
      </c>
    </row>
    <row r="134" spans="1:8">
      <c r="A134">
        <v>4706</v>
      </c>
      <c r="B134" t="s">
        <v>170</v>
      </c>
      <c r="C134" t="s">
        <v>92</v>
      </c>
      <c r="D134" t="s">
        <v>28</v>
      </c>
      <c r="E134">
        <v>11.99</v>
      </c>
      <c r="F134" t="str">
        <f>C134&amp;D134</f>
        <v>FrancePayPal</v>
      </c>
      <c r="G134">
        <v>480</v>
      </c>
      <c r="H134" t="s">
        <v>57</v>
      </c>
    </row>
    <row r="135" spans="1:8">
      <c r="A135">
        <v>7544</v>
      </c>
      <c r="B135" t="s">
        <v>262</v>
      </c>
      <c r="C135" t="s">
        <v>49</v>
      </c>
      <c r="D135" t="s">
        <v>56</v>
      </c>
      <c r="E135">
        <v>15.99</v>
      </c>
      <c r="F135" t="str">
        <f>C135&amp;D135</f>
        <v>UKCredit Card</v>
      </c>
      <c r="G135">
        <v>152</v>
      </c>
      <c r="H135" t="s">
        <v>45</v>
      </c>
    </row>
    <row r="136" spans="1:8">
      <c r="A136">
        <v>4029</v>
      </c>
      <c r="B136" t="s">
        <v>263</v>
      </c>
      <c r="C136" t="s">
        <v>43</v>
      </c>
      <c r="D136" t="s">
        <v>44</v>
      </c>
      <c r="E136">
        <v>11.99</v>
      </c>
      <c r="F136" t="str">
        <f>C136&amp;D136</f>
        <v>CanadaDebit Card</v>
      </c>
      <c r="G136">
        <v>308</v>
      </c>
      <c r="H136" t="s">
        <v>37</v>
      </c>
    </row>
    <row r="137" spans="1:8">
      <c r="A137">
        <v>6117</v>
      </c>
      <c r="B137" t="s">
        <v>147</v>
      </c>
      <c r="C137" t="s">
        <v>68</v>
      </c>
      <c r="D137" t="s">
        <v>56</v>
      </c>
      <c r="E137">
        <v>7.99</v>
      </c>
      <c r="F137" t="str">
        <f>C137&amp;D137</f>
        <v>AustraliaCredit Card</v>
      </c>
      <c r="G137">
        <v>14</v>
      </c>
      <c r="H137" t="s">
        <v>29</v>
      </c>
    </row>
    <row r="138" spans="1:8">
      <c r="A138">
        <v>1408</v>
      </c>
      <c r="B138" t="s">
        <v>266</v>
      </c>
      <c r="C138" t="s">
        <v>55</v>
      </c>
      <c r="D138" t="s">
        <v>44</v>
      </c>
      <c r="E138">
        <v>11.99</v>
      </c>
      <c r="F138" t="str">
        <f>C138&amp;D138</f>
        <v>IndiaDebit Card</v>
      </c>
      <c r="G138">
        <v>233</v>
      </c>
      <c r="H138" t="s">
        <v>29</v>
      </c>
    </row>
    <row r="139" spans="1:8">
      <c r="A139">
        <v>8396</v>
      </c>
      <c r="B139" t="s">
        <v>52</v>
      </c>
      <c r="C139" t="s">
        <v>74</v>
      </c>
      <c r="D139" t="s">
        <v>28</v>
      </c>
      <c r="E139">
        <v>7.99</v>
      </c>
      <c r="F139" t="str">
        <f>C139&amp;D139</f>
        <v>GermanyPayPal</v>
      </c>
      <c r="G139">
        <v>169</v>
      </c>
      <c r="H139" t="s">
        <v>78</v>
      </c>
    </row>
    <row r="140" spans="1:8">
      <c r="A140">
        <v>6806</v>
      </c>
      <c r="B140" t="s">
        <v>268</v>
      </c>
      <c r="C140" t="s">
        <v>74</v>
      </c>
      <c r="D140" t="s">
        <v>44</v>
      </c>
      <c r="E140">
        <v>7.99</v>
      </c>
      <c r="F140" t="str">
        <f>C140&amp;D140</f>
        <v>GermanyDebit Card</v>
      </c>
      <c r="G140">
        <v>358</v>
      </c>
      <c r="H140" t="s">
        <v>45</v>
      </c>
    </row>
    <row r="141" spans="1:8">
      <c r="A141">
        <v>3496</v>
      </c>
      <c r="B141" t="s">
        <v>242</v>
      </c>
      <c r="C141" t="s">
        <v>55</v>
      </c>
      <c r="D141" t="s">
        <v>28</v>
      </c>
      <c r="E141">
        <v>11.99</v>
      </c>
      <c r="F141" t="str">
        <f>C141&amp;D141</f>
        <v>IndiaPayPal</v>
      </c>
      <c r="G141">
        <v>404</v>
      </c>
      <c r="H141" t="s">
        <v>37</v>
      </c>
    </row>
    <row r="142" spans="1:8">
      <c r="A142">
        <v>7840</v>
      </c>
      <c r="B142" t="s">
        <v>270</v>
      </c>
      <c r="C142" t="s">
        <v>49</v>
      </c>
      <c r="D142" t="s">
        <v>28</v>
      </c>
      <c r="E142">
        <v>15.99</v>
      </c>
      <c r="F142" t="str">
        <f>C142&amp;D142</f>
        <v>UKPayPal</v>
      </c>
      <c r="G142">
        <v>131</v>
      </c>
      <c r="H142" t="s">
        <v>29</v>
      </c>
    </row>
    <row r="143" spans="1:8">
      <c r="A143">
        <v>2099</v>
      </c>
      <c r="B143" t="s">
        <v>157</v>
      </c>
      <c r="C143" t="s">
        <v>74</v>
      </c>
      <c r="D143" t="s">
        <v>75</v>
      </c>
      <c r="E143">
        <v>11.99</v>
      </c>
      <c r="F143" t="str">
        <f>C143&amp;D143</f>
        <v>GermanyCryptocurrency</v>
      </c>
      <c r="G143">
        <v>32</v>
      </c>
      <c r="H143" t="s">
        <v>29</v>
      </c>
    </row>
    <row r="144" spans="1:8">
      <c r="A144">
        <v>6518</v>
      </c>
      <c r="B144" t="s">
        <v>271</v>
      </c>
      <c r="C144" t="s">
        <v>49</v>
      </c>
      <c r="D144" t="s">
        <v>28</v>
      </c>
      <c r="E144">
        <v>7.99</v>
      </c>
      <c r="F144" t="str">
        <f>C144&amp;D144</f>
        <v>UKPayPal</v>
      </c>
      <c r="G144">
        <v>478</v>
      </c>
      <c r="H144" t="s">
        <v>57</v>
      </c>
    </row>
    <row r="145" spans="1:8">
      <c r="A145">
        <v>1976</v>
      </c>
      <c r="B145" t="s">
        <v>249</v>
      </c>
      <c r="C145" t="s">
        <v>49</v>
      </c>
      <c r="D145" t="s">
        <v>44</v>
      </c>
      <c r="E145">
        <v>11.99</v>
      </c>
      <c r="F145" t="str">
        <f>C145&amp;D145</f>
        <v>UKDebit Card</v>
      </c>
      <c r="G145">
        <v>88</v>
      </c>
      <c r="H145" t="s">
        <v>45</v>
      </c>
    </row>
    <row r="146" spans="1:8">
      <c r="A146">
        <v>8777</v>
      </c>
      <c r="B146" t="s">
        <v>272</v>
      </c>
      <c r="C146" t="s">
        <v>92</v>
      </c>
      <c r="D146" t="s">
        <v>56</v>
      </c>
      <c r="E146">
        <v>11.99</v>
      </c>
      <c r="F146" t="str">
        <f>C146&amp;D146</f>
        <v>FranceCredit Card</v>
      </c>
      <c r="G146">
        <v>395</v>
      </c>
      <c r="H146" t="s">
        <v>37</v>
      </c>
    </row>
    <row r="147" spans="1:8">
      <c r="A147">
        <v>1576</v>
      </c>
      <c r="B147" t="s">
        <v>166</v>
      </c>
      <c r="C147" t="s">
        <v>68</v>
      </c>
      <c r="D147" t="s">
        <v>75</v>
      </c>
      <c r="E147">
        <v>11.99</v>
      </c>
      <c r="F147" t="str">
        <f>C147&amp;D147</f>
        <v>AustraliaCryptocurrency</v>
      </c>
      <c r="G147">
        <v>385</v>
      </c>
      <c r="H147" t="s">
        <v>78</v>
      </c>
    </row>
    <row r="148" spans="1:8">
      <c r="A148">
        <v>7979</v>
      </c>
      <c r="B148" t="s">
        <v>274</v>
      </c>
      <c r="C148" t="s">
        <v>92</v>
      </c>
      <c r="D148" t="s">
        <v>28</v>
      </c>
      <c r="E148">
        <v>11.99</v>
      </c>
      <c r="F148" t="str">
        <f>C148&amp;D148</f>
        <v>FrancePayPal</v>
      </c>
      <c r="G148">
        <v>280</v>
      </c>
      <c r="H148" t="s">
        <v>57</v>
      </c>
    </row>
    <row r="149" spans="1:8">
      <c r="A149">
        <v>6300</v>
      </c>
      <c r="B149" t="s">
        <v>275</v>
      </c>
      <c r="C149" t="s">
        <v>68</v>
      </c>
      <c r="D149" t="s">
        <v>75</v>
      </c>
      <c r="E149">
        <v>15.99</v>
      </c>
      <c r="F149" t="str">
        <f>C149&amp;D149</f>
        <v>AustraliaCryptocurrency</v>
      </c>
      <c r="G149">
        <v>164</v>
      </c>
      <c r="H149" t="s">
        <v>37</v>
      </c>
    </row>
    <row r="150" spans="1:8">
      <c r="A150">
        <v>1003</v>
      </c>
      <c r="B150" t="s">
        <v>276</v>
      </c>
      <c r="C150" t="s">
        <v>74</v>
      </c>
      <c r="D150" t="s">
        <v>75</v>
      </c>
      <c r="E150">
        <v>11.99</v>
      </c>
      <c r="F150" t="str">
        <f>C150&amp;D150</f>
        <v>GermanyCryptocurrency</v>
      </c>
      <c r="G150">
        <v>433</v>
      </c>
      <c r="H150" t="s">
        <v>57</v>
      </c>
    </row>
    <row r="151" spans="1:8">
      <c r="A151">
        <v>8238</v>
      </c>
      <c r="B151" t="s">
        <v>277</v>
      </c>
      <c r="C151" t="s">
        <v>92</v>
      </c>
      <c r="D151" t="s">
        <v>28</v>
      </c>
      <c r="E151">
        <v>7.99</v>
      </c>
      <c r="F151" t="str">
        <f>C151&amp;D151</f>
        <v>FrancePayPal</v>
      </c>
      <c r="G151">
        <v>460</v>
      </c>
      <c r="H151" t="s">
        <v>37</v>
      </c>
    </row>
    <row r="152" spans="1:8">
      <c r="A152">
        <v>8261</v>
      </c>
      <c r="B152" t="s">
        <v>153</v>
      </c>
      <c r="C152" t="s">
        <v>74</v>
      </c>
      <c r="D152" t="s">
        <v>44</v>
      </c>
      <c r="E152">
        <v>7.99</v>
      </c>
      <c r="F152" t="str">
        <f>C152&amp;D152</f>
        <v>GermanyDebit Card</v>
      </c>
      <c r="G152">
        <v>374</v>
      </c>
      <c r="H152" t="s">
        <v>29</v>
      </c>
    </row>
    <row r="153" spans="1:8">
      <c r="A153">
        <v>7729</v>
      </c>
      <c r="B153" t="s">
        <v>118</v>
      </c>
      <c r="C153" t="s">
        <v>74</v>
      </c>
      <c r="D153" t="s">
        <v>28</v>
      </c>
      <c r="E153">
        <v>11.99</v>
      </c>
      <c r="F153" t="str">
        <f>C153&amp;D153</f>
        <v>GermanyPayPal</v>
      </c>
      <c r="G153">
        <v>147</v>
      </c>
      <c r="H153" t="s">
        <v>29</v>
      </c>
    </row>
    <row r="154" spans="1:8">
      <c r="A154">
        <v>8616</v>
      </c>
      <c r="B154" t="s">
        <v>224</v>
      </c>
      <c r="C154" t="s">
        <v>49</v>
      </c>
      <c r="D154" t="s">
        <v>44</v>
      </c>
      <c r="E154">
        <v>11.99</v>
      </c>
      <c r="F154" t="str">
        <f>C154&amp;D154</f>
        <v>UKDebit Card</v>
      </c>
      <c r="G154">
        <v>129</v>
      </c>
      <c r="H154" t="s">
        <v>45</v>
      </c>
    </row>
    <row r="155" spans="1:8">
      <c r="A155">
        <v>9734</v>
      </c>
      <c r="B155" t="s">
        <v>116</v>
      </c>
      <c r="C155" t="s">
        <v>43</v>
      </c>
      <c r="D155" t="s">
        <v>75</v>
      </c>
      <c r="E155">
        <v>15.99</v>
      </c>
      <c r="F155" t="str">
        <f>C155&amp;D155</f>
        <v>CanadaCryptocurrency</v>
      </c>
      <c r="G155">
        <v>217</v>
      </c>
      <c r="H155" t="s">
        <v>78</v>
      </c>
    </row>
    <row r="156" spans="1:8">
      <c r="A156">
        <v>2086</v>
      </c>
      <c r="B156" t="s">
        <v>280</v>
      </c>
      <c r="C156" t="s">
        <v>27</v>
      </c>
      <c r="D156" t="s">
        <v>28</v>
      </c>
      <c r="E156">
        <v>7.99</v>
      </c>
      <c r="F156" t="str">
        <f>C156&amp;D156</f>
        <v>USAPayPal</v>
      </c>
      <c r="G156">
        <v>426</v>
      </c>
      <c r="H156" t="s">
        <v>37</v>
      </c>
    </row>
    <row r="157" spans="1:8">
      <c r="A157">
        <v>8721</v>
      </c>
      <c r="B157" t="s">
        <v>281</v>
      </c>
      <c r="C157" t="s">
        <v>43</v>
      </c>
      <c r="D157" t="s">
        <v>75</v>
      </c>
      <c r="E157">
        <v>15.99</v>
      </c>
      <c r="F157" t="str">
        <f>C157&amp;D157</f>
        <v>CanadaCryptocurrency</v>
      </c>
      <c r="G157">
        <v>81</v>
      </c>
      <c r="H157" t="s">
        <v>45</v>
      </c>
    </row>
    <row r="158" spans="1:8">
      <c r="A158">
        <v>1075</v>
      </c>
      <c r="B158" t="s">
        <v>283</v>
      </c>
      <c r="C158" t="s">
        <v>27</v>
      </c>
      <c r="D158" t="s">
        <v>75</v>
      </c>
      <c r="E158">
        <v>7.99</v>
      </c>
      <c r="F158" t="str">
        <f>C158&amp;D158</f>
        <v>USACryptocurrency</v>
      </c>
      <c r="G158">
        <v>296</v>
      </c>
      <c r="H158" t="s">
        <v>64</v>
      </c>
    </row>
    <row r="159" spans="1:8">
      <c r="A159">
        <v>2690</v>
      </c>
      <c r="B159" t="s">
        <v>177</v>
      </c>
      <c r="C159" t="s">
        <v>92</v>
      </c>
      <c r="D159" t="s">
        <v>75</v>
      </c>
      <c r="E159">
        <v>15.99</v>
      </c>
      <c r="F159" t="str">
        <f>C159&amp;D159</f>
        <v>FranceCryptocurrency</v>
      </c>
      <c r="G159">
        <v>466</v>
      </c>
      <c r="H159" t="s">
        <v>45</v>
      </c>
    </row>
    <row r="160" spans="1:8">
      <c r="A160">
        <v>7654</v>
      </c>
      <c r="B160" t="s">
        <v>120</v>
      </c>
      <c r="C160" t="s">
        <v>43</v>
      </c>
      <c r="D160" t="s">
        <v>44</v>
      </c>
      <c r="E160">
        <v>11.99</v>
      </c>
      <c r="F160" t="str">
        <f>C160&amp;D160</f>
        <v>CanadaDebit Card</v>
      </c>
      <c r="G160">
        <v>424</v>
      </c>
      <c r="H160" t="s">
        <v>57</v>
      </c>
    </row>
    <row r="161" spans="1:8">
      <c r="A161">
        <v>7577</v>
      </c>
      <c r="B161" t="s">
        <v>284</v>
      </c>
      <c r="C161" t="s">
        <v>92</v>
      </c>
      <c r="D161" t="s">
        <v>56</v>
      </c>
      <c r="E161">
        <v>15.99</v>
      </c>
      <c r="F161" t="str">
        <f>C161&amp;D161</f>
        <v>FranceCredit Card</v>
      </c>
      <c r="G161">
        <v>233</v>
      </c>
      <c r="H161" t="s">
        <v>29</v>
      </c>
    </row>
    <row r="162" spans="1:8">
      <c r="A162">
        <v>9814</v>
      </c>
      <c r="B162" t="s">
        <v>286</v>
      </c>
      <c r="C162" t="s">
        <v>27</v>
      </c>
      <c r="D162" t="s">
        <v>28</v>
      </c>
      <c r="E162">
        <v>11.99</v>
      </c>
      <c r="F162" t="str">
        <f>C162&amp;D162</f>
        <v>USAPayPal</v>
      </c>
      <c r="G162">
        <v>413</v>
      </c>
      <c r="H162" t="s">
        <v>78</v>
      </c>
    </row>
    <row r="163" spans="1:8">
      <c r="A163">
        <v>5423</v>
      </c>
      <c r="B163" t="s">
        <v>50</v>
      </c>
      <c r="C163" t="s">
        <v>68</v>
      </c>
      <c r="D163" t="s">
        <v>28</v>
      </c>
      <c r="E163">
        <v>7.99</v>
      </c>
      <c r="F163" t="str">
        <f>C163&amp;D163</f>
        <v>AustraliaPayPal</v>
      </c>
      <c r="G163">
        <v>278</v>
      </c>
      <c r="H163" t="s">
        <v>45</v>
      </c>
    </row>
    <row r="164" spans="1:8">
      <c r="A164">
        <v>2660</v>
      </c>
      <c r="B164" t="s">
        <v>288</v>
      </c>
      <c r="C164" t="s">
        <v>27</v>
      </c>
      <c r="D164" t="s">
        <v>56</v>
      </c>
      <c r="E164">
        <v>11.99</v>
      </c>
      <c r="F164" t="str">
        <f>C164&amp;D164</f>
        <v>USACredit Card</v>
      </c>
      <c r="G164">
        <v>351</v>
      </c>
      <c r="H164" t="s">
        <v>37</v>
      </c>
    </row>
    <row r="165" spans="1:8">
      <c r="A165">
        <v>4206</v>
      </c>
      <c r="B165" t="s">
        <v>190</v>
      </c>
      <c r="C165" t="s">
        <v>49</v>
      </c>
      <c r="D165" t="s">
        <v>56</v>
      </c>
      <c r="E165">
        <v>11.99</v>
      </c>
      <c r="F165" t="str">
        <f>C165&amp;D165</f>
        <v>UKCredit Card</v>
      </c>
      <c r="G165">
        <v>354</v>
      </c>
      <c r="H165" t="s">
        <v>64</v>
      </c>
    </row>
    <row r="166" spans="1:8">
      <c r="A166">
        <v>5269</v>
      </c>
      <c r="B166" t="s">
        <v>50</v>
      </c>
      <c r="C166" t="s">
        <v>55</v>
      </c>
      <c r="D166" t="s">
        <v>75</v>
      </c>
      <c r="E166">
        <v>11.99</v>
      </c>
      <c r="F166" t="str">
        <f>C166&amp;D166</f>
        <v>IndiaCryptocurrency</v>
      </c>
      <c r="G166">
        <v>192</v>
      </c>
      <c r="H166" t="s">
        <v>64</v>
      </c>
    </row>
    <row r="167" spans="1:8">
      <c r="A167">
        <v>7922</v>
      </c>
      <c r="B167" t="s">
        <v>290</v>
      </c>
      <c r="C167" t="s">
        <v>49</v>
      </c>
      <c r="D167" t="s">
        <v>28</v>
      </c>
      <c r="E167">
        <v>7.99</v>
      </c>
      <c r="F167" t="str">
        <f>C167&amp;D167</f>
        <v>UKPayPal</v>
      </c>
      <c r="G167">
        <v>176</v>
      </c>
      <c r="H167" t="s">
        <v>37</v>
      </c>
    </row>
    <row r="168" spans="1:8">
      <c r="A168">
        <v>7829</v>
      </c>
      <c r="B168" t="s">
        <v>291</v>
      </c>
      <c r="C168" t="s">
        <v>43</v>
      </c>
      <c r="D168" t="s">
        <v>28</v>
      </c>
      <c r="E168">
        <v>7.99</v>
      </c>
      <c r="F168" t="str">
        <f>C168&amp;D168</f>
        <v>CanadaPayPal</v>
      </c>
      <c r="G168">
        <v>482</v>
      </c>
      <c r="H168" t="s">
        <v>45</v>
      </c>
    </row>
    <row r="169" spans="1:8">
      <c r="A169">
        <v>1715</v>
      </c>
      <c r="B169" t="s">
        <v>254</v>
      </c>
      <c r="C169" t="s">
        <v>49</v>
      </c>
      <c r="D169" t="s">
        <v>44</v>
      </c>
      <c r="E169">
        <v>7.99</v>
      </c>
      <c r="F169" t="str">
        <f>C169&amp;D169</f>
        <v>UKDebit Card</v>
      </c>
      <c r="G169">
        <v>87</v>
      </c>
      <c r="H169" t="s">
        <v>29</v>
      </c>
    </row>
    <row r="170" spans="1:8">
      <c r="A170">
        <v>2639</v>
      </c>
      <c r="B170" t="s">
        <v>294</v>
      </c>
      <c r="C170" t="s">
        <v>68</v>
      </c>
      <c r="D170" t="s">
        <v>44</v>
      </c>
      <c r="E170">
        <v>11.99</v>
      </c>
      <c r="F170" t="str">
        <f>C170&amp;D170</f>
        <v>AustraliaDebit Card</v>
      </c>
      <c r="G170">
        <v>163</v>
      </c>
      <c r="H170" t="s">
        <v>64</v>
      </c>
    </row>
    <row r="171" spans="1:8">
      <c r="A171">
        <v>1801</v>
      </c>
      <c r="B171" t="s">
        <v>174</v>
      </c>
      <c r="C171" t="s">
        <v>74</v>
      </c>
      <c r="D171" t="s">
        <v>56</v>
      </c>
      <c r="E171">
        <v>11.99</v>
      </c>
      <c r="F171" t="str">
        <f>C171&amp;D171</f>
        <v>GermanyCredit Card</v>
      </c>
      <c r="G171">
        <v>419</v>
      </c>
      <c r="H171" t="s">
        <v>37</v>
      </c>
    </row>
    <row r="172" spans="1:8">
      <c r="A172">
        <v>9163</v>
      </c>
      <c r="B172" t="s">
        <v>274</v>
      </c>
      <c r="C172" t="s">
        <v>55</v>
      </c>
      <c r="D172" t="s">
        <v>44</v>
      </c>
      <c r="E172">
        <v>11.99</v>
      </c>
      <c r="F172" t="str">
        <f>C172&amp;D172</f>
        <v>IndiaDebit Card</v>
      </c>
      <c r="G172">
        <v>203</v>
      </c>
      <c r="H172" t="s">
        <v>78</v>
      </c>
    </row>
    <row r="173" spans="1:8">
      <c r="A173">
        <v>1284</v>
      </c>
      <c r="B173" t="s">
        <v>157</v>
      </c>
      <c r="C173" t="s">
        <v>68</v>
      </c>
      <c r="D173" t="s">
        <v>56</v>
      </c>
      <c r="E173">
        <v>7.99</v>
      </c>
      <c r="F173" t="str">
        <f>C173&amp;D173</f>
        <v>AustraliaCredit Card</v>
      </c>
      <c r="G173">
        <v>405</v>
      </c>
      <c r="H173" t="s">
        <v>78</v>
      </c>
    </row>
    <row r="174" spans="1:8">
      <c r="A174">
        <v>8774</v>
      </c>
      <c r="B174" t="s">
        <v>296</v>
      </c>
      <c r="C174" t="s">
        <v>27</v>
      </c>
      <c r="D174" t="s">
        <v>75</v>
      </c>
      <c r="E174">
        <v>15.99</v>
      </c>
      <c r="F174" t="str">
        <f>C174&amp;D174</f>
        <v>USACryptocurrency</v>
      </c>
      <c r="G174">
        <v>496</v>
      </c>
      <c r="H174" t="s">
        <v>78</v>
      </c>
    </row>
    <row r="175" spans="1:8">
      <c r="A175">
        <v>3866</v>
      </c>
      <c r="B175" t="s">
        <v>297</v>
      </c>
      <c r="C175" t="s">
        <v>74</v>
      </c>
      <c r="D175" t="s">
        <v>44</v>
      </c>
      <c r="E175">
        <v>15.99</v>
      </c>
      <c r="F175" t="str">
        <f>C175&amp;D175</f>
        <v>GermanyDebit Card</v>
      </c>
      <c r="G175">
        <v>328</v>
      </c>
      <c r="H175" t="s">
        <v>45</v>
      </c>
    </row>
    <row r="176" spans="1:8">
      <c r="A176">
        <v>4477</v>
      </c>
      <c r="B176" t="s">
        <v>272</v>
      </c>
      <c r="C176" t="s">
        <v>49</v>
      </c>
      <c r="D176" t="s">
        <v>28</v>
      </c>
      <c r="E176">
        <v>7.99</v>
      </c>
      <c r="F176" t="str">
        <f>C176&amp;D176</f>
        <v>UKPayPal</v>
      </c>
      <c r="G176">
        <v>85</v>
      </c>
      <c r="H176" t="s">
        <v>37</v>
      </c>
    </row>
    <row r="177" spans="1:8">
      <c r="A177">
        <v>4829</v>
      </c>
      <c r="B177" t="s">
        <v>299</v>
      </c>
      <c r="C177" t="s">
        <v>74</v>
      </c>
      <c r="D177" t="s">
        <v>56</v>
      </c>
      <c r="E177">
        <v>11.99</v>
      </c>
      <c r="F177" t="str">
        <f>C177&amp;D177</f>
        <v>GermanyCredit Card</v>
      </c>
      <c r="G177">
        <v>386</v>
      </c>
      <c r="H177" t="s">
        <v>29</v>
      </c>
    </row>
    <row r="178" spans="1:8">
      <c r="A178">
        <v>1257</v>
      </c>
      <c r="B178" t="s">
        <v>257</v>
      </c>
      <c r="C178" t="s">
        <v>43</v>
      </c>
      <c r="D178" t="s">
        <v>28</v>
      </c>
      <c r="E178">
        <v>7.99</v>
      </c>
      <c r="F178" t="str">
        <f>C178&amp;D178</f>
        <v>CanadaPayPal</v>
      </c>
      <c r="G178">
        <v>245</v>
      </c>
      <c r="H178" t="s">
        <v>37</v>
      </c>
    </row>
    <row r="179" spans="1:8">
      <c r="A179">
        <v>1897</v>
      </c>
      <c r="B179" t="s">
        <v>301</v>
      </c>
      <c r="C179" t="s">
        <v>55</v>
      </c>
      <c r="D179" t="s">
        <v>28</v>
      </c>
      <c r="E179">
        <v>11.99</v>
      </c>
      <c r="F179" t="str">
        <f>C179&amp;D179</f>
        <v>IndiaPayPal</v>
      </c>
      <c r="G179">
        <v>97</v>
      </c>
      <c r="H179" t="s">
        <v>78</v>
      </c>
    </row>
    <row r="180" spans="1:8">
      <c r="A180">
        <v>3603</v>
      </c>
      <c r="B180" t="s">
        <v>302</v>
      </c>
      <c r="C180" t="s">
        <v>27</v>
      </c>
      <c r="D180" t="s">
        <v>56</v>
      </c>
      <c r="E180">
        <v>7.99</v>
      </c>
      <c r="F180" t="str">
        <f>C180&amp;D180</f>
        <v>USACredit Card</v>
      </c>
      <c r="G180">
        <v>216</v>
      </c>
      <c r="H180" t="s">
        <v>45</v>
      </c>
    </row>
    <row r="181" spans="1:8">
      <c r="A181">
        <v>9256</v>
      </c>
      <c r="B181" t="s">
        <v>257</v>
      </c>
      <c r="C181" t="s">
        <v>92</v>
      </c>
      <c r="D181" t="s">
        <v>56</v>
      </c>
      <c r="E181">
        <v>7.99</v>
      </c>
      <c r="F181" t="str">
        <f>C181&amp;D181</f>
        <v>FranceCredit Card</v>
      </c>
      <c r="G181">
        <v>331</v>
      </c>
      <c r="H181" t="s">
        <v>78</v>
      </c>
    </row>
    <row r="182" spans="1:8">
      <c r="A182">
        <v>9469</v>
      </c>
      <c r="B182" t="s">
        <v>101</v>
      </c>
      <c r="C182" t="s">
        <v>74</v>
      </c>
      <c r="D182" t="s">
        <v>56</v>
      </c>
      <c r="E182">
        <v>11.99</v>
      </c>
      <c r="F182" t="str">
        <f>C182&amp;D182</f>
        <v>GermanyCredit Card</v>
      </c>
      <c r="G182">
        <v>451</v>
      </c>
      <c r="H182" t="s">
        <v>37</v>
      </c>
    </row>
    <row r="183" spans="1:8">
      <c r="A183">
        <v>7136</v>
      </c>
      <c r="B183" t="s">
        <v>143</v>
      </c>
      <c r="C183" t="s">
        <v>92</v>
      </c>
      <c r="D183" t="s">
        <v>28</v>
      </c>
      <c r="E183">
        <v>7.99</v>
      </c>
      <c r="F183" t="str">
        <f>C183&amp;D183</f>
        <v>FrancePayPal</v>
      </c>
      <c r="G183">
        <v>326</v>
      </c>
      <c r="H183" t="s">
        <v>29</v>
      </c>
    </row>
    <row r="184" spans="1:8">
      <c r="A184">
        <v>2321</v>
      </c>
      <c r="B184" t="s">
        <v>304</v>
      </c>
      <c r="C184" t="s">
        <v>92</v>
      </c>
      <c r="D184" t="s">
        <v>44</v>
      </c>
      <c r="E184">
        <v>15.99</v>
      </c>
      <c r="F184" t="str">
        <f>C184&amp;D184</f>
        <v>FranceDebit Card</v>
      </c>
      <c r="G184">
        <v>358</v>
      </c>
      <c r="H184" t="s">
        <v>29</v>
      </c>
    </row>
    <row r="185" spans="1:8">
      <c r="A185">
        <v>4243</v>
      </c>
      <c r="B185" t="s">
        <v>272</v>
      </c>
      <c r="C185" t="s">
        <v>43</v>
      </c>
      <c r="D185" t="s">
        <v>75</v>
      </c>
      <c r="E185">
        <v>15.99</v>
      </c>
      <c r="F185" t="str">
        <f>C185&amp;D185</f>
        <v>CanadaCryptocurrency</v>
      </c>
      <c r="G185">
        <v>91</v>
      </c>
      <c r="H185" t="s">
        <v>64</v>
      </c>
    </row>
    <row r="186" spans="1:8">
      <c r="A186">
        <v>8015</v>
      </c>
      <c r="B186" t="s">
        <v>307</v>
      </c>
      <c r="C186" t="s">
        <v>49</v>
      </c>
      <c r="D186" t="s">
        <v>44</v>
      </c>
      <c r="E186">
        <v>7.99</v>
      </c>
      <c r="F186" t="str">
        <f>C186&amp;D186</f>
        <v>UKDebit Card</v>
      </c>
      <c r="G186">
        <v>478</v>
      </c>
      <c r="H186" t="s">
        <v>57</v>
      </c>
    </row>
    <row r="187" spans="1:8">
      <c r="A187">
        <v>3440</v>
      </c>
      <c r="B187" t="s">
        <v>101</v>
      </c>
      <c r="C187" t="s">
        <v>92</v>
      </c>
      <c r="D187" t="s">
        <v>28</v>
      </c>
      <c r="E187">
        <v>7.99</v>
      </c>
      <c r="F187" t="str">
        <f>C187&amp;D187</f>
        <v>FrancePayPal</v>
      </c>
      <c r="G187">
        <v>16</v>
      </c>
      <c r="H187" t="s">
        <v>45</v>
      </c>
    </row>
    <row r="188" spans="1:8">
      <c r="A188">
        <v>9914</v>
      </c>
      <c r="B188" t="s">
        <v>197</v>
      </c>
      <c r="C188" t="s">
        <v>74</v>
      </c>
      <c r="D188" t="s">
        <v>28</v>
      </c>
      <c r="E188">
        <v>11.99</v>
      </c>
      <c r="F188" t="str">
        <f>C188&amp;D188</f>
        <v>GermanyPayPal</v>
      </c>
      <c r="G188">
        <v>44</v>
      </c>
      <c r="H188" t="s">
        <v>64</v>
      </c>
    </row>
    <row r="189" spans="1:8">
      <c r="A189">
        <v>5045</v>
      </c>
      <c r="B189" t="s">
        <v>140</v>
      </c>
      <c r="C189" t="s">
        <v>92</v>
      </c>
      <c r="D189" t="s">
        <v>28</v>
      </c>
      <c r="E189">
        <v>11.99</v>
      </c>
      <c r="F189" t="str">
        <f>C189&amp;D189</f>
        <v>FrancePayPal</v>
      </c>
      <c r="G189">
        <v>100</v>
      </c>
      <c r="H189" t="s">
        <v>45</v>
      </c>
    </row>
    <row r="190" spans="1:8">
      <c r="A190">
        <v>1379</v>
      </c>
      <c r="B190" t="s">
        <v>240</v>
      </c>
      <c r="C190" t="s">
        <v>49</v>
      </c>
      <c r="D190" t="s">
        <v>28</v>
      </c>
      <c r="E190">
        <v>11.99</v>
      </c>
      <c r="F190" t="str">
        <f>C190&amp;D190</f>
        <v>UKPayPal</v>
      </c>
      <c r="G190">
        <v>44</v>
      </c>
      <c r="H190" t="s">
        <v>64</v>
      </c>
    </row>
    <row r="191" spans="1:8">
      <c r="A191">
        <v>6099</v>
      </c>
      <c r="B191" t="s">
        <v>311</v>
      </c>
      <c r="C191" t="s">
        <v>43</v>
      </c>
      <c r="D191" t="s">
        <v>44</v>
      </c>
      <c r="E191">
        <v>11.99</v>
      </c>
      <c r="F191" t="str">
        <f>C191&amp;D191</f>
        <v>CanadaDebit Card</v>
      </c>
      <c r="G191">
        <v>37</v>
      </c>
      <c r="H191" t="s">
        <v>78</v>
      </c>
    </row>
    <row r="192" spans="1:8">
      <c r="A192">
        <v>4696</v>
      </c>
      <c r="B192" t="s">
        <v>313</v>
      </c>
      <c r="C192" t="s">
        <v>27</v>
      </c>
      <c r="D192" t="s">
        <v>75</v>
      </c>
      <c r="E192">
        <v>15.99</v>
      </c>
      <c r="F192" t="str">
        <f>C192&amp;D192</f>
        <v>USACryptocurrency</v>
      </c>
      <c r="G192">
        <v>48</v>
      </c>
      <c r="H192" t="s">
        <v>78</v>
      </c>
    </row>
    <row r="193" spans="1:8">
      <c r="A193">
        <v>4808</v>
      </c>
      <c r="B193" t="s">
        <v>280</v>
      </c>
      <c r="C193" t="s">
        <v>43</v>
      </c>
      <c r="D193" t="s">
        <v>28</v>
      </c>
      <c r="E193">
        <v>7.99</v>
      </c>
      <c r="F193" t="str">
        <f>C193&amp;D193</f>
        <v>CanadaPayPal</v>
      </c>
      <c r="G193">
        <v>371</v>
      </c>
      <c r="H193" t="s">
        <v>57</v>
      </c>
    </row>
    <row r="194" spans="1:8">
      <c r="A194">
        <v>3633</v>
      </c>
      <c r="B194" t="s">
        <v>316</v>
      </c>
      <c r="C194" t="s">
        <v>92</v>
      </c>
      <c r="D194" t="s">
        <v>75</v>
      </c>
      <c r="E194">
        <v>7.99</v>
      </c>
      <c r="F194" t="str">
        <f>C194&amp;D194</f>
        <v>FranceCryptocurrency</v>
      </c>
      <c r="G194">
        <v>176</v>
      </c>
      <c r="H194" t="s">
        <v>64</v>
      </c>
    </row>
    <row r="195" spans="1:8">
      <c r="A195">
        <v>4979</v>
      </c>
      <c r="B195" t="s">
        <v>255</v>
      </c>
      <c r="C195" t="s">
        <v>68</v>
      </c>
      <c r="D195" t="s">
        <v>28</v>
      </c>
      <c r="E195">
        <v>15.99</v>
      </c>
      <c r="F195" t="str">
        <f>C195&amp;D195</f>
        <v>AustraliaPayPal</v>
      </c>
      <c r="G195">
        <v>312</v>
      </c>
      <c r="H195" t="s">
        <v>57</v>
      </c>
    </row>
    <row r="196" spans="1:8">
      <c r="A196">
        <v>2214</v>
      </c>
      <c r="B196" t="s">
        <v>318</v>
      </c>
      <c r="C196" t="s">
        <v>55</v>
      </c>
      <c r="D196" t="s">
        <v>28</v>
      </c>
      <c r="E196">
        <v>7.99</v>
      </c>
      <c r="F196" t="str">
        <f>C196&amp;D196</f>
        <v>IndiaPayPal</v>
      </c>
      <c r="G196">
        <v>375</v>
      </c>
      <c r="H196" t="s">
        <v>78</v>
      </c>
    </row>
    <row r="197" spans="1:8">
      <c r="A197">
        <v>6606</v>
      </c>
      <c r="B197" t="s">
        <v>311</v>
      </c>
      <c r="C197" t="s">
        <v>92</v>
      </c>
      <c r="D197" t="s">
        <v>75</v>
      </c>
      <c r="E197">
        <v>15.99</v>
      </c>
      <c r="F197" t="str">
        <f>C197&amp;D197</f>
        <v>FranceCryptocurrency</v>
      </c>
      <c r="G197">
        <v>134</v>
      </c>
      <c r="H197" t="s">
        <v>64</v>
      </c>
    </row>
    <row r="198" spans="1:8">
      <c r="A198">
        <v>4246</v>
      </c>
      <c r="B198" t="s">
        <v>259</v>
      </c>
      <c r="C198" t="s">
        <v>49</v>
      </c>
      <c r="D198" t="s">
        <v>28</v>
      </c>
      <c r="E198">
        <v>7.99</v>
      </c>
      <c r="F198" t="str">
        <f>C198&amp;D198</f>
        <v>UKPayPal</v>
      </c>
      <c r="G198">
        <v>91</v>
      </c>
      <c r="H198" t="s">
        <v>57</v>
      </c>
    </row>
    <row r="199" spans="1:8">
      <c r="A199">
        <v>2836</v>
      </c>
      <c r="B199" t="s">
        <v>232</v>
      </c>
      <c r="C199" t="s">
        <v>68</v>
      </c>
      <c r="D199" t="s">
        <v>75</v>
      </c>
      <c r="E199">
        <v>7.99</v>
      </c>
      <c r="F199" t="str">
        <f>C199&amp;D199</f>
        <v>AustraliaCryptocurrency</v>
      </c>
      <c r="G199">
        <v>359</v>
      </c>
      <c r="H199" t="s">
        <v>37</v>
      </c>
    </row>
    <row r="200" spans="1:8">
      <c r="A200">
        <v>6963</v>
      </c>
      <c r="B200" t="s">
        <v>322</v>
      </c>
      <c r="C200" t="s">
        <v>49</v>
      </c>
      <c r="D200" t="s">
        <v>28</v>
      </c>
      <c r="E200">
        <v>15.99</v>
      </c>
      <c r="F200" t="str">
        <f>C200&amp;D200</f>
        <v>UKPayPal</v>
      </c>
      <c r="G200">
        <v>172</v>
      </c>
      <c r="H200" t="s">
        <v>78</v>
      </c>
    </row>
    <row r="201" spans="1:8">
      <c r="A201">
        <v>2243</v>
      </c>
      <c r="B201" t="s">
        <v>323</v>
      </c>
      <c r="C201" t="s">
        <v>92</v>
      </c>
      <c r="D201" t="s">
        <v>75</v>
      </c>
      <c r="E201">
        <v>11.99</v>
      </c>
      <c r="F201" t="str">
        <f>C201&amp;D201</f>
        <v>FranceCryptocurrency</v>
      </c>
      <c r="G201">
        <v>490</v>
      </c>
      <c r="H201" t="s">
        <v>37</v>
      </c>
    </row>
    <row r="202" spans="1:8">
      <c r="A202">
        <v>5081</v>
      </c>
      <c r="B202" t="s">
        <v>325</v>
      </c>
      <c r="C202" t="s">
        <v>68</v>
      </c>
      <c r="D202" t="s">
        <v>75</v>
      </c>
      <c r="E202">
        <v>11.99</v>
      </c>
      <c r="F202" t="str">
        <f>C202&amp;D202</f>
        <v>AustraliaCryptocurrency</v>
      </c>
      <c r="G202">
        <v>16</v>
      </c>
      <c r="H202" t="s">
        <v>29</v>
      </c>
    </row>
    <row r="203" spans="1:8">
      <c r="A203">
        <v>4171</v>
      </c>
      <c r="B203" t="s">
        <v>224</v>
      </c>
      <c r="C203" t="s">
        <v>43</v>
      </c>
      <c r="D203" t="s">
        <v>28</v>
      </c>
      <c r="E203">
        <v>11.99</v>
      </c>
      <c r="F203" t="str">
        <f>C203&amp;D203</f>
        <v>CanadaPayPal</v>
      </c>
      <c r="G203">
        <v>291</v>
      </c>
      <c r="H203" t="s">
        <v>57</v>
      </c>
    </row>
    <row r="204" spans="1:8">
      <c r="A204">
        <v>7399</v>
      </c>
      <c r="B204" t="s">
        <v>201</v>
      </c>
      <c r="C204" t="s">
        <v>74</v>
      </c>
      <c r="D204" t="s">
        <v>44</v>
      </c>
      <c r="E204">
        <v>11.99</v>
      </c>
      <c r="F204" t="str">
        <f>C204&amp;D204</f>
        <v>GermanyDebit Card</v>
      </c>
      <c r="G204">
        <v>119</v>
      </c>
      <c r="H204" t="s">
        <v>29</v>
      </c>
    </row>
    <row r="205" spans="1:8">
      <c r="A205">
        <v>1110</v>
      </c>
      <c r="B205" t="s">
        <v>247</v>
      </c>
      <c r="C205" t="s">
        <v>27</v>
      </c>
      <c r="D205" t="s">
        <v>28</v>
      </c>
      <c r="E205">
        <v>11.99</v>
      </c>
      <c r="F205" t="str">
        <f>C205&amp;D205</f>
        <v>USAPayPal</v>
      </c>
      <c r="G205">
        <v>35</v>
      </c>
      <c r="H205" t="s">
        <v>57</v>
      </c>
    </row>
    <row r="206" spans="1:8">
      <c r="A206">
        <v>5630</v>
      </c>
      <c r="B206" t="s">
        <v>328</v>
      </c>
      <c r="C206" t="s">
        <v>27</v>
      </c>
      <c r="D206" t="s">
        <v>44</v>
      </c>
      <c r="E206">
        <v>7.99</v>
      </c>
      <c r="F206" t="str">
        <f>C206&amp;D206</f>
        <v>USADebit Card</v>
      </c>
      <c r="G206">
        <v>88</v>
      </c>
      <c r="H206" t="s">
        <v>78</v>
      </c>
    </row>
    <row r="207" spans="1:8">
      <c r="A207">
        <v>9430</v>
      </c>
      <c r="B207" t="s">
        <v>329</v>
      </c>
      <c r="C207" t="s">
        <v>49</v>
      </c>
      <c r="D207" t="s">
        <v>44</v>
      </c>
      <c r="E207">
        <v>7.99</v>
      </c>
      <c r="F207" t="str">
        <f>C207&amp;D207</f>
        <v>UKDebit Card</v>
      </c>
      <c r="G207">
        <v>312</v>
      </c>
      <c r="H207" t="s">
        <v>45</v>
      </c>
    </row>
    <row r="208" spans="1:8">
      <c r="A208">
        <v>7436</v>
      </c>
      <c r="B208" t="s">
        <v>330</v>
      </c>
      <c r="C208" t="s">
        <v>43</v>
      </c>
      <c r="D208" t="s">
        <v>44</v>
      </c>
      <c r="E208">
        <v>15.99</v>
      </c>
      <c r="F208" t="str">
        <f>C208&amp;D208</f>
        <v>CanadaDebit Card</v>
      </c>
      <c r="G208">
        <v>238</v>
      </c>
      <c r="H208" t="s">
        <v>29</v>
      </c>
    </row>
    <row r="209" spans="1:8">
      <c r="A209">
        <v>2147</v>
      </c>
      <c r="B209" t="s">
        <v>332</v>
      </c>
      <c r="C209" t="s">
        <v>92</v>
      </c>
      <c r="D209" t="s">
        <v>44</v>
      </c>
      <c r="E209">
        <v>11.99</v>
      </c>
      <c r="F209" t="str">
        <f>C209&amp;D209</f>
        <v>FranceDebit Card</v>
      </c>
      <c r="G209">
        <v>132</v>
      </c>
      <c r="H209" t="s">
        <v>64</v>
      </c>
    </row>
    <row r="210" spans="1:8">
      <c r="A210">
        <v>3264</v>
      </c>
      <c r="B210" t="s">
        <v>118</v>
      </c>
      <c r="C210" t="s">
        <v>49</v>
      </c>
      <c r="D210" t="s">
        <v>56</v>
      </c>
      <c r="E210">
        <v>11.99</v>
      </c>
      <c r="F210" t="str">
        <f>C210&amp;D210</f>
        <v>UKCredit Card</v>
      </c>
      <c r="G210">
        <v>456</v>
      </c>
      <c r="H210" t="s">
        <v>37</v>
      </c>
    </row>
    <row r="211" spans="1:8">
      <c r="A211">
        <v>1214</v>
      </c>
      <c r="B211" t="s">
        <v>334</v>
      </c>
      <c r="C211" t="s">
        <v>74</v>
      </c>
      <c r="D211" t="s">
        <v>28</v>
      </c>
      <c r="E211">
        <v>11.99</v>
      </c>
      <c r="F211" t="str">
        <f>C211&amp;D211</f>
        <v>GermanyPayPal</v>
      </c>
      <c r="G211">
        <v>281</v>
      </c>
      <c r="H211" t="s">
        <v>64</v>
      </c>
    </row>
    <row r="212" spans="1:8">
      <c r="A212">
        <v>6050</v>
      </c>
      <c r="B212" t="s">
        <v>335</v>
      </c>
      <c r="C212" t="s">
        <v>27</v>
      </c>
      <c r="D212" t="s">
        <v>44</v>
      </c>
      <c r="E212">
        <v>11.99</v>
      </c>
      <c r="F212" t="str">
        <f>C212&amp;D212</f>
        <v>USADebit Card</v>
      </c>
      <c r="G212">
        <v>281</v>
      </c>
      <c r="H212" t="s">
        <v>45</v>
      </c>
    </row>
    <row r="213" spans="1:8">
      <c r="A213">
        <v>7395</v>
      </c>
      <c r="B213" t="s">
        <v>130</v>
      </c>
      <c r="C213" t="s">
        <v>68</v>
      </c>
      <c r="D213" t="s">
        <v>44</v>
      </c>
      <c r="E213">
        <v>11.99</v>
      </c>
      <c r="F213" t="str">
        <f>C213&amp;D213</f>
        <v>AustraliaDebit Card</v>
      </c>
      <c r="G213">
        <v>73</v>
      </c>
      <c r="H213" t="s">
        <v>37</v>
      </c>
    </row>
    <row r="214" spans="1:8">
      <c r="A214">
        <v>3904</v>
      </c>
      <c r="B214" t="s">
        <v>224</v>
      </c>
      <c r="C214" t="s">
        <v>92</v>
      </c>
      <c r="D214" t="s">
        <v>44</v>
      </c>
      <c r="E214">
        <v>11.99</v>
      </c>
      <c r="F214" t="str">
        <f>C214&amp;D214</f>
        <v>FranceDebit Card</v>
      </c>
      <c r="G214">
        <v>365</v>
      </c>
      <c r="H214" t="s">
        <v>78</v>
      </c>
    </row>
    <row r="215" spans="1:8">
      <c r="A215">
        <v>6545</v>
      </c>
      <c r="B215" t="s">
        <v>147</v>
      </c>
      <c r="C215" t="s">
        <v>74</v>
      </c>
      <c r="D215" t="s">
        <v>75</v>
      </c>
      <c r="E215">
        <v>7.99</v>
      </c>
      <c r="F215" t="str">
        <f>C215&amp;D215</f>
        <v>GermanyCryptocurrency</v>
      </c>
      <c r="G215">
        <v>61</v>
      </c>
      <c r="H215" t="s">
        <v>45</v>
      </c>
    </row>
    <row r="216" spans="1:8">
      <c r="A216">
        <v>3131</v>
      </c>
      <c r="B216" t="s">
        <v>153</v>
      </c>
      <c r="C216" t="s">
        <v>49</v>
      </c>
      <c r="D216" t="s">
        <v>44</v>
      </c>
      <c r="E216">
        <v>15.99</v>
      </c>
      <c r="F216" t="str">
        <f>C216&amp;D216</f>
        <v>UKDebit Card</v>
      </c>
      <c r="G216">
        <v>399</v>
      </c>
      <c r="H216" t="s">
        <v>78</v>
      </c>
    </row>
    <row r="217" spans="1:8">
      <c r="A217">
        <v>8589</v>
      </c>
      <c r="B217" t="s">
        <v>207</v>
      </c>
      <c r="C217" t="s">
        <v>92</v>
      </c>
      <c r="D217" t="s">
        <v>28</v>
      </c>
      <c r="E217">
        <v>11.99</v>
      </c>
      <c r="F217" t="str">
        <f>C217&amp;D217</f>
        <v>FrancePayPal</v>
      </c>
      <c r="G217">
        <v>102</v>
      </c>
      <c r="H217" t="s">
        <v>64</v>
      </c>
    </row>
    <row r="218" spans="1:8">
      <c r="A218">
        <v>2908</v>
      </c>
      <c r="B218" t="s">
        <v>248</v>
      </c>
      <c r="C218" t="s">
        <v>92</v>
      </c>
      <c r="D218" t="s">
        <v>75</v>
      </c>
      <c r="E218">
        <v>11.99</v>
      </c>
      <c r="F218" t="str">
        <f>C218&amp;D218</f>
        <v>FranceCryptocurrency</v>
      </c>
      <c r="G218">
        <v>88</v>
      </c>
      <c r="H218" t="s">
        <v>37</v>
      </c>
    </row>
    <row r="219" spans="1:8">
      <c r="A219">
        <v>5209</v>
      </c>
      <c r="B219" t="s">
        <v>238</v>
      </c>
      <c r="C219" t="s">
        <v>92</v>
      </c>
      <c r="D219" t="s">
        <v>56</v>
      </c>
      <c r="E219">
        <v>11.99</v>
      </c>
      <c r="F219" t="str">
        <f>C219&amp;D219</f>
        <v>FranceCredit Card</v>
      </c>
      <c r="G219">
        <v>92</v>
      </c>
      <c r="H219" t="s">
        <v>64</v>
      </c>
    </row>
    <row r="220" spans="1:8">
      <c r="A220">
        <v>2319</v>
      </c>
      <c r="B220" t="s">
        <v>150</v>
      </c>
      <c r="C220" t="s">
        <v>92</v>
      </c>
      <c r="D220" t="s">
        <v>56</v>
      </c>
      <c r="E220">
        <v>15.99</v>
      </c>
      <c r="F220" t="str">
        <f>C220&amp;D220</f>
        <v>FranceCredit Card</v>
      </c>
      <c r="G220">
        <v>295</v>
      </c>
      <c r="H220" t="s">
        <v>57</v>
      </c>
    </row>
    <row r="221" spans="1:8">
      <c r="A221">
        <v>9026</v>
      </c>
      <c r="B221" t="s">
        <v>197</v>
      </c>
      <c r="C221" t="s">
        <v>49</v>
      </c>
      <c r="D221" t="s">
        <v>56</v>
      </c>
      <c r="E221">
        <v>11.99</v>
      </c>
      <c r="F221" t="str">
        <f>C221&amp;D221</f>
        <v>UKCredit Card</v>
      </c>
      <c r="G221">
        <v>139</v>
      </c>
      <c r="H221" t="s">
        <v>57</v>
      </c>
    </row>
    <row r="222" spans="1:8">
      <c r="A222">
        <v>2723</v>
      </c>
      <c r="B222" t="s">
        <v>337</v>
      </c>
      <c r="C222" t="s">
        <v>55</v>
      </c>
      <c r="D222" t="s">
        <v>44</v>
      </c>
      <c r="E222">
        <v>15.99</v>
      </c>
      <c r="F222" t="str">
        <f>C222&amp;D222</f>
        <v>IndiaDebit Card</v>
      </c>
      <c r="G222">
        <v>416</v>
      </c>
      <c r="H222" t="s">
        <v>78</v>
      </c>
    </row>
    <row r="223" spans="1:8">
      <c r="A223">
        <v>5487</v>
      </c>
      <c r="B223" t="s">
        <v>148</v>
      </c>
      <c r="C223" t="s">
        <v>27</v>
      </c>
      <c r="D223" t="s">
        <v>28</v>
      </c>
      <c r="E223">
        <v>7.99</v>
      </c>
      <c r="F223" t="str">
        <f>C223&amp;D223</f>
        <v>USAPayPal</v>
      </c>
      <c r="G223">
        <v>173</v>
      </c>
      <c r="H223" t="s">
        <v>29</v>
      </c>
    </row>
    <row r="224" spans="1:8">
      <c r="A224">
        <v>4656</v>
      </c>
      <c r="B224" t="s">
        <v>207</v>
      </c>
      <c r="C224" t="s">
        <v>43</v>
      </c>
      <c r="D224" t="s">
        <v>75</v>
      </c>
      <c r="E224">
        <v>7.99</v>
      </c>
      <c r="F224" t="str">
        <f>C224&amp;D224</f>
        <v>CanadaCryptocurrency</v>
      </c>
      <c r="G224">
        <v>75</v>
      </c>
      <c r="H224" t="s">
        <v>37</v>
      </c>
    </row>
    <row r="225" spans="1:8">
      <c r="A225">
        <v>5718</v>
      </c>
      <c r="B225" t="s">
        <v>340</v>
      </c>
      <c r="C225" t="s">
        <v>43</v>
      </c>
      <c r="D225" t="s">
        <v>28</v>
      </c>
      <c r="E225">
        <v>15.99</v>
      </c>
      <c r="F225" t="str">
        <f>C225&amp;D225</f>
        <v>CanadaPayPal</v>
      </c>
      <c r="G225">
        <v>173</v>
      </c>
      <c r="H225" t="s">
        <v>57</v>
      </c>
    </row>
    <row r="226" spans="1:8">
      <c r="A226">
        <v>1215</v>
      </c>
      <c r="B226" t="s">
        <v>342</v>
      </c>
      <c r="C226" t="s">
        <v>43</v>
      </c>
      <c r="D226" t="s">
        <v>56</v>
      </c>
      <c r="E226">
        <v>7.99</v>
      </c>
      <c r="F226" t="str">
        <f>C226&amp;D226</f>
        <v>CanadaCredit Card</v>
      </c>
      <c r="G226">
        <v>421</v>
      </c>
      <c r="H226" t="s">
        <v>57</v>
      </c>
    </row>
    <row r="227" spans="1:8">
      <c r="A227">
        <v>3427</v>
      </c>
      <c r="B227" t="s">
        <v>344</v>
      </c>
      <c r="C227" t="s">
        <v>27</v>
      </c>
      <c r="D227" t="s">
        <v>56</v>
      </c>
      <c r="E227">
        <v>15.99</v>
      </c>
      <c r="F227" t="str">
        <f>C227&amp;D227</f>
        <v>USACredit Card</v>
      </c>
      <c r="G227">
        <v>29</v>
      </c>
      <c r="H227" t="s">
        <v>37</v>
      </c>
    </row>
    <row r="228" spans="1:8">
      <c r="A228">
        <v>2428</v>
      </c>
      <c r="B228" t="s">
        <v>345</v>
      </c>
      <c r="C228" t="s">
        <v>92</v>
      </c>
      <c r="D228" t="s">
        <v>56</v>
      </c>
      <c r="E228">
        <v>7.99</v>
      </c>
      <c r="F228" t="str">
        <f>C228&amp;D228</f>
        <v>FranceCredit Card</v>
      </c>
      <c r="G228">
        <v>180</v>
      </c>
      <c r="H228" t="s">
        <v>29</v>
      </c>
    </row>
    <row r="229" spans="1:8">
      <c r="A229">
        <v>1947</v>
      </c>
      <c r="B229" t="s">
        <v>347</v>
      </c>
      <c r="C229" t="s">
        <v>43</v>
      </c>
      <c r="D229" t="s">
        <v>56</v>
      </c>
      <c r="E229">
        <v>11.99</v>
      </c>
      <c r="F229" t="str">
        <f>C229&amp;D229</f>
        <v>CanadaCredit Card</v>
      </c>
      <c r="G229">
        <v>469</v>
      </c>
      <c r="H229" t="s">
        <v>64</v>
      </c>
    </row>
    <row r="230" spans="1:8">
      <c r="A230">
        <v>5036</v>
      </c>
      <c r="B230" t="s">
        <v>290</v>
      </c>
      <c r="C230" t="s">
        <v>43</v>
      </c>
      <c r="D230" t="s">
        <v>75</v>
      </c>
      <c r="E230">
        <v>15.99</v>
      </c>
      <c r="F230" t="str">
        <f>C230&amp;D230</f>
        <v>CanadaCryptocurrency</v>
      </c>
      <c r="G230">
        <v>381</v>
      </c>
      <c r="H230" t="s">
        <v>78</v>
      </c>
    </row>
    <row r="231" spans="1:8">
      <c r="A231">
        <v>5857</v>
      </c>
      <c r="B231" t="s">
        <v>88</v>
      </c>
      <c r="C231" t="s">
        <v>74</v>
      </c>
      <c r="D231" t="s">
        <v>56</v>
      </c>
      <c r="E231">
        <v>15.99</v>
      </c>
      <c r="F231" t="str">
        <f>C231&amp;D231</f>
        <v>GermanyCredit Card</v>
      </c>
      <c r="G231">
        <v>263</v>
      </c>
      <c r="H231" t="s">
        <v>78</v>
      </c>
    </row>
    <row r="232" spans="1:8">
      <c r="A232">
        <v>8770</v>
      </c>
      <c r="B232" t="s">
        <v>106</v>
      </c>
      <c r="C232" t="s">
        <v>43</v>
      </c>
      <c r="D232" t="s">
        <v>75</v>
      </c>
      <c r="E232">
        <v>7.99</v>
      </c>
      <c r="F232" t="str">
        <f>C232&amp;D232</f>
        <v>CanadaCryptocurrency</v>
      </c>
      <c r="G232">
        <v>48</v>
      </c>
      <c r="H232" t="s">
        <v>78</v>
      </c>
    </row>
    <row r="233" spans="1:8">
      <c r="A233">
        <v>4118</v>
      </c>
      <c r="B233" t="s">
        <v>349</v>
      </c>
      <c r="C233" t="s">
        <v>68</v>
      </c>
      <c r="D233" t="s">
        <v>28</v>
      </c>
      <c r="E233">
        <v>11.99</v>
      </c>
      <c r="F233" t="str">
        <f>C233&amp;D233</f>
        <v>AustraliaPayPal</v>
      </c>
      <c r="G233">
        <v>447</v>
      </c>
      <c r="H233" t="s">
        <v>45</v>
      </c>
    </row>
    <row r="234" spans="1:8">
      <c r="A234">
        <v>7162</v>
      </c>
      <c r="B234" t="s">
        <v>351</v>
      </c>
      <c r="C234" t="s">
        <v>92</v>
      </c>
      <c r="D234" t="s">
        <v>44</v>
      </c>
      <c r="E234">
        <v>15.99</v>
      </c>
      <c r="F234" t="str">
        <f>C234&amp;D234</f>
        <v>FranceDebit Card</v>
      </c>
      <c r="G234">
        <v>415</v>
      </c>
      <c r="H234" t="s">
        <v>78</v>
      </c>
    </row>
    <row r="235" spans="1:8">
      <c r="A235">
        <v>9278</v>
      </c>
      <c r="B235" t="s">
        <v>304</v>
      </c>
      <c r="C235" t="s">
        <v>92</v>
      </c>
      <c r="D235" t="s">
        <v>28</v>
      </c>
      <c r="E235">
        <v>7.99</v>
      </c>
      <c r="F235" t="str">
        <f>C235&amp;D235</f>
        <v>FrancePayPal</v>
      </c>
      <c r="G235">
        <v>429</v>
      </c>
      <c r="H235" t="s">
        <v>78</v>
      </c>
    </row>
    <row r="236" spans="1:8">
      <c r="A236">
        <v>5406</v>
      </c>
      <c r="B236" t="s">
        <v>353</v>
      </c>
      <c r="C236" t="s">
        <v>43</v>
      </c>
      <c r="D236" t="s">
        <v>56</v>
      </c>
      <c r="E236">
        <v>7.99</v>
      </c>
      <c r="F236" t="str">
        <f>C236&amp;D236</f>
        <v>CanadaCredit Card</v>
      </c>
      <c r="G236">
        <v>26</v>
      </c>
      <c r="H236" t="s">
        <v>45</v>
      </c>
    </row>
    <row r="237" spans="1:8">
      <c r="A237">
        <v>4641</v>
      </c>
      <c r="B237" t="s">
        <v>311</v>
      </c>
      <c r="C237" t="s">
        <v>68</v>
      </c>
      <c r="D237" t="s">
        <v>28</v>
      </c>
      <c r="E237">
        <v>15.99</v>
      </c>
      <c r="F237" t="str">
        <f>C237&amp;D237</f>
        <v>AustraliaPayPal</v>
      </c>
      <c r="G237">
        <v>101</v>
      </c>
      <c r="H237" t="s">
        <v>45</v>
      </c>
    </row>
    <row r="238" spans="1:8">
      <c r="A238">
        <v>3969</v>
      </c>
      <c r="B238" t="s">
        <v>329</v>
      </c>
      <c r="C238" t="s">
        <v>43</v>
      </c>
      <c r="D238" t="s">
        <v>28</v>
      </c>
      <c r="E238">
        <v>15.99</v>
      </c>
      <c r="F238" t="str">
        <f>C238&amp;D238</f>
        <v>CanadaPayPal</v>
      </c>
      <c r="G238">
        <v>461</v>
      </c>
      <c r="H238" t="s">
        <v>57</v>
      </c>
    </row>
    <row r="239" spans="1:8">
      <c r="A239">
        <v>3078</v>
      </c>
      <c r="B239" t="s">
        <v>355</v>
      </c>
      <c r="C239" t="s">
        <v>74</v>
      </c>
      <c r="D239" t="s">
        <v>56</v>
      </c>
      <c r="E239">
        <v>7.99</v>
      </c>
      <c r="F239" t="str">
        <f>C239&amp;D239</f>
        <v>GermanyCredit Card</v>
      </c>
      <c r="G239">
        <v>246</v>
      </c>
      <c r="H239" t="s">
        <v>29</v>
      </c>
    </row>
    <row r="240" spans="1:8">
      <c r="A240">
        <v>2808</v>
      </c>
      <c r="B240" t="s">
        <v>177</v>
      </c>
      <c r="C240" t="s">
        <v>27</v>
      </c>
      <c r="D240" t="s">
        <v>28</v>
      </c>
      <c r="E240">
        <v>15.99</v>
      </c>
      <c r="F240" t="str">
        <f>C240&amp;D240</f>
        <v>USAPayPal</v>
      </c>
      <c r="G240">
        <v>91</v>
      </c>
      <c r="H240" t="s">
        <v>45</v>
      </c>
    </row>
    <row r="241" spans="1:8">
      <c r="A241">
        <v>7484</v>
      </c>
      <c r="B241" t="s">
        <v>340</v>
      </c>
      <c r="C241" t="s">
        <v>43</v>
      </c>
      <c r="D241" t="s">
        <v>75</v>
      </c>
      <c r="E241">
        <v>11.99</v>
      </c>
      <c r="F241" t="str">
        <f>C241&amp;D241</f>
        <v>CanadaCryptocurrency</v>
      </c>
      <c r="G241">
        <v>152</v>
      </c>
      <c r="H241" t="s">
        <v>78</v>
      </c>
    </row>
    <row r="242" spans="1:8">
      <c r="A242">
        <v>2396</v>
      </c>
      <c r="B242" t="s">
        <v>272</v>
      </c>
      <c r="C242" t="s">
        <v>49</v>
      </c>
      <c r="D242" t="s">
        <v>28</v>
      </c>
      <c r="E242">
        <v>11.99</v>
      </c>
      <c r="F242" t="str">
        <f>C242&amp;D242</f>
        <v>UKPayPal</v>
      </c>
      <c r="G242">
        <v>283</v>
      </c>
      <c r="H242" t="s">
        <v>29</v>
      </c>
    </row>
    <row r="243" spans="1:8">
      <c r="A243">
        <v>2472</v>
      </c>
      <c r="B243" t="s">
        <v>325</v>
      </c>
      <c r="C243" t="s">
        <v>55</v>
      </c>
      <c r="D243" t="s">
        <v>44</v>
      </c>
      <c r="E243">
        <v>7.99</v>
      </c>
      <c r="F243" t="str">
        <f>C243&amp;D243</f>
        <v>IndiaDebit Card</v>
      </c>
      <c r="G243">
        <v>61</v>
      </c>
      <c r="H243" t="s">
        <v>57</v>
      </c>
    </row>
    <row r="244" spans="1:8">
      <c r="A244">
        <v>7939</v>
      </c>
      <c r="B244" t="s">
        <v>357</v>
      </c>
      <c r="C244" t="s">
        <v>92</v>
      </c>
      <c r="D244" t="s">
        <v>28</v>
      </c>
      <c r="E244">
        <v>11.99</v>
      </c>
      <c r="F244" t="str">
        <f>C244&amp;D244</f>
        <v>FrancePayPal</v>
      </c>
      <c r="G244">
        <v>410</v>
      </c>
      <c r="H244" t="s">
        <v>37</v>
      </c>
    </row>
    <row r="245" spans="1:8">
      <c r="A245">
        <v>8269</v>
      </c>
      <c r="B245" t="s">
        <v>88</v>
      </c>
      <c r="C245" t="s">
        <v>55</v>
      </c>
      <c r="D245" t="s">
        <v>56</v>
      </c>
      <c r="E245">
        <v>7.99</v>
      </c>
      <c r="F245" t="str">
        <f>C245&amp;D245</f>
        <v>IndiaCredit Card</v>
      </c>
      <c r="G245">
        <v>88</v>
      </c>
      <c r="H245" t="s">
        <v>37</v>
      </c>
    </row>
    <row r="246" spans="1:8">
      <c r="A246">
        <v>9073</v>
      </c>
      <c r="B246" t="s">
        <v>104</v>
      </c>
      <c r="C246" t="s">
        <v>68</v>
      </c>
      <c r="D246" t="s">
        <v>56</v>
      </c>
      <c r="E246">
        <v>15.99</v>
      </c>
      <c r="F246" t="str">
        <f>C246&amp;D246</f>
        <v>AustraliaCredit Card</v>
      </c>
      <c r="G246">
        <v>322</v>
      </c>
      <c r="H246" t="s">
        <v>78</v>
      </c>
    </row>
    <row r="247" spans="1:8">
      <c r="A247">
        <v>9879</v>
      </c>
      <c r="B247" t="s">
        <v>143</v>
      </c>
      <c r="C247" t="s">
        <v>43</v>
      </c>
      <c r="D247" t="s">
        <v>28</v>
      </c>
      <c r="E247">
        <v>7.99</v>
      </c>
      <c r="F247" t="str">
        <f>C247&amp;D247</f>
        <v>CanadaPayPal</v>
      </c>
      <c r="G247">
        <v>217</v>
      </c>
      <c r="H247" t="s">
        <v>45</v>
      </c>
    </row>
    <row r="248" spans="1:8">
      <c r="A248">
        <v>3822</v>
      </c>
      <c r="B248" t="s">
        <v>359</v>
      </c>
      <c r="C248" t="s">
        <v>27</v>
      </c>
      <c r="D248" t="s">
        <v>56</v>
      </c>
      <c r="E248">
        <v>15.99</v>
      </c>
      <c r="F248" t="str">
        <f>C248&amp;D248</f>
        <v>USACredit Card</v>
      </c>
      <c r="G248">
        <v>180</v>
      </c>
      <c r="H248" t="s">
        <v>64</v>
      </c>
    </row>
    <row r="249" spans="1:8">
      <c r="A249">
        <v>9183</v>
      </c>
      <c r="B249" t="s">
        <v>101</v>
      </c>
      <c r="C249" t="s">
        <v>74</v>
      </c>
      <c r="D249" t="s">
        <v>28</v>
      </c>
      <c r="E249">
        <v>15.99</v>
      </c>
      <c r="F249" t="str">
        <f>C249&amp;D249</f>
        <v>GermanyPayPal</v>
      </c>
      <c r="G249">
        <v>11</v>
      </c>
      <c r="H249" t="s">
        <v>57</v>
      </c>
    </row>
    <row r="250" spans="1:8">
      <c r="A250">
        <v>8674</v>
      </c>
      <c r="B250" t="s">
        <v>360</v>
      </c>
      <c r="C250" t="s">
        <v>43</v>
      </c>
      <c r="D250" t="s">
        <v>75</v>
      </c>
      <c r="E250">
        <v>15.99</v>
      </c>
      <c r="F250" t="str">
        <f>C250&amp;D250</f>
        <v>CanadaCryptocurrency</v>
      </c>
      <c r="G250">
        <v>455</v>
      </c>
      <c r="H250" t="s">
        <v>78</v>
      </c>
    </row>
    <row r="251" spans="1:8">
      <c r="A251">
        <v>2481</v>
      </c>
      <c r="B251" t="s">
        <v>361</v>
      </c>
      <c r="C251" t="s">
        <v>92</v>
      </c>
      <c r="D251" t="s">
        <v>75</v>
      </c>
      <c r="E251">
        <v>7.99</v>
      </c>
      <c r="F251" t="str">
        <f>C251&amp;D251</f>
        <v>FranceCryptocurrency</v>
      </c>
      <c r="G251">
        <v>487</v>
      </c>
      <c r="H251" t="s">
        <v>64</v>
      </c>
    </row>
    <row r="252" spans="1:8">
      <c r="A252">
        <v>8729</v>
      </c>
      <c r="B252" t="s">
        <v>363</v>
      </c>
      <c r="C252" t="s">
        <v>68</v>
      </c>
      <c r="D252" t="s">
        <v>28</v>
      </c>
      <c r="E252">
        <v>7.99</v>
      </c>
      <c r="F252" t="str">
        <f>C252&amp;D252</f>
        <v>AustraliaPayPal</v>
      </c>
      <c r="G252">
        <v>459</v>
      </c>
      <c r="H252" t="s">
        <v>57</v>
      </c>
    </row>
    <row r="253" spans="1:8">
      <c r="A253">
        <v>5534</v>
      </c>
      <c r="B253" t="s">
        <v>364</v>
      </c>
      <c r="C253" t="s">
        <v>43</v>
      </c>
      <c r="D253" t="s">
        <v>44</v>
      </c>
      <c r="E253">
        <v>7.99</v>
      </c>
      <c r="F253" t="str">
        <f>C253&amp;D253</f>
        <v>CanadaDebit Card</v>
      </c>
      <c r="G253">
        <v>74</v>
      </c>
      <c r="H253" t="s">
        <v>45</v>
      </c>
    </row>
    <row r="254" spans="1:8">
      <c r="A254">
        <v>9785</v>
      </c>
      <c r="B254" t="s">
        <v>259</v>
      </c>
      <c r="C254" t="s">
        <v>74</v>
      </c>
      <c r="D254" t="s">
        <v>28</v>
      </c>
      <c r="E254">
        <v>11.99</v>
      </c>
      <c r="F254" t="str">
        <f>C254&amp;D254</f>
        <v>GermanyPayPal</v>
      </c>
      <c r="G254">
        <v>54</v>
      </c>
      <c r="H254" t="s">
        <v>45</v>
      </c>
    </row>
    <row r="255" spans="1:8">
      <c r="A255">
        <v>9609</v>
      </c>
      <c r="B255" t="s">
        <v>344</v>
      </c>
      <c r="C255" t="s">
        <v>68</v>
      </c>
      <c r="D255" t="s">
        <v>44</v>
      </c>
      <c r="E255">
        <v>11.99</v>
      </c>
      <c r="F255" t="str">
        <f>C255&amp;D255</f>
        <v>AustraliaDebit Card</v>
      </c>
      <c r="G255">
        <v>292</v>
      </c>
      <c r="H255" t="s">
        <v>29</v>
      </c>
    </row>
    <row r="256" spans="1:8">
      <c r="A256">
        <v>2829</v>
      </c>
      <c r="B256" t="s">
        <v>365</v>
      </c>
      <c r="C256" t="s">
        <v>92</v>
      </c>
      <c r="D256" t="s">
        <v>56</v>
      </c>
      <c r="E256">
        <v>15.99</v>
      </c>
      <c r="F256" t="str">
        <f>C256&amp;D256</f>
        <v>FranceCredit Card</v>
      </c>
      <c r="G256">
        <v>23</v>
      </c>
      <c r="H256" t="s">
        <v>37</v>
      </c>
    </row>
    <row r="257" spans="1:8">
      <c r="A257">
        <v>1714</v>
      </c>
      <c r="B257" t="s">
        <v>367</v>
      </c>
      <c r="C257" t="s">
        <v>92</v>
      </c>
      <c r="D257" t="s">
        <v>56</v>
      </c>
      <c r="E257">
        <v>11.99</v>
      </c>
      <c r="F257" t="str">
        <f>C257&amp;D257</f>
        <v>FranceCredit Card</v>
      </c>
      <c r="G257">
        <v>147</v>
      </c>
      <c r="H257" t="s">
        <v>37</v>
      </c>
    </row>
    <row r="258" spans="1:8">
      <c r="A258">
        <v>4475</v>
      </c>
      <c r="B258" t="s">
        <v>369</v>
      </c>
      <c r="C258" t="s">
        <v>43</v>
      </c>
      <c r="D258" t="s">
        <v>28</v>
      </c>
      <c r="E258">
        <v>7.99</v>
      </c>
      <c r="F258" t="str">
        <f>C258&amp;D258</f>
        <v>CanadaPayPal</v>
      </c>
      <c r="G258">
        <v>221</v>
      </c>
      <c r="H258" t="s">
        <v>78</v>
      </c>
    </row>
    <row r="259" spans="1:8">
      <c r="A259">
        <v>9820</v>
      </c>
      <c r="B259" t="s">
        <v>153</v>
      </c>
      <c r="C259" t="s">
        <v>49</v>
      </c>
      <c r="D259" t="s">
        <v>56</v>
      </c>
      <c r="E259">
        <v>7.99</v>
      </c>
      <c r="F259" t="str">
        <f>C259&amp;D259</f>
        <v>UKCredit Card</v>
      </c>
      <c r="G259">
        <v>40</v>
      </c>
      <c r="H259" t="s">
        <v>45</v>
      </c>
    </row>
    <row r="260" spans="1:8">
      <c r="A260">
        <v>3261</v>
      </c>
      <c r="B260" t="s">
        <v>179</v>
      </c>
      <c r="C260" t="s">
        <v>68</v>
      </c>
      <c r="D260" t="s">
        <v>75</v>
      </c>
      <c r="E260">
        <v>11.99</v>
      </c>
      <c r="F260" t="str">
        <f>C260&amp;D260</f>
        <v>AustraliaCryptocurrency</v>
      </c>
      <c r="G260">
        <v>365</v>
      </c>
      <c r="H260" t="s">
        <v>29</v>
      </c>
    </row>
    <row r="261" spans="1:8">
      <c r="A261">
        <v>6130</v>
      </c>
      <c r="B261" t="s">
        <v>157</v>
      </c>
      <c r="C261" t="s">
        <v>55</v>
      </c>
      <c r="D261" t="s">
        <v>44</v>
      </c>
      <c r="E261">
        <v>11.99</v>
      </c>
      <c r="F261" t="str">
        <f>C261&amp;D261</f>
        <v>IndiaDebit Card</v>
      </c>
      <c r="G261">
        <v>360</v>
      </c>
      <c r="H261" t="s">
        <v>57</v>
      </c>
    </row>
    <row r="262" spans="1:8">
      <c r="A262">
        <v>9399</v>
      </c>
      <c r="B262" t="s">
        <v>183</v>
      </c>
      <c r="C262" t="s">
        <v>43</v>
      </c>
      <c r="D262" t="s">
        <v>75</v>
      </c>
      <c r="E262">
        <v>7.99</v>
      </c>
      <c r="F262" t="str">
        <f>C262&amp;D262</f>
        <v>CanadaCryptocurrency</v>
      </c>
      <c r="G262">
        <v>127</v>
      </c>
      <c r="H262" t="s">
        <v>57</v>
      </c>
    </row>
    <row r="263" spans="1:8">
      <c r="A263">
        <v>6047</v>
      </c>
      <c r="B263" t="s">
        <v>284</v>
      </c>
      <c r="C263" t="s">
        <v>43</v>
      </c>
      <c r="D263" t="s">
        <v>28</v>
      </c>
      <c r="E263">
        <v>15.99</v>
      </c>
      <c r="F263" t="str">
        <f>C263&amp;D263</f>
        <v>CanadaPayPal</v>
      </c>
      <c r="G263">
        <v>30</v>
      </c>
      <c r="H263" t="s">
        <v>45</v>
      </c>
    </row>
    <row r="264" spans="1:8">
      <c r="A264">
        <v>7789</v>
      </c>
      <c r="B264" t="s">
        <v>120</v>
      </c>
      <c r="C264" t="s">
        <v>27</v>
      </c>
      <c r="D264" t="s">
        <v>75</v>
      </c>
      <c r="E264">
        <v>7.99</v>
      </c>
      <c r="F264" t="str">
        <f>C264&amp;D264</f>
        <v>USACryptocurrency</v>
      </c>
      <c r="G264">
        <v>222</v>
      </c>
      <c r="H264" t="s">
        <v>29</v>
      </c>
    </row>
    <row r="265" spans="1:8">
      <c r="A265">
        <v>6111</v>
      </c>
      <c r="B265" t="s">
        <v>176</v>
      </c>
      <c r="C265" t="s">
        <v>92</v>
      </c>
      <c r="D265" t="s">
        <v>75</v>
      </c>
      <c r="E265">
        <v>11.99</v>
      </c>
      <c r="F265" t="str">
        <f>C265&amp;D265</f>
        <v>FranceCryptocurrency</v>
      </c>
      <c r="G265">
        <v>168</v>
      </c>
      <c r="H265" t="s">
        <v>78</v>
      </c>
    </row>
    <row r="266" spans="1:8">
      <c r="A266">
        <v>4968</v>
      </c>
      <c r="B266" t="s">
        <v>373</v>
      </c>
      <c r="C266" t="s">
        <v>55</v>
      </c>
      <c r="D266" t="s">
        <v>56</v>
      </c>
      <c r="E266">
        <v>7.99</v>
      </c>
      <c r="F266" t="str">
        <f>C266&amp;D266</f>
        <v>IndiaCredit Card</v>
      </c>
      <c r="G266">
        <v>317</v>
      </c>
      <c r="H266" t="s">
        <v>64</v>
      </c>
    </row>
    <row r="267" spans="1:8">
      <c r="A267">
        <v>2739</v>
      </c>
      <c r="B267" t="s">
        <v>374</v>
      </c>
      <c r="C267" t="s">
        <v>49</v>
      </c>
      <c r="D267" t="s">
        <v>28</v>
      </c>
      <c r="E267">
        <v>15.99</v>
      </c>
      <c r="F267" t="str">
        <f>C267&amp;D267</f>
        <v>UKPayPal</v>
      </c>
      <c r="G267">
        <v>285</v>
      </c>
      <c r="H267" t="s">
        <v>45</v>
      </c>
    </row>
    <row r="268" spans="1:8">
      <c r="A268">
        <v>6974</v>
      </c>
      <c r="B268" t="s">
        <v>77</v>
      </c>
      <c r="C268" t="s">
        <v>55</v>
      </c>
      <c r="D268" t="s">
        <v>75</v>
      </c>
      <c r="E268">
        <v>11.99</v>
      </c>
      <c r="F268" t="str">
        <f>C268&amp;D268</f>
        <v>IndiaCryptocurrency</v>
      </c>
      <c r="G268">
        <v>420</v>
      </c>
      <c r="H268" t="s">
        <v>37</v>
      </c>
    </row>
    <row r="269" spans="1:8">
      <c r="A269">
        <v>1784</v>
      </c>
      <c r="B269" t="s">
        <v>244</v>
      </c>
      <c r="C269" t="s">
        <v>92</v>
      </c>
      <c r="D269" t="s">
        <v>56</v>
      </c>
      <c r="E269">
        <v>15.99</v>
      </c>
      <c r="F269" t="str">
        <f>C269&amp;D269</f>
        <v>FranceCredit Card</v>
      </c>
      <c r="G269">
        <v>100</v>
      </c>
      <c r="H269" t="s">
        <v>29</v>
      </c>
    </row>
    <row r="270" spans="1:8">
      <c r="A270">
        <v>8077</v>
      </c>
      <c r="B270" t="s">
        <v>128</v>
      </c>
      <c r="C270" t="s">
        <v>74</v>
      </c>
      <c r="D270" t="s">
        <v>44</v>
      </c>
      <c r="E270">
        <v>11.99</v>
      </c>
      <c r="F270" t="str">
        <f>C270&amp;D270</f>
        <v>GermanyDebit Card</v>
      </c>
      <c r="G270">
        <v>426</v>
      </c>
      <c r="H270" t="s">
        <v>29</v>
      </c>
    </row>
    <row r="271" spans="1:8">
      <c r="A271">
        <v>2727</v>
      </c>
      <c r="B271" t="s">
        <v>376</v>
      </c>
      <c r="C271" t="s">
        <v>55</v>
      </c>
      <c r="D271" t="s">
        <v>44</v>
      </c>
      <c r="E271">
        <v>7.99</v>
      </c>
      <c r="F271" t="str">
        <f>C271&amp;D271</f>
        <v>IndiaDebit Card</v>
      </c>
      <c r="G271">
        <v>263</v>
      </c>
      <c r="H271" t="s">
        <v>64</v>
      </c>
    </row>
    <row r="272" spans="1:8">
      <c r="A272">
        <v>7661</v>
      </c>
      <c r="B272" t="s">
        <v>378</v>
      </c>
      <c r="C272" t="s">
        <v>27</v>
      </c>
      <c r="D272" t="s">
        <v>44</v>
      </c>
      <c r="E272">
        <v>11.99</v>
      </c>
      <c r="F272" t="str">
        <f>C272&amp;D272</f>
        <v>USADebit Card</v>
      </c>
      <c r="G272">
        <v>162</v>
      </c>
      <c r="H272" t="s">
        <v>29</v>
      </c>
    </row>
    <row r="273" spans="1:8">
      <c r="A273">
        <v>5083</v>
      </c>
      <c r="B273" t="s">
        <v>148</v>
      </c>
      <c r="C273" t="s">
        <v>43</v>
      </c>
      <c r="D273" t="s">
        <v>44</v>
      </c>
      <c r="E273">
        <v>15.99</v>
      </c>
      <c r="F273" t="str">
        <f>C273&amp;D273</f>
        <v>CanadaDebit Card</v>
      </c>
      <c r="G273">
        <v>19</v>
      </c>
      <c r="H273" t="s">
        <v>37</v>
      </c>
    </row>
    <row r="274" spans="1:8">
      <c r="A274">
        <v>7275</v>
      </c>
      <c r="B274" t="s">
        <v>379</v>
      </c>
      <c r="C274" t="s">
        <v>74</v>
      </c>
      <c r="D274" t="s">
        <v>28</v>
      </c>
      <c r="E274">
        <v>11.99</v>
      </c>
      <c r="F274" t="str">
        <f>C274&amp;D274</f>
        <v>GermanyPayPal</v>
      </c>
      <c r="G274">
        <v>358</v>
      </c>
      <c r="H274" t="s">
        <v>37</v>
      </c>
    </row>
    <row r="275" spans="1:8">
      <c r="A275">
        <v>7316</v>
      </c>
      <c r="B275" t="s">
        <v>380</v>
      </c>
      <c r="C275" t="s">
        <v>43</v>
      </c>
      <c r="D275" t="s">
        <v>28</v>
      </c>
      <c r="E275">
        <v>11.99</v>
      </c>
      <c r="F275" t="str">
        <f>C275&amp;D275</f>
        <v>CanadaPayPal</v>
      </c>
      <c r="G275">
        <v>183</v>
      </c>
      <c r="H275" t="s">
        <v>64</v>
      </c>
    </row>
    <row r="276" spans="1:8">
      <c r="A276">
        <v>4497</v>
      </c>
      <c r="B276" t="s">
        <v>382</v>
      </c>
      <c r="C276" t="s">
        <v>27</v>
      </c>
      <c r="D276" t="s">
        <v>28</v>
      </c>
      <c r="E276">
        <v>15.99</v>
      </c>
      <c r="F276" t="str">
        <f>C276&amp;D276</f>
        <v>USAPayPal</v>
      </c>
      <c r="G276">
        <v>63</v>
      </c>
      <c r="H276" t="s">
        <v>57</v>
      </c>
    </row>
    <row r="277" spans="1:8">
      <c r="A277">
        <v>8685</v>
      </c>
      <c r="B277" t="s">
        <v>138</v>
      </c>
      <c r="C277" t="s">
        <v>92</v>
      </c>
      <c r="D277" t="s">
        <v>28</v>
      </c>
      <c r="E277">
        <v>11.99</v>
      </c>
      <c r="F277" t="str">
        <f>C277&amp;D277</f>
        <v>FrancePayPal</v>
      </c>
      <c r="G277">
        <v>446</v>
      </c>
      <c r="H277" t="s">
        <v>64</v>
      </c>
    </row>
    <row r="278" spans="1:8">
      <c r="A278">
        <v>8583</v>
      </c>
      <c r="B278" t="s">
        <v>118</v>
      </c>
      <c r="C278" t="s">
        <v>92</v>
      </c>
      <c r="D278" t="s">
        <v>44</v>
      </c>
      <c r="E278">
        <v>15.99</v>
      </c>
      <c r="F278" t="str">
        <f>C278&amp;D278</f>
        <v>FranceDebit Card</v>
      </c>
      <c r="G278">
        <v>352</v>
      </c>
      <c r="H278" t="s">
        <v>64</v>
      </c>
    </row>
    <row r="279" spans="1:8">
      <c r="A279">
        <v>1062</v>
      </c>
      <c r="B279" t="s">
        <v>179</v>
      </c>
      <c r="C279" t="s">
        <v>27</v>
      </c>
      <c r="D279" t="s">
        <v>44</v>
      </c>
      <c r="E279">
        <v>7.99</v>
      </c>
      <c r="F279" t="str">
        <f>C279&amp;D279</f>
        <v>USADebit Card</v>
      </c>
      <c r="G279">
        <v>209</v>
      </c>
      <c r="H279" t="s">
        <v>37</v>
      </c>
    </row>
    <row r="280" spans="1:8">
      <c r="A280">
        <v>2593</v>
      </c>
      <c r="B280" t="s">
        <v>130</v>
      </c>
      <c r="C280" t="s">
        <v>55</v>
      </c>
      <c r="D280" t="s">
        <v>28</v>
      </c>
      <c r="E280">
        <v>7.99</v>
      </c>
      <c r="F280" t="str">
        <f>C280&amp;D280</f>
        <v>IndiaPayPal</v>
      </c>
      <c r="G280">
        <v>311</v>
      </c>
      <c r="H280" t="s">
        <v>45</v>
      </c>
    </row>
    <row r="281" spans="1:8">
      <c r="A281">
        <v>3951</v>
      </c>
      <c r="B281" t="s">
        <v>383</v>
      </c>
      <c r="C281" t="s">
        <v>55</v>
      </c>
      <c r="D281" t="s">
        <v>56</v>
      </c>
      <c r="E281">
        <v>11.99</v>
      </c>
      <c r="F281" t="str">
        <f>C281&amp;D281</f>
        <v>IndiaCredit Card</v>
      </c>
      <c r="G281">
        <v>293</v>
      </c>
      <c r="H281" t="s">
        <v>57</v>
      </c>
    </row>
    <row r="282" spans="1:8">
      <c r="A282">
        <v>8580</v>
      </c>
      <c r="B282" t="s">
        <v>385</v>
      </c>
      <c r="C282" t="s">
        <v>27</v>
      </c>
      <c r="D282" t="s">
        <v>75</v>
      </c>
      <c r="E282">
        <v>15.99</v>
      </c>
      <c r="F282" t="str">
        <f>C282&amp;D282</f>
        <v>USACryptocurrency</v>
      </c>
      <c r="G282">
        <v>119</v>
      </c>
      <c r="H282" t="s">
        <v>45</v>
      </c>
    </row>
    <row r="283" spans="1:8">
      <c r="A283">
        <v>4372</v>
      </c>
      <c r="B283" t="s">
        <v>157</v>
      </c>
      <c r="C283" t="s">
        <v>49</v>
      </c>
      <c r="D283" t="s">
        <v>28</v>
      </c>
      <c r="E283">
        <v>15.99</v>
      </c>
      <c r="F283" t="str">
        <f>C283&amp;D283</f>
        <v>UKPayPal</v>
      </c>
      <c r="G283">
        <v>329</v>
      </c>
      <c r="H283" t="s">
        <v>29</v>
      </c>
    </row>
    <row r="284" spans="1:8">
      <c r="A284">
        <v>4463</v>
      </c>
      <c r="B284" t="s">
        <v>387</v>
      </c>
      <c r="C284" t="s">
        <v>49</v>
      </c>
      <c r="D284" t="s">
        <v>56</v>
      </c>
      <c r="E284">
        <v>15.99</v>
      </c>
      <c r="F284" t="str">
        <f>C284&amp;D284</f>
        <v>UKCredit Card</v>
      </c>
      <c r="G284">
        <v>141</v>
      </c>
      <c r="H284" t="s">
        <v>45</v>
      </c>
    </row>
    <row r="285" spans="1:8">
      <c r="A285">
        <v>7498</v>
      </c>
      <c r="B285" t="s">
        <v>389</v>
      </c>
      <c r="C285" t="s">
        <v>68</v>
      </c>
      <c r="D285" t="s">
        <v>75</v>
      </c>
      <c r="E285">
        <v>11.99</v>
      </c>
      <c r="F285" t="str">
        <f>C285&amp;D285</f>
        <v>AustraliaCryptocurrency</v>
      </c>
      <c r="G285">
        <v>15</v>
      </c>
      <c r="H285" t="s">
        <v>57</v>
      </c>
    </row>
    <row r="286" spans="1:8">
      <c r="A286">
        <v>9618</v>
      </c>
      <c r="B286" t="s">
        <v>234</v>
      </c>
      <c r="C286" t="s">
        <v>68</v>
      </c>
      <c r="D286" t="s">
        <v>44</v>
      </c>
      <c r="E286">
        <v>11.99</v>
      </c>
      <c r="F286" t="str">
        <f>C286&amp;D286</f>
        <v>AustraliaDebit Card</v>
      </c>
      <c r="G286">
        <v>30</v>
      </c>
      <c r="H286" t="s">
        <v>37</v>
      </c>
    </row>
    <row r="287" spans="1:8">
      <c r="A287">
        <v>1813</v>
      </c>
      <c r="B287" t="s">
        <v>391</v>
      </c>
      <c r="C287" t="s">
        <v>68</v>
      </c>
      <c r="D287" t="s">
        <v>75</v>
      </c>
      <c r="E287">
        <v>11.99</v>
      </c>
      <c r="F287" t="str">
        <f>C287&amp;D287</f>
        <v>AustraliaCryptocurrency</v>
      </c>
      <c r="G287">
        <v>145</v>
      </c>
      <c r="H287" t="s">
        <v>78</v>
      </c>
    </row>
    <row r="288" spans="1:8">
      <c r="A288">
        <v>3009</v>
      </c>
      <c r="B288" t="s">
        <v>393</v>
      </c>
      <c r="C288" t="s">
        <v>68</v>
      </c>
      <c r="D288" t="s">
        <v>44</v>
      </c>
      <c r="E288">
        <v>15.99</v>
      </c>
      <c r="F288" t="str">
        <f>C288&amp;D288</f>
        <v>AustraliaDebit Card</v>
      </c>
      <c r="G288">
        <v>250</v>
      </c>
      <c r="H288" t="s">
        <v>45</v>
      </c>
    </row>
    <row r="289" spans="1:8">
      <c r="A289">
        <v>8210</v>
      </c>
      <c r="B289" t="s">
        <v>114</v>
      </c>
      <c r="C289" t="s">
        <v>74</v>
      </c>
      <c r="D289" t="s">
        <v>28</v>
      </c>
      <c r="E289">
        <v>15.99</v>
      </c>
      <c r="F289" t="str">
        <f>C289&amp;D289</f>
        <v>GermanyPayPal</v>
      </c>
      <c r="G289">
        <v>243</v>
      </c>
      <c r="H289" t="s">
        <v>57</v>
      </c>
    </row>
    <row r="290" spans="1:8">
      <c r="A290">
        <v>8439</v>
      </c>
      <c r="B290" t="s">
        <v>395</v>
      </c>
      <c r="C290" t="s">
        <v>49</v>
      </c>
      <c r="D290" t="s">
        <v>75</v>
      </c>
      <c r="E290">
        <v>11.99</v>
      </c>
      <c r="F290" t="str">
        <f>C290&amp;D290</f>
        <v>UKCryptocurrency</v>
      </c>
      <c r="G290">
        <v>392</v>
      </c>
      <c r="H290" t="s">
        <v>64</v>
      </c>
    </row>
    <row r="291" spans="1:8">
      <c r="A291">
        <v>8310</v>
      </c>
      <c r="B291" t="s">
        <v>344</v>
      </c>
      <c r="C291" t="s">
        <v>74</v>
      </c>
      <c r="D291" t="s">
        <v>28</v>
      </c>
      <c r="E291">
        <v>11.99</v>
      </c>
      <c r="F291" t="str">
        <f>C291&amp;D291</f>
        <v>GermanyPayPal</v>
      </c>
      <c r="G291">
        <v>389</v>
      </c>
      <c r="H291" t="s">
        <v>64</v>
      </c>
    </row>
    <row r="292" spans="1:8">
      <c r="A292">
        <v>6369</v>
      </c>
      <c r="B292" t="s">
        <v>143</v>
      </c>
      <c r="C292" t="s">
        <v>55</v>
      </c>
      <c r="D292" t="s">
        <v>28</v>
      </c>
      <c r="E292">
        <v>7.99</v>
      </c>
      <c r="F292" t="str">
        <f>C292&amp;D292</f>
        <v>IndiaPayPal</v>
      </c>
      <c r="G292">
        <v>414</v>
      </c>
      <c r="H292" t="s">
        <v>37</v>
      </c>
    </row>
    <row r="293" spans="1:8">
      <c r="A293">
        <v>5721</v>
      </c>
      <c r="B293" t="s">
        <v>399</v>
      </c>
      <c r="C293" t="s">
        <v>27</v>
      </c>
      <c r="D293" t="s">
        <v>56</v>
      </c>
      <c r="E293">
        <v>15.99</v>
      </c>
      <c r="F293" t="str">
        <f>C293&amp;D293</f>
        <v>USACredit Card</v>
      </c>
      <c r="G293">
        <v>415</v>
      </c>
      <c r="H293" t="s">
        <v>37</v>
      </c>
    </row>
    <row r="294" spans="1:8">
      <c r="A294">
        <v>4204</v>
      </c>
      <c r="B294" t="s">
        <v>169</v>
      </c>
      <c r="C294" t="s">
        <v>49</v>
      </c>
      <c r="D294" t="s">
        <v>44</v>
      </c>
      <c r="E294">
        <v>11.99</v>
      </c>
      <c r="F294" t="str">
        <f>C294&amp;D294</f>
        <v>UKDebit Card</v>
      </c>
      <c r="G294">
        <v>494</v>
      </c>
      <c r="H294" t="s">
        <v>57</v>
      </c>
    </row>
    <row r="295" spans="1:8">
      <c r="A295">
        <v>5666</v>
      </c>
      <c r="B295" t="s">
        <v>272</v>
      </c>
      <c r="C295" t="s">
        <v>49</v>
      </c>
      <c r="D295" t="s">
        <v>56</v>
      </c>
      <c r="E295">
        <v>7.99</v>
      </c>
      <c r="F295" t="str">
        <f>C295&amp;D295</f>
        <v>UKCredit Card</v>
      </c>
      <c r="G295">
        <v>109</v>
      </c>
      <c r="H295" t="s">
        <v>37</v>
      </c>
    </row>
    <row r="296" spans="1:8">
      <c r="A296">
        <v>5943</v>
      </c>
      <c r="B296" t="s">
        <v>401</v>
      </c>
      <c r="C296" t="s">
        <v>55</v>
      </c>
      <c r="D296" t="s">
        <v>75</v>
      </c>
      <c r="E296">
        <v>7.99</v>
      </c>
      <c r="F296" t="str">
        <f>C296&amp;D296</f>
        <v>IndiaCryptocurrency</v>
      </c>
      <c r="G296">
        <v>200</v>
      </c>
      <c r="H296" t="s">
        <v>45</v>
      </c>
    </row>
    <row r="297" spans="1:8">
      <c r="A297">
        <v>3202</v>
      </c>
      <c r="B297" t="s">
        <v>52</v>
      </c>
      <c r="C297" t="s">
        <v>49</v>
      </c>
      <c r="D297" t="s">
        <v>75</v>
      </c>
      <c r="E297">
        <v>11.99</v>
      </c>
      <c r="F297" t="str">
        <f>C297&amp;D297</f>
        <v>UKCryptocurrency</v>
      </c>
      <c r="G297">
        <v>134</v>
      </c>
      <c r="H297" t="s">
        <v>37</v>
      </c>
    </row>
    <row r="298" spans="1:8">
      <c r="A298">
        <v>4512</v>
      </c>
      <c r="B298" t="s">
        <v>259</v>
      </c>
      <c r="C298" t="s">
        <v>49</v>
      </c>
      <c r="D298" t="s">
        <v>56</v>
      </c>
      <c r="E298">
        <v>11.99</v>
      </c>
      <c r="F298" t="str">
        <f>C298&amp;D298</f>
        <v>UKCredit Card</v>
      </c>
      <c r="G298">
        <v>250</v>
      </c>
      <c r="H298" t="s">
        <v>64</v>
      </c>
    </row>
    <row r="299" spans="1:8">
      <c r="A299">
        <v>2075</v>
      </c>
      <c r="B299" t="s">
        <v>347</v>
      </c>
      <c r="C299" t="s">
        <v>27</v>
      </c>
      <c r="D299" t="s">
        <v>44</v>
      </c>
      <c r="E299">
        <v>7.99</v>
      </c>
      <c r="F299" t="str">
        <f>C299&amp;D299</f>
        <v>USADebit Card</v>
      </c>
      <c r="G299">
        <v>305</v>
      </c>
      <c r="H299" t="s">
        <v>45</v>
      </c>
    </row>
    <row r="300" spans="1:8">
      <c r="A300">
        <v>4057</v>
      </c>
      <c r="B300" t="s">
        <v>404</v>
      </c>
      <c r="C300" t="s">
        <v>43</v>
      </c>
      <c r="D300" t="s">
        <v>28</v>
      </c>
      <c r="E300">
        <v>15.99</v>
      </c>
      <c r="F300" t="str">
        <f>C300&amp;D300</f>
        <v>CanadaPayPal</v>
      </c>
      <c r="G300">
        <v>256</v>
      </c>
      <c r="H300" t="s">
        <v>57</v>
      </c>
    </row>
    <row r="301" spans="1:8">
      <c r="A301">
        <v>5537</v>
      </c>
      <c r="B301" t="s">
        <v>212</v>
      </c>
      <c r="C301" t="s">
        <v>43</v>
      </c>
      <c r="D301" t="s">
        <v>44</v>
      </c>
      <c r="E301">
        <v>11.99</v>
      </c>
      <c r="F301" t="str">
        <f>C301&amp;D301</f>
        <v>CanadaDebit Card</v>
      </c>
      <c r="G301">
        <v>214</v>
      </c>
      <c r="H301" t="s">
        <v>29</v>
      </c>
    </row>
    <row r="302" spans="1:8">
      <c r="A302">
        <v>9520</v>
      </c>
      <c r="B302" t="s">
        <v>405</v>
      </c>
      <c r="C302" t="s">
        <v>74</v>
      </c>
      <c r="D302" t="s">
        <v>28</v>
      </c>
      <c r="E302">
        <v>11.99</v>
      </c>
      <c r="F302" t="str">
        <f>C302&amp;D302</f>
        <v>GermanyPayPal</v>
      </c>
      <c r="G302">
        <v>272</v>
      </c>
      <c r="H302" t="s">
        <v>37</v>
      </c>
    </row>
    <row r="303" spans="1:8">
      <c r="A303">
        <v>1081</v>
      </c>
      <c r="B303" t="s">
        <v>406</v>
      </c>
      <c r="C303" t="s">
        <v>43</v>
      </c>
      <c r="D303" t="s">
        <v>44</v>
      </c>
      <c r="E303">
        <v>15.99</v>
      </c>
      <c r="F303" t="str">
        <f>C303&amp;D303</f>
        <v>CanadaDebit Card</v>
      </c>
      <c r="G303">
        <v>144</v>
      </c>
      <c r="H303" t="s">
        <v>64</v>
      </c>
    </row>
    <row r="304" spans="1:8">
      <c r="A304">
        <v>7621</v>
      </c>
      <c r="B304" t="s">
        <v>405</v>
      </c>
      <c r="C304" t="s">
        <v>68</v>
      </c>
      <c r="D304" t="s">
        <v>44</v>
      </c>
      <c r="E304">
        <v>7.99</v>
      </c>
      <c r="F304" t="str">
        <f>C304&amp;D304</f>
        <v>AustraliaDebit Card</v>
      </c>
      <c r="G304">
        <v>381</v>
      </c>
      <c r="H304" t="s">
        <v>64</v>
      </c>
    </row>
    <row r="305" spans="1:8">
      <c r="A305">
        <v>4558</v>
      </c>
      <c r="B305" t="s">
        <v>204</v>
      </c>
      <c r="C305" t="s">
        <v>74</v>
      </c>
      <c r="D305" t="s">
        <v>56</v>
      </c>
      <c r="E305">
        <v>11.99</v>
      </c>
      <c r="F305" t="str">
        <f>C305&amp;D305</f>
        <v>GermanyCredit Card</v>
      </c>
      <c r="G305">
        <v>292</v>
      </c>
      <c r="H305" t="s">
        <v>64</v>
      </c>
    </row>
    <row r="306" spans="1:8">
      <c r="A306">
        <v>6628</v>
      </c>
      <c r="B306" t="s">
        <v>357</v>
      </c>
      <c r="C306" t="s">
        <v>55</v>
      </c>
      <c r="D306" t="s">
        <v>44</v>
      </c>
      <c r="E306">
        <v>11.99</v>
      </c>
      <c r="F306" t="str">
        <f>C306&amp;D306</f>
        <v>IndiaDebit Card</v>
      </c>
      <c r="G306">
        <v>358</v>
      </c>
      <c r="H306" t="s">
        <v>57</v>
      </c>
    </row>
    <row r="307" spans="1:8">
      <c r="A307">
        <v>7643</v>
      </c>
      <c r="B307" t="s">
        <v>408</v>
      </c>
      <c r="C307" t="s">
        <v>27</v>
      </c>
      <c r="D307" t="s">
        <v>28</v>
      </c>
      <c r="E307">
        <v>15.99</v>
      </c>
      <c r="F307" t="str">
        <f>C307&amp;D307</f>
        <v>USAPayPal</v>
      </c>
      <c r="G307">
        <v>426</v>
      </c>
      <c r="H307" t="s">
        <v>78</v>
      </c>
    </row>
    <row r="308" spans="1:8">
      <c r="A308">
        <v>4709</v>
      </c>
      <c r="B308" t="s">
        <v>409</v>
      </c>
      <c r="C308" t="s">
        <v>68</v>
      </c>
      <c r="D308" t="s">
        <v>44</v>
      </c>
      <c r="E308">
        <v>11.99</v>
      </c>
      <c r="F308" t="str">
        <f>C308&amp;D308</f>
        <v>AustraliaDebit Card</v>
      </c>
      <c r="G308">
        <v>474</v>
      </c>
      <c r="H308" t="s">
        <v>37</v>
      </c>
    </row>
    <row r="309" spans="1:8">
      <c r="A309">
        <v>8408</v>
      </c>
      <c r="B309" t="s">
        <v>176</v>
      </c>
      <c r="C309" t="s">
        <v>27</v>
      </c>
      <c r="D309" t="s">
        <v>56</v>
      </c>
      <c r="E309">
        <v>7.99</v>
      </c>
      <c r="F309" t="str">
        <f>C309&amp;D309</f>
        <v>USACredit Card</v>
      </c>
      <c r="G309">
        <v>286</v>
      </c>
      <c r="H309" t="s">
        <v>45</v>
      </c>
    </row>
    <row r="310" spans="1:8">
      <c r="A310">
        <v>3530</v>
      </c>
      <c r="B310" t="s">
        <v>411</v>
      </c>
      <c r="C310" t="s">
        <v>55</v>
      </c>
      <c r="D310" t="s">
        <v>44</v>
      </c>
      <c r="E310">
        <v>15.99</v>
      </c>
      <c r="F310" t="str">
        <f>C310&amp;D310</f>
        <v>IndiaDebit Card</v>
      </c>
      <c r="G310">
        <v>498</v>
      </c>
      <c r="H310" t="s">
        <v>64</v>
      </c>
    </row>
    <row r="311" spans="1:8">
      <c r="A311">
        <v>3779</v>
      </c>
      <c r="B311" t="s">
        <v>291</v>
      </c>
      <c r="C311" t="s">
        <v>49</v>
      </c>
      <c r="D311" t="s">
        <v>75</v>
      </c>
      <c r="E311">
        <v>11.99</v>
      </c>
      <c r="F311" t="str">
        <f>C311&amp;D311</f>
        <v>UKCryptocurrency</v>
      </c>
      <c r="G311">
        <v>32</v>
      </c>
      <c r="H311" t="s">
        <v>57</v>
      </c>
    </row>
    <row r="312" spans="1:8">
      <c r="A312">
        <v>8564</v>
      </c>
      <c r="B312" t="s">
        <v>202</v>
      </c>
      <c r="C312" t="s">
        <v>27</v>
      </c>
      <c r="D312" t="s">
        <v>44</v>
      </c>
      <c r="E312">
        <v>7.99</v>
      </c>
      <c r="F312" t="str">
        <f>C312&amp;D312</f>
        <v>USADebit Card</v>
      </c>
      <c r="G312">
        <v>84</v>
      </c>
      <c r="H312" t="s">
        <v>45</v>
      </c>
    </row>
    <row r="313" spans="1:8">
      <c r="A313">
        <v>8731</v>
      </c>
      <c r="B313" t="s">
        <v>177</v>
      </c>
      <c r="C313" t="s">
        <v>43</v>
      </c>
      <c r="D313" t="s">
        <v>28</v>
      </c>
      <c r="E313">
        <v>15.99</v>
      </c>
      <c r="F313" t="str">
        <f>C313&amp;D313</f>
        <v>CanadaPayPal</v>
      </c>
      <c r="G313">
        <v>210</v>
      </c>
      <c r="H313" t="s">
        <v>29</v>
      </c>
    </row>
    <row r="314" spans="1:8">
      <c r="A314">
        <v>5000</v>
      </c>
      <c r="B314" t="s">
        <v>150</v>
      </c>
      <c r="C314" t="s">
        <v>55</v>
      </c>
      <c r="D314" t="s">
        <v>56</v>
      </c>
      <c r="E314">
        <v>15.99</v>
      </c>
      <c r="F314" t="str">
        <f>C314&amp;D314</f>
        <v>IndiaCredit Card</v>
      </c>
      <c r="G314">
        <v>231</v>
      </c>
      <c r="H314" t="s">
        <v>37</v>
      </c>
    </row>
    <row r="315" spans="1:8">
      <c r="A315">
        <v>3882</v>
      </c>
      <c r="B315" t="s">
        <v>318</v>
      </c>
      <c r="C315" t="s">
        <v>43</v>
      </c>
      <c r="D315" t="s">
        <v>56</v>
      </c>
      <c r="E315">
        <v>15.99</v>
      </c>
      <c r="F315" t="str">
        <f>C315&amp;D315</f>
        <v>CanadaCredit Card</v>
      </c>
      <c r="G315">
        <v>246</v>
      </c>
      <c r="H315" t="s">
        <v>64</v>
      </c>
    </row>
    <row r="316" spans="1:8">
      <c r="A316">
        <v>4551</v>
      </c>
      <c r="B316" t="s">
        <v>414</v>
      </c>
      <c r="C316" t="s">
        <v>27</v>
      </c>
      <c r="D316" t="s">
        <v>56</v>
      </c>
      <c r="E316">
        <v>11.99</v>
      </c>
      <c r="F316" t="str">
        <f>C316&amp;D316</f>
        <v>USACredit Card</v>
      </c>
      <c r="G316">
        <v>174</v>
      </c>
      <c r="H316" t="s">
        <v>64</v>
      </c>
    </row>
    <row r="317" spans="1:8">
      <c r="A317">
        <v>7970</v>
      </c>
      <c r="B317" t="s">
        <v>169</v>
      </c>
      <c r="C317" t="s">
        <v>74</v>
      </c>
      <c r="D317" t="s">
        <v>28</v>
      </c>
      <c r="E317">
        <v>15.99</v>
      </c>
      <c r="F317" t="str">
        <f>C317&amp;D317</f>
        <v>GermanyPayPal</v>
      </c>
      <c r="G317">
        <v>298</v>
      </c>
      <c r="H317" t="s">
        <v>29</v>
      </c>
    </row>
    <row r="318" spans="1:8">
      <c r="A318">
        <v>2466</v>
      </c>
      <c r="B318" t="s">
        <v>417</v>
      </c>
      <c r="C318" t="s">
        <v>27</v>
      </c>
      <c r="D318" t="s">
        <v>28</v>
      </c>
      <c r="E318">
        <v>11.99</v>
      </c>
      <c r="F318" t="str">
        <f>C318&amp;D318</f>
        <v>USAPayPal</v>
      </c>
      <c r="G318">
        <v>344</v>
      </c>
      <c r="H318" t="s">
        <v>37</v>
      </c>
    </row>
    <row r="319" spans="1:8">
      <c r="A319">
        <v>1303</v>
      </c>
      <c r="B319" t="s">
        <v>140</v>
      </c>
      <c r="C319" t="s">
        <v>68</v>
      </c>
      <c r="D319" t="s">
        <v>75</v>
      </c>
      <c r="E319">
        <v>11.99</v>
      </c>
      <c r="F319" t="str">
        <f>C319&amp;D319</f>
        <v>AustraliaCryptocurrency</v>
      </c>
      <c r="G319">
        <v>264</v>
      </c>
      <c r="H319" t="s">
        <v>64</v>
      </c>
    </row>
    <row r="320" spans="1:8">
      <c r="A320">
        <v>9832</v>
      </c>
      <c r="B320" t="s">
        <v>311</v>
      </c>
      <c r="C320" t="s">
        <v>68</v>
      </c>
      <c r="D320" t="s">
        <v>28</v>
      </c>
      <c r="E320">
        <v>7.99</v>
      </c>
      <c r="F320" t="str">
        <f>C320&amp;D320</f>
        <v>AustraliaPayPal</v>
      </c>
      <c r="G320">
        <v>380</v>
      </c>
      <c r="H320" t="s">
        <v>78</v>
      </c>
    </row>
    <row r="321" spans="1:8">
      <c r="A321">
        <v>3618</v>
      </c>
      <c r="B321" t="s">
        <v>284</v>
      </c>
      <c r="C321" t="s">
        <v>68</v>
      </c>
      <c r="D321" t="s">
        <v>75</v>
      </c>
      <c r="E321">
        <v>11.99</v>
      </c>
      <c r="F321" t="str">
        <f>C321&amp;D321</f>
        <v>AustraliaCryptocurrency</v>
      </c>
      <c r="G321">
        <v>160</v>
      </c>
      <c r="H321" t="s">
        <v>37</v>
      </c>
    </row>
    <row r="322" spans="1:8">
      <c r="A322">
        <v>7424</v>
      </c>
      <c r="B322" t="s">
        <v>148</v>
      </c>
      <c r="C322" t="s">
        <v>74</v>
      </c>
      <c r="D322" t="s">
        <v>56</v>
      </c>
      <c r="E322">
        <v>7.99</v>
      </c>
      <c r="F322" t="str">
        <f>C322&amp;D322</f>
        <v>GermanyCredit Card</v>
      </c>
      <c r="G322">
        <v>55</v>
      </c>
      <c r="H322" t="s">
        <v>78</v>
      </c>
    </row>
    <row r="323" spans="1:8">
      <c r="A323">
        <v>8414</v>
      </c>
      <c r="B323" t="s">
        <v>148</v>
      </c>
      <c r="C323" t="s">
        <v>55</v>
      </c>
      <c r="D323" t="s">
        <v>75</v>
      </c>
      <c r="E323">
        <v>11.99</v>
      </c>
      <c r="F323" t="str">
        <f>C323&amp;D323</f>
        <v>IndiaCryptocurrency</v>
      </c>
      <c r="G323">
        <v>70</v>
      </c>
      <c r="H323" t="s">
        <v>45</v>
      </c>
    </row>
    <row r="324" spans="1:8">
      <c r="A324">
        <v>5688</v>
      </c>
      <c r="B324" t="s">
        <v>140</v>
      </c>
      <c r="C324" t="s">
        <v>43</v>
      </c>
      <c r="D324" t="s">
        <v>56</v>
      </c>
      <c r="E324">
        <v>7.99</v>
      </c>
      <c r="F324" t="str">
        <f>C324&amp;D324</f>
        <v>CanadaCredit Card</v>
      </c>
      <c r="G324">
        <v>256</v>
      </c>
      <c r="H324" t="s">
        <v>64</v>
      </c>
    </row>
    <row r="325" spans="1:8">
      <c r="A325">
        <v>2062</v>
      </c>
      <c r="B325" t="s">
        <v>421</v>
      </c>
      <c r="C325" t="s">
        <v>92</v>
      </c>
      <c r="D325" t="s">
        <v>56</v>
      </c>
      <c r="E325">
        <v>15.99</v>
      </c>
      <c r="F325" t="str">
        <f>C325&amp;D325</f>
        <v>FranceCredit Card</v>
      </c>
      <c r="G325">
        <v>436</v>
      </c>
      <c r="H325" t="s">
        <v>37</v>
      </c>
    </row>
    <row r="326" spans="1:8">
      <c r="A326">
        <v>5031</v>
      </c>
      <c r="B326" t="s">
        <v>422</v>
      </c>
      <c r="C326" t="s">
        <v>49</v>
      </c>
      <c r="D326" t="s">
        <v>28</v>
      </c>
      <c r="E326">
        <v>7.99</v>
      </c>
      <c r="F326" t="str">
        <f>C326&amp;D326</f>
        <v>UKPayPal</v>
      </c>
      <c r="G326">
        <v>394</v>
      </c>
      <c r="H326" t="s">
        <v>37</v>
      </c>
    </row>
    <row r="327" spans="1:8">
      <c r="A327">
        <v>1162</v>
      </c>
      <c r="B327" t="s">
        <v>294</v>
      </c>
      <c r="C327" t="s">
        <v>55</v>
      </c>
      <c r="D327" t="s">
        <v>44</v>
      </c>
      <c r="E327">
        <v>15.99</v>
      </c>
      <c r="F327" t="str">
        <f>C327&amp;D327</f>
        <v>IndiaDebit Card</v>
      </c>
      <c r="G327">
        <v>131</v>
      </c>
      <c r="H327" t="s">
        <v>57</v>
      </c>
    </row>
    <row r="328" spans="1:8">
      <c r="A328">
        <v>6564</v>
      </c>
      <c r="B328" t="s">
        <v>153</v>
      </c>
      <c r="C328" t="s">
        <v>27</v>
      </c>
      <c r="D328" t="s">
        <v>44</v>
      </c>
      <c r="E328">
        <v>11.99</v>
      </c>
      <c r="F328" t="str">
        <f>C328&amp;D328</f>
        <v>USADebit Card</v>
      </c>
      <c r="G328">
        <v>98</v>
      </c>
      <c r="H328" t="s">
        <v>64</v>
      </c>
    </row>
    <row r="329" spans="1:8">
      <c r="A329">
        <v>9298</v>
      </c>
      <c r="B329" t="s">
        <v>174</v>
      </c>
      <c r="C329" t="s">
        <v>92</v>
      </c>
      <c r="D329" t="s">
        <v>28</v>
      </c>
      <c r="E329">
        <v>11.99</v>
      </c>
      <c r="F329" t="str">
        <f>C329&amp;D329</f>
        <v>FrancePayPal</v>
      </c>
      <c r="G329">
        <v>276</v>
      </c>
      <c r="H329" t="s">
        <v>64</v>
      </c>
    </row>
    <row r="330" spans="1:8">
      <c r="A330">
        <v>4216</v>
      </c>
      <c r="B330" t="s">
        <v>424</v>
      </c>
      <c r="C330" t="s">
        <v>68</v>
      </c>
      <c r="D330" t="s">
        <v>44</v>
      </c>
      <c r="E330">
        <v>11.99</v>
      </c>
      <c r="F330" t="str">
        <f>C330&amp;D330</f>
        <v>AustraliaDebit Card</v>
      </c>
      <c r="G330">
        <v>251</v>
      </c>
      <c r="H330" t="s">
        <v>29</v>
      </c>
    </row>
    <row r="331" spans="1:8">
      <c r="A331">
        <v>3677</v>
      </c>
      <c r="B331" t="s">
        <v>226</v>
      </c>
      <c r="C331" t="s">
        <v>43</v>
      </c>
      <c r="D331" t="s">
        <v>28</v>
      </c>
      <c r="E331">
        <v>7.99</v>
      </c>
      <c r="F331" t="str">
        <f>C331&amp;D331</f>
        <v>CanadaPayPal</v>
      </c>
      <c r="G331">
        <v>233</v>
      </c>
      <c r="H331" t="s">
        <v>45</v>
      </c>
    </row>
    <row r="332" spans="1:8">
      <c r="A332">
        <v>8453</v>
      </c>
      <c r="B332" t="s">
        <v>344</v>
      </c>
      <c r="C332" t="s">
        <v>55</v>
      </c>
      <c r="D332" t="s">
        <v>75</v>
      </c>
      <c r="E332">
        <v>11.99</v>
      </c>
      <c r="F332" t="str">
        <f>C332&amp;D332</f>
        <v>IndiaCryptocurrency</v>
      </c>
      <c r="G332">
        <v>136</v>
      </c>
      <c r="H332" t="s">
        <v>29</v>
      </c>
    </row>
    <row r="333" spans="1:8">
      <c r="A333">
        <v>6231</v>
      </c>
      <c r="B333" t="s">
        <v>186</v>
      </c>
      <c r="C333" t="s">
        <v>92</v>
      </c>
      <c r="D333" t="s">
        <v>56</v>
      </c>
      <c r="E333">
        <v>15.99</v>
      </c>
      <c r="F333" t="str">
        <f>C333&amp;D333</f>
        <v>FranceCredit Card</v>
      </c>
      <c r="G333">
        <v>248</v>
      </c>
      <c r="H333" t="s">
        <v>57</v>
      </c>
    </row>
    <row r="334" spans="1:8">
      <c r="A334">
        <v>1481</v>
      </c>
      <c r="B334" t="s">
        <v>52</v>
      </c>
      <c r="C334" t="s">
        <v>49</v>
      </c>
      <c r="D334" t="s">
        <v>44</v>
      </c>
      <c r="E334">
        <v>7.99</v>
      </c>
      <c r="F334" t="str">
        <f>C334&amp;D334</f>
        <v>UKDebit Card</v>
      </c>
      <c r="G334">
        <v>180</v>
      </c>
      <c r="H334" t="s">
        <v>64</v>
      </c>
    </row>
    <row r="335" spans="1:8">
      <c r="A335">
        <v>7400</v>
      </c>
      <c r="B335" t="s">
        <v>428</v>
      </c>
      <c r="C335" t="s">
        <v>68</v>
      </c>
      <c r="D335" t="s">
        <v>44</v>
      </c>
      <c r="E335">
        <v>11.99</v>
      </c>
      <c r="F335" t="str">
        <f>C335&amp;D335</f>
        <v>AustraliaDebit Card</v>
      </c>
      <c r="G335">
        <v>254</v>
      </c>
      <c r="H335" t="s">
        <v>45</v>
      </c>
    </row>
    <row r="336" spans="1:8">
      <c r="A336">
        <v>7447</v>
      </c>
      <c r="B336" t="s">
        <v>130</v>
      </c>
      <c r="C336" t="s">
        <v>74</v>
      </c>
      <c r="D336" t="s">
        <v>28</v>
      </c>
      <c r="E336">
        <v>7.99</v>
      </c>
      <c r="F336" t="str">
        <f>C336&amp;D336</f>
        <v>GermanyPayPal</v>
      </c>
      <c r="G336">
        <v>108</v>
      </c>
      <c r="H336" t="s">
        <v>29</v>
      </c>
    </row>
    <row r="337" spans="1:8">
      <c r="A337">
        <v>4597</v>
      </c>
      <c r="B337" t="s">
        <v>244</v>
      </c>
      <c r="C337" t="s">
        <v>92</v>
      </c>
      <c r="D337" t="s">
        <v>28</v>
      </c>
      <c r="E337">
        <v>7.99</v>
      </c>
      <c r="F337" t="str">
        <f>C337&amp;D337</f>
        <v>FrancePayPal</v>
      </c>
      <c r="G337">
        <v>183</v>
      </c>
      <c r="H337" t="s">
        <v>37</v>
      </c>
    </row>
    <row r="338" spans="1:8">
      <c r="A338">
        <v>3173</v>
      </c>
      <c r="B338" t="s">
        <v>236</v>
      </c>
      <c r="C338" t="s">
        <v>92</v>
      </c>
      <c r="D338" t="s">
        <v>75</v>
      </c>
      <c r="E338">
        <v>7.99</v>
      </c>
      <c r="F338" t="str">
        <f>C338&amp;D338</f>
        <v>FranceCryptocurrency</v>
      </c>
      <c r="G338">
        <v>53</v>
      </c>
      <c r="H338" t="s">
        <v>64</v>
      </c>
    </row>
    <row r="339" spans="1:8">
      <c r="A339">
        <v>9514</v>
      </c>
      <c r="B339" t="s">
        <v>431</v>
      </c>
      <c r="C339" t="s">
        <v>49</v>
      </c>
      <c r="D339" t="s">
        <v>44</v>
      </c>
      <c r="E339">
        <v>7.99</v>
      </c>
      <c r="F339" t="str">
        <f>C339&amp;D339</f>
        <v>UKDebit Card</v>
      </c>
      <c r="G339">
        <v>120</v>
      </c>
      <c r="H339" t="s">
        <v>29</v>
      </c>
    </row>
    <row r="340" spans="1:8">
      <c r="A340">
        <v>4985</v>
      </c>
      <c r="B340" t="s">
        <v>157</v>
      </c>
      <c r="C340" t="s">
        <v>49</v>
      </c>
      <c r="D340" t="s">
        <v>75</v>
      </c>
      <c r="E340">
        <v>7.99</v>
      </c>
      <c r="F340" t="str">
        <f>C340&amp;D340</f>
        <v>UKCryptocurrency</v>
      </c>
      <c r="G340">
        <v>118</v>
      </c>
      <c r="H340" t="s">
        <v>45</v>
      </c>
    </row>
    <row r="341" spans="1:8">
      <c r="A341">
        <v>4486</v>
      </c>
      <c r="B341" t="s">
        <v>395</v>
      </c>
      <c r="C341" t="s">
        <v>68</v>
      </c>
      <c r="D341" t="s">
        <v>75</v>
      </c>
      <c r="E341">
        <v>7.99</v>
      </c>
      <c r="F341" t="str">
        <f>C341&amp;D341</f>
        <v>AustraliaCryptocurrency</v>
      </c>
      <c r="G341">
        <v>113</v>
      </c>
      <c r="H341" t="s">
        <v>64</v>
      </c>
    </row>
    <row r="342" spans="1:8">
      <c r="A342">
        <v>8756</v>
      </c>
      <c r="B342" t="s">
        <v>143</v>
      </c>
      <c r="C342" t="s">
        <v>68</v>
      </c>
      <c r="D342" t="s">
        <v>44</v>
      </c>
      <c r="E342">
        <v>7.99</v>
      </c>
      <c r="F342" t="str">
        <f>C342&amp;D342</f>
        <v>AustraliaDebit Card</v>
      </c>
      <c r="G342">
        <v>138</v>
      </c>
      <c r="H342" t="s">
        <v>45</v>
      </c>
    </row>
    <row r="343" spans="1:8">
      <c r="A343">
        <v>9121</v>
      </c>
      <c r="B343" t="s">
        <v>262</v>
      </c>
      <c r="C343" t="s">
        <v>43</v>
      </c>
      <c r="D343" t="s">
        <v>75</v>
      </c>
      <c r="E343">
        <v>7.99</v>
      </c>
      <c r="F343" t="str">
        <f>C343&amp;D343</f>
        <v>CanadaCryptocurrency</v>
      </c>
      <c r="G343">
        <v>178</v>
      </c>
      <c r="H343" t="s">
        <v>64</v>
      </c>
    </row>
    <row r="344" spans="1:8">
      <c r="A344">
        <v>6471</v>
      </c>
      <c r="B344" t="s">
        <v>88</v>
      </c>
      <c r="C344" t="s">
        <v>68</v>
      </c>
      <c r="D344" t="s">
        <v>56</v>
      </c>
      <c r="E344">
        <v>7.99</v>
      </c>
      <c r="F344" t="str">
        <f>C344&amp;D344</f>
        <v>AustraliaCredit Card</v>
      </c>
      <c r="G344">
        <v>105</v>
      </c>
      <c r="H344" t="s">
        <v>78</v>
      </c>
    </row>
    <row r="345" spans="1:8">
      <c r="A345">
        <v>6601</v>
      </c>
      <c r="B345" t="s">
        <v>434</v>
      </c>
      <c r="C345" t="s">
        <v>92</v>
      </c>
      <c r="D345" t="s">
        <v>44</v>
      </c>
      <c r="E345">
        <v>7.99</v>
      </c>
      <c r="F345" t="str">
        <f>C345&amp;D345</f>
        <v>FranceDebit Card</v>
      </c>
      <c r="G345">
        <v>283</v>
      </c>
      <c r="H345" t="s">
        <v>78</v>
      </c>
    </row>
    <row r="346" spans="1:8">
      <c r="A346">
        <v>4340</v>
      </c>
      <c r="B346" t="s">
        <v>435</v>
      </c>
      <c r="C346" t="s">
        <v>49</v>
      </c>
      <c r="D346" t="s">
        <v>28</v>
      </c>
      <c r="E346">
        <v>15.99</v>
      </c>
      <c r="F346" t="str">
        <f>C346&amp;D346</f>
        <v>UKPayPal</v>
      </c>
      <c r="G346">
        <v>154</v>
      </c>
      <c r="H346" t="s">
        <v>64</v>
      </c>
    </row>
    <row r="347" spans="1:8">
      <c r="A347">
        <v>5112</v>
      </c>
      <c r="B347" t="s">
        <v>228</v>
      </c>
      <c r="C347" t="s">
        <v>27</v>
      </c>
      <c r="D347" t="s">
        <v>75</v>
      </c>
      <c r="E347">
        <v>15.99</v>
      </c>
      <c r="F347" t="str">
        <f>C347&amp;D347</f>
        <v>USACryptocurrency</v>
      </c>
      <c r="G347">
        <v>240</v>
      </c>
      <c r="H347" t="s">
        <v>29</v>
      </c>
    </row>
    <row r="348" spans="1:8">
      <c r="A348">
        <v>5700</v>
      </c>
      <c r="B348" t="s">
        <v>242</v>
      </c>
      <c r="C348" t="s">
        <v>92</v>
      </c>
      <c r="D348" t="s">
        <v>56</v>
      </c>
      <c r="E348">
        <v>11.99</v>
      </c>
      <c r="F348" t="str">
        <f>C348&amp;D348</f>
        <v>FranceCredit Card</v>
      </c>
      <c r="G348">
        <v>29</v>
      </c>
      <c r="H348" t="s">
        <v>57</v>
      </c>
    </row>
    <row r="349" spans="1:8">
      <c r="A349">
        <v>8617</v>
      </c>
      <c r="B349" t="s">
        <v>140</v>
      </c>
      <c r="C349" t="s">
        <v>68</v>
      </c>
      <c r="D349" t="s">
        <v>75</v>
      </c>
      <c r="E349">
        <v>15.99</v>
      </c>
      <c r="F349" t="str">
        <f>C349&amp;D349</f>
        <v>AustraliaCryptocurrency</v>
      </c>
      <c r="G349">
        <v>202</v>
      </c>
      <c r="H349" t="s">
        <v>64</v>
      </c>
    </row>
    <row r="350" spans="1:8">
      <c r="A350">
        <v>9149</v>
      </c>
      <c r="B350" t="s">
        <v>439</v>
      </c>
      <c r="C350" t="s">
        <v>68</v>
      </c>
      <c r="D350" t="s">
        <v>44</v>
      </c>
      <c r="E350">
        <v>15.99</v>
      </c>
      <c r="F350" t="str">
        <f>C350&amp;D350</f>
        <v>AustraliaDebit Card</v>
      </c>
      <c r="G350">
        <v>348</v>
      </c>
      <c r="H350" t="s">
        <v>57</v>
      </c>
    </row>
    <row r="351" spans="1:8">
      <c r="A351">
        <v>8651</v>
      </c>
      <c r="B351" t="s">
        <v>283</v>
      </c>
      <c r="C351" t="s">
        <v>92</v>
      </c>
      <c r="D351" t="s">
        <v>56</v>
      </c>
      <c r="E351">
        <v>15.99</v>
      </c>
      <c r="F351" t="str">
        <f>C351&amp;D351</f>
        <v>FranceCredit Card</v>
      </c>
      <c r="G351">
        <v>380</v>
      </c>
      <c r="H351" t="s">
        <v>37</v>
      </c>
    </row>
    <row r="352" spans="1:8">
      <c r="A352">
        <v>1495</v>
      </c>
      <c r="B352" t="s">
        <v>441</v>
      </c>
      <c r="C352" t="s">
        <v>92</v>
      </c>
      <c r="D352" t="s">
        <v>44</v>
      </c>
      <c r="E352">
        <v>15.99</v>
      </c>
      <c r="F352" t="str">
        <f>C352&amp;D352</f>
        <v>FranceDebit Card</v>
      </c>
      <c r="G352">
        <v>254</v>
      </c>
      <c r="H352" t="s">
        <v>64</v>
      </c>
    </row>
    <row r="353" spans="1:8">
      <c r="A353">
        <v>7359</v>
      </c>
      <c r="B353" t="s">
        <v>190</v>
      </c>
      <c r="C353" t="s">
        <v>27</v>
      </c>
      <c r="D353" t="s">
        <v>56</v>
      </c>
      <c r="E353">
        <v>15.99</v>
      </c>
      <c r="F353" t="str">
        <f>C353&amp;D353</f>
        <v>USACredit Card</v>
      </c>
      <c r="G353">
        <v>477</v>
      </c>
      <c r="H353" t="s">
        <v>64</v>
      </c>
    </row>
    <row r="354" spans="1:8">
      <c r="A354">
        <v>6525</v>
      </c>
      <c r="B354" t="s">
        <v>284</v>
      </c>
      <c r="C354" t="s">
        <v>27</v>
      </c>
      <c r="D354" t="s">
        <v>56</v>
      </c>
      <c r="E354">
        <v>15.99</v>
      </c>
      <c r="F354" t="str">
        <f>C354&amp;D354</f>
        <v>USACredit Card</v>
      </c>
      <c r="G354">
        <v>385</v>
      </c>
      <c r="H354" t="s">
        <v>78</v>
      </c>
    </row>
    <row r="355" spans="1:8">
      <c r="A355">
        <v>7207</v>
      </c>
      <c r="B355" t="s">
        <v>383</v>
      </c>
      <c r="C355" t="s">
        <v>68</v>
      </c>
      <c r="D355" t="s">
        <v>56</v>
      </c>
      <c r="E355">
        <v>7.99</v>
      </c>
      <c r="F355" t="str">
        <f>C355&amp;D355</f>
        <v>AustraliaCredit Card</v>
      </c>
      <c r="G355">
        <v>336</v>
      </c>
      <c r="H355" t="s">
        <v>78</v>
      </c>
    </row>
    <row r="356" spans="1:8">
      <c r="A356">
        <v>2361</v>
      </c>
      <c r="B356" t="s">
        <v>444</v>
      </c>
      <c r="C356" t="s">
        <v>49</v>
      </c>
      <c r="D356" t="s">
        <v>28</v>
      </c>
      <c r="E356">
        <v>15.99</v>
      </c>
      <c r="F356" t="str">
        <f>C356&amp;D356</f>
        <v>UKPayPal</v>
      </c>
      <c r="G356">
        <v>171</v>
      </c>
      <c r="H356" t="s">
        <v>57</v>
      </c>
    </row>
    <row r="357" spans="1:8">
      <c r="A357">
        <v>8766</v>
      </c>
      <c r="B357" t="s">
        <v>445</v>
      </c>
      <c r="C357" t="s">
        <v>43</v>
      </c>
      <c r="D357" t="s">
        <v>56</v>
      </c>
      <c r="E357">
        <v>15.99</v>
      </c>
      <c r="F357" t="str">
        <f>C357&amp;D357</f>
        <v>CanadaCredit Card</v>
      </c>
      <c r="G357">
        <v>33</v>
      </c>
      <c r="H357" t="s">
        <v>78</v>
      </c>
    </row>
    <row r="358" spans="1:8">
      <c r="A358">
        <v>7236</v>
      </c>
      <c r="B358" t="s">
        <v>52</v>
      </c>
      <c r="C358" t="s">
        <v>49</v>
      </c>
      <c r="D358" t="s">
        <v>75</v>
      </c>
      <c r="E358">
        <v>7.99</v>
      </c>
      <c r="F358" t="str">
        <f>C358&amp;D358</f>
        <v>UKCryptocurrency</v>
      </c>
      <c r="G358">
        <v>193</v>
      </c>
      <c r="H358" t="s">
        <v>78</v>
      </c>
    </row>
    <row r="359" spans="1:8">
      <c r="A359">
        <v>8605</v>
      </c>
      <c r="B359" t="s">
        <v>143</v>
      </c>
      <c r="C359" t="s">
        <v>55</v>
      </c>
      <c r="D359" t="s">
        <v>44</v>
      </c>
      <c r="E359">
        <v>11.99</v>
      </c>
      <c r="F359" t="str">
        <f>C359&amp;D359</f>
        <v>IndiaDebit Card</v>
      </c>
      <c r="G359">
        <v>153</v>
      </c>
      <c r="H359" t="s">
        <v>78</v>
      </c>
    </row>
    <row r="360" spans="1:8">
      <c r="A360">
        <v>1055</v>
      </c>
      <c r="B360" t="s">
        <v>275</v>
      </c>
      <c r="C360" t="s">
        <v>92</v>
      </c>
      <c r="D360" t="s">
        <v>56</v>
      </c>
      <c r="E360">
        <v>15.99</v>
      </c>
      <c r="F360" t="str">
        <f>C360&amp;D360</f>
        <v>FranceCredit Card</v>
      </c>
      <c r="G360">
        <v>140</v>
      </c>
      <c r="H360" t="s">
        <v>29</v>
      </c>
    </row>
    <row r="361" spans="1:8">
      <c r="A361">
        <v>7986</v>
      </c>
      <c r="B361" t="s">
        <v>184</v>
      </c>
      <c r="C361" t="s">
        <v>68</v>
      </c>
      <c r="D361" t="s">
        <v>75</v>
      </c>
      <c r="E361">
        <v>15.99</v>
      </c>
      <c r="F361" t="str">
        <f>C361&amp;D361</f>
        <v>AustraliaCryptocurrency</v>
      </c>
      <c r="G361">
        <v>196</v>
      </c>
      <c r="H361" t="s">
        <v>57</v>
      </c>
    </row>
    <row r="362" spans="1:8">
      <c r="A362">
        <v>6170</v>
      </c>
      <c r="B362" t="s">
        <v>244</v>
      </c>
      <c r="C362" t="s">
        <v>49</v>
      </c>
      <c r="D362" t="s">
        <v>75</v>
      </c>
      <c r="E362">
        <v>15.99</v>
      </c>
      <c r="F362" t="str">
        <f>C362&amp;D362</f>
        <v>UKCryptocurrency</v>
      </c>
      <c r="G362">
        <v>298</v>
      </c>
      <c r="H362" t="s">
        <v>57</v>
      </c>
    </row>
    <row r="363" spans="1:8">
      <c r="A363">
        <v>7172</v>
      </c>
      <c r="B363" t="s">
        <v>448</v>
      </c>
      <c r="C363" t="s">
        <v>92</v>
      </c>
      <c r="D363" t="s">
        <v>56</v>
      </c>
      <c r="E363">
        <v>11.99</v>
      </c>
      <c r="F363" t="str">
        <f>C363&amp;D363</f>
        <v>FranceCredit Card</v>
      </c>
      <c r="G363">
        <v>477</v>
      </c>
      <c r="H363" t="s">
        <v>29</v>
      </c>
    </row>
    <row r="364" spans="1:8">
      <c r="A364">
        <v>7408</v>
      </c>
      <c r="B364" t="s">
        <v>236</v>
      </c>
      <c r="C364" t="s">
        <v>55</v>
      </c>
      <c r="D364" t="s">
        <v>75</v>
      </c>
      <c r="E364">
        <v>15.99</v>
      </c>
      <c r="F364" t="str">
        <f>C364&amp;D364</f>
        <v>IndiaCryptocurrency</v>
      </c>
      <c r="G364">
        <v>308</v>
      </c>
      <c r="H364" t="s">
        <v>57</v>
      </c>
    </row>
    <row r="365" spans="1:8">
      <c r="A365">
        <v>7274</v>
      </c>
      <c r="B365" t="s">
        <v>304</v>
      </c>
      <c r="C365" t="s">
        <v>92</v>
      </c>
      <c r="D365" t="s">
        <v>56</v>
      </c>
      <c r="E365">
        <v>11.99</v>
      </c>
      <c r="F365" t="str">
        <f>C365&amp;D365</f>
        <v>FranceCredit Card</v>
      </c>
      <c r="G365">
        <v>193</v>
      </c>
      <c r="H365" t="s">
        <v>64</v>
      </c>
    </row>
    <row r="366" spans="1:8">
      <c r="A366">
        <v>6001</v>
      </c>
      <c r="B366" t="s">
        <v>276</v>
      </c>
      <c r="C366" t="s">
        <v>27</v>
      </c>
      <c r="D366" t="s">
        <v>44</v>
      </c>
      <c r="E366">
        <v>15.99</v>
      </c>
      <c r="F366" t="str">
        <f>C366&amp;D366</f>
        <v>USADebit Card</v>
      </c>
      <c r="G366">
        <v>420</v>
      </c>
      <c r="H366" t="s">
        <v>64</v>
      </c>
    </row>
    <row r="367" spans="1:8">
      <c r="A367">
        <v>9418</v>
      </c>
      <c r="B367" t="s">
        <v>450</v>
      </c>
      <c r="C367" t="s">
        <v>55</v>
      </c>
      <c r="D367" t="s">
        <v>56</v>
      </c>
      <c r="E367">
        <v>7.99</v>
      </c>
      <c r="F367" t="str">
        <f>C367&amp;D367</f>
        <v>IndiaCredit Card</v>
      </c>
      <c r="G367">
        <v>128</v>
      </c>
      <c r="H367" t="s">
        <v>37</v>
      </c>
    </row>
    <row r="368" spans="1:8">
      <c r="A368">
        <v>9354</v>
      </c>
      <c r="B368" t="s">
        <v>441</v>
      </c>
      <c r="C368" t="s">
        <v>68</v>
      </c>
      <c r="D368" t="s">
        <v>28</v>
      </c>
      <c r="E368">
        <v>11.99</v>
      </c>
      <c r="F368" t="str">
        <f>C368&amp;D368</f>
        <v>AustraliaPayPal</v>
      </c>
      <c r="G368">
        <v>133</v>
      </c>
      <c r="H368" t="s">
        <v>64</v>
      </c>
    </row>
    <row r="369" spans="1:8">
      <c r="A369">
        <v>8122</v>
      </c>
      <c r="B369" t="s">
        <v>452</v>
      </c>
      <c r="C369" t="s">
        <v>49</v>
      </c>
      <c r="D369" t="s">
        <v>56</v>
      </c>
      <c r="E369">
        <v>15.99</v>
      </c>
      <c r="F369" t="str">
        <f>C369&amp;D369</f>
        <v>UKCredit Card</v>
      </c>
      <c r="G369">
        <v>413</v>
      </c>
      <c r="H369" t="s">
        <v>78</v>
      </c>
    </row>
    <row r="370" spans="1:8">
      <c r="A370">
        <v>1765</v>
      </c>
      <c r="B370" t="s">
        <v>453</v>
      </c>
      <c r="C370" t="s">
        <v>49</v>
      </c>
      <c r="D370" t="s">
        <v>56</v>
      </c>
      <c r="E370">
        <v>11.99</v>
      </c>
      <c r="F370" t="str">
        <f>C370&amp;D370</f>
        <v>UKCredit Card</v>
      </c>
      <c r="G370">
        <v>28</v>
      </c>
      <c r="H370" t="s">
        <v>78</v>
      </c>
    </row>
    <row r="371" spans="1:8">
      <c r="A371">
        <v>5352</v>
      </c>
      <c r="B371" t="s">
        <v>290</v>
      </c>
      <c r="C371" t="s">
        <v>27</v>
      </c>
      <c r="D371" t="s">
        <v>75</v>
      </c>
      <c r="E371">
        <v>15.99</v>
      </c>
      <c r="F371" t="str">
        <f>C371&amp;D371</f>
        <v>USACryptocurrency</v>
      </c>
      <c r="G371">
        <v>453</v>
      </c>
      <c r="H371" t="s">
        <v>45</v>
      </c>
    </row>
    <row r="372" spans="1:8">
      <c r="A372">
        <v>7578</v>
      </c>
      <c r="B372" t="s">
        <v>130</v>
      </c>
      <c r="C372" t="s">
        <v>27</v>
      </c>
      <c r="D372" t="s">
        <v>44</v>
      </c>
      <c r="E372">
        <v>11.99</v>
      </c>
      <c r="F372" t="str">
        <f>C372&amp;D372</f>
        <v>USADebit Card</v>
      </c>
      <c r="G372">
        <v>186</v>
      </c>
      <c r="H372" t="s">
        <v>37</v>
      </c>
    </row>
    <row r="373" spans="1:8">
      <c r="A373">
        <v>8912</v>
      </c>
      <c r="B373" t="s">
        <v>169</v>
      </c>
      <c r="C373" t="s">
        <v>55</v>
      </c>
      <c r="D373" t="s">
        <v>44</v>
      </c>
      <c r="E373">
        <v>15.99</v>
      </c>
      <c r="F373" t="str">
        <f>C373&amp;D373</f>
        <v>IndiaDebit Card</v>
      </c>
      <c r="G373">
        <v>287</v>
      </c>
      <c r="H373" t="s">
        <v>45</v>
      </c>
    </row>
    <row r="374" spans="1:8">
      <c r="A374">
        <v>6641</v>
      </c>
      <c r="B374" t="s">
        <v>140</v>
      </c>
      <c r="C374" t="s">
        <v>49</v>
      </c>
      <c r="D374" t="s">
        <v>75</v>
      </c>
      <c r="E374">
        <v>7.99</v>
      </c>
      <c r="F374" t="str">
        <f>C374&amp;D374</f>
        <v>UKCryptocurrency</v>
      </c>
      <c r="G374">
        <v>45</v>
      </c>
      <c r="H374" t="s">
        <v>45</v>
      </c>
    </row>
    <row r="375" spans="1:8">
      <c r="A375">
        <v>9664</v>
      </c>
      <c r="B375" t="s">
        <v>456</v>
      </c>
      <c r="C375" t="s">
        <v>49</v>
      </c>
      <c r="D375" t="s">
        <v>75</v>
      </c>
      <c r="E375">
        <v>11.99</v>
      </c>
      <c r="F375" t="str">
        <f>C375&amp;D375</f>
        <v>UKCryptocurrency</v>
      </c>
      <c r="G375">
        <v>463</v>
      </c>
      <c r="H375" t="s">
        <v>57</v>
      </c>
    </row>
    <row r="376" spans="1:8">
      <c r="A376">
        <v>9134</v>
      </c>
      <c r="B376" t="s">
        <v>130</v>
      </c>
      <c r="C376" t="s">
        <v>92</v>
      </c>
      <c r="D376" t="s">
        <v>44</v>
      </c>
      <c r="E376">
        <v>15.99</v>
      </c>
      <c r="F376" t="str">
        <f>C376&amp;D376</f>
        <v>FranceDebit Card</v>
      </c>
      <c r="G376">
        <v>241</v>
      </c>
      <c r="H376" t="s">
        <v>29</v>
      </c>
    </row>
    <row r="377" spans="1:8">
      <c r="A377">
        <v>6663</v>
      </c>
      <c r="B377" t="s">
        <v>184</v>
      </c>
      <c r="C377" t="s">
        <v>74</v>
      </c>
      <c r="D377" t="s">
        <v>44</v>
      </c>
      <c r="E377">
        <v>7.99</v>
      </c>
      <c r="F377" t="str">
        <f>C377&amp;D377</f>
        <v>GermanyDebit Card</v>
      </c>
      <c r="G377">
        <v>11</v>
      </c>
      <c r="H377" t="s">
        <v>37</v>
      </c>
    </row>
    <row r="378" spans="1:8">
      <c r="A378">
        <v>9800</v>
      </c>
      <c r="B378" t="s">
        <v>458</v>
      </c>
      <c r="C378" t="s">
        <v>49</v>
      </c>
      <c r="D378" t="s">
        <v>28</v>
      </c>
      <c r="E378">
        <v>15.99</v>
      </c>
      <c r="F378" t="str">
        <f>C378&amp;D378</f>
        <v>UKPayPal</v>
      </c>
      <c r="G378">
        <v>123</v>
      </c>
      <c r="H378" t="s">
        <v>29</v>
      </c>
    </row>
    <row r="379" spans="1:8">
      <c r="A379">
        <v>2363</v>
      </c>
      <c r="B379" t="s">
        <v>408</v>
      </c>
      <c r="C379" t="s">
        <v>68</v>
      </c>
      <c r="D379" t="s">
        <v>28</v>
      </c>
      <c r="E379">
        <v>7.99</v>
      </c>
      <c r="F379" t="str">
        <f>C379&amp;D379</f>
        <v>AustraliaPayPal</v>
      </c>
      <c r="G379">
        <v>411</v>
      </c>
      <c r="H379" t="s">
        <v>57</v>
      </c>
    </row>
    <row r="380" spans="1:8">
      <c r="A380">
        <v>4875</v>
      </c>
      <c r="B380" t="s">
        <v>272</v>
      </c>
      <c r="C380" t="s">
        <v>74</v>
      </c>
      <c r="D380" t="s">
        <v>44</v>
      </c>
      <c r="E380">
        <v>7.99</v>
      </c>
      <c r="F380" t="str">
        <f>C380&amp;D380</f>
        <v>GermanyDebit Card</v>
      </c>
      <c r="G380">
        <v>469</v>
      </c>
      <c r="H380" t="s">
        <v>78</v>
      </c>
    </row>
    <row r="381" spans="1:8">
      <c r="A381">
        <v>8961</v>
      </c>
      <c r="B381" t="s">
        <v>137</v>
      </c>
      <c r="C381" t="s">
        <v>27</v>
      </c>
      <c r="D381" t="s">
        <v>75</v>
      </c>
      <c r="E381">
        <v>11.99</v>
      </c>
      <c r="F381" t="str">
        <f>C381&amp;D381</f>
        <v>USACryptocurrency</v>
      </c>
      <c r="G381">
        <v>120</v>
      </c>
      <c r="H381" t="s">
        <v>37</v>
      </c>
    </row>
    <row r="382" spans="1:8">
      <c r="A382">
        <v>1539</v>
      </c>
      <c r="B382" t="s">
        <v>77</v>
      </c>
      <c r="C382" t="s">
        <v>68</v>
      </c>
      <c r="D382" t="s">
        <v>44</v>
      </c>
      <c r="E382">
        <v>15.99</v>
      </c>
      <c r="F382" t="str">
        <f>C382&amp;D382</f>
        <v>AustraliaDebit Card</v>
      </c>
      <c r="G382">
        <v>348</v>
      </c>
      <c r="H382" t="s">
        <v>64</v>
      </c>
    </row>
    <row r="383" spans="1:8">
      <c r="A383">
        <v>4037</v>
      </c>
      <c r="B383" t="s">
        <v>405</v>
      </c>
      <c r="C383" t="s">
        <v>43</v>
      </c>
      <c r="D383" t="s">
        <v>28</v>
      </c>
      <c r="E383">
        <v>11.99</v>
      </c>
      <c r="F383" t="str">
        <f>C383&amp;D383</f>
        <v>CanadaPayPal</v>
      </c>
      <c r="G383">
        <v>103</v>
      </c>
      <c r="H383" t="s">
        <v>78</v>
      </c>
    </row>
    <row r="384" spans="1:8">
      <c r="A384">
        <v>4239</v>
      </c>
      <c r="B384" t="s">
        <v>272</v>
      </c>
      <c r="C384" t="s">
        <v>55</v>
      </c>
      <c r="D384" t="s">
        <v>44</v>
      </c>
      <c r="E384">
        <v>7.99</v>
      </c>
      <c r="F384" t="str">
        <f>C384&amp;D384</f>
        <v>IndiaDebit Card</v>
      </c>
      <c r="G384">
        <v>470</v>
      </c>
      <c r="H384" t="s">
        <v>45</v>
      </c>
    </row>
    <row r="385" spans="1:8">
      <c r="A385">
        <v>4364</v>
      </c>
      <c r="B385" t="s">
        <v>355</v>
      </c>
      <c r="C385" t="s">
        <v>55</v>
      </c>
      <c r="D385" t="s">
        <v>28</v>
      </c>
      <c r="E385">
        <v>7.99</v>
      </c>
      <c r="F385" t="str">
        <f>C385&amp;D385</f>
        <v>IndiaPayPal</v>
      </c>
      <c r="G385">
        <v>241</v>
      </c>
      <c r="H385" t="s">
        <v>57</v>
      </c>
    </row>
    <row r="386" spans="1:8">
      <c r="A386">
        <v>8946</v>
      </c>
      <c r="B386" t="s">
        <v>463</v>
      </c>
      <c r="C386" t="s">
        <v>27</v>
      </c>
      <c r="D386" t="s">
        <v>28</v>
      </c>
      <c r="E386">
        <v>15.99</v>
      </c>
      <c r="F386" t="str">
        <f>C386&amp;D386</f>
        <v>USAPayPal</v>
      </c>
      <c r="G386">
        <v>277</v>
      </c>
      <c r="H386" t="s">
        <v>78</v>
      </c>
    </row>
    <row r="387" spans="1:8">
      <c r="A387">
        <v>5911</v>
      </c>
      <c r="B387" t="s">
        <v>130</v>
      </c>
      <c r="C387" t="s">
        <v>92</v>
      </c>
      <c r="D387" t="s">
        <v>75</v>
      </c>
      <c r="E387">
        <v>7.99</v>
      </c>
      <c r="F387" t="str">
        <f>C387&amp;D387</f>
        <v>FranceCryptocurrency</v>
      </c>
      <c r="G387">
        <v>158</v>
      </c>
      <c r="H387" t="s">
        <v>78</v>
      </c>
    </row>
    <row r="388" spans="1:8">
      <c r="A388">
        <v>8033</v>
      </c>
      <c r="B388" t="s">
        <v>379</v>
      </c>
      <c r="C388" t="s">
        <v>68</v>
      </c>
      <c r="D388" t="s">
        <v>44</v>
      </c>
      <c r="E388">
        <v>15.99</v>
      </c>
      <c r="F388" t="str">
        <f>C388&amp;D388</f>
        <v>AustraliaDebit Card</v>
      </c>
      <c r="G388">
        <v>23</v>
      </c>
      <c r="H388" t="s">
        <v>29</v>
      </c>
    </row>
    <row r="389" spans="1:8">
      <c r="A389">
        <v>6603</v>
      </c>
      <c r="B389" t="s">
        <v>280</v>
      </c>
      <c r="C389" t="s">
        <v>68</v>
      </c>
      <c r="D389" t="s">
        <v>75</v>
      </c>
      <c r="E389">
        <v>11.99</v>
      </c>
      <c r="F389" t="str">
        <f>C389&amp;D389</f>
        <v>AustraliaCryptocurrency</v>
      </c>
      <c r="G389">
        <v>200</v>
      </c>
      <c r="H389" t="s">
        <v>78</v>
      </c>
    </row>
    <row r="390" spans="1:8">
      <c r="A390">
        <v>9630</v>
      </c>
      <c r="B390" t="s">
        <v>101</v>
      </c>
      <c r="C390" t="s">
        <v>74</v>
      </c>
      <c r="D390" t="s">
        <v>75</v>
      </c>
      <c r="E390">
        <v>7.99</v>
      </c>
      <c r="F390" t="str">
        <f>C390&amp;D390</f>
        <v>GermanyCryptocurrency</v>
      </c>
      <c r="G390">
        <v>264</v>
      </c>
      <c r="H390" t="s">
        <v>78</v>
      </c>
    </row>
    <row r="391" spans="1:8">
      <c r="A391">
        <v>1691</v>
      </c>
      <c r="B391" t="s">
        <v>147</v>
      </c>
      <c r="C391" t="s">
        <v>43</v>
      </c>
      <c r="D391" t="s">
        <v>75</v>
      </c>
      <c r="E391">
        <v>11.99</v>
      </c>
      <c r="F391" t="str">
        <f>C391&amp;D391</f>
        <v>CanadaCryptocurrency</v>
      </c>
      <c r="G391">
        <v>309</v>
      </c>
      <c r="H391" t="s">
        <v>57</v>
      </c>
    </row>
    <row r="392" spans="1:8">
      <c r="A392">
        <v>5590</v>
      </c>
      <c r="B392" t="s">
        <v>88</v>
      </c>
      <c r="C392" t="s">
        <v>49</v>
      </c>
      <c r="D392" t="s">
        <v>28</v>
      </c>
      <c r="E392">
        <v>7.99</v>
      </c>
      <c r="F392" t="str">
        <f>C392&amp;D392</f>
        <v>UKPayPal</v>
      </c>
      <c r="G392">
        <v>30</v>
      </c>
      <c r="H392" t="s">
        <v>29</v>
      </c>
    </row>
    <row r="393" spans="1:8">
      <c r="A393">
        <v>8645</v>
      </c>
      <c r="B393" t="s">
        <v>257</v>
      </c>
      <c r="C393" t="s">
        <v>27</v>
      </c>
      <c r="D393" t="s">
        <v>28</v>
      </c>
      <c r="E393">
        <v>11.99</v>
      </c>
      <c r="F393" t="str">
        <f>C393&amp;D393</f>
        <v>USAPayPal</v>
      </c>
      <c r="G393">
        <v>289</v>
      </c>
      <c r="H393" t="s">
        <v>45</v>
      </c>
    </row>
    <row r="394" spans="1:8">
      <c r="A394">
        <v>7663</v>
      </c>
      <c r="B394" t="s">
        <v>179</v>
      </c>
      <c r="C394" t="s">
        <v>92</v>
      </c>
      <c r="D394" t="s">
        <v>56</v>
      </c>
      <c r="E394">
        <v>7.99</v>
      </c>
      <c r="F394" t="str">
        <f>C394&amp;D394</f>
        <v>FranceCredit Card</v>
      </c>
      <c r="G394">
        <v>432</v>
      </c>
      <c r="H394" t="s">
        <v>64</v>
      </c>
    </row>
    <row r="395" spans="1:8">
      <c r="A395">
        <v>2647</v>
      </c>
      <c r="B395" t="s">
        <v>224</v>
      </c>
      <c r="C395" t="s">
        <v>43</v>
      </c>
      <c r="D395" t="s">
        <v>28</v>
      </c>
      <c r="E395">
        <v>7.99</v>
      </c>
      <c r="F395" t="str">
        <f>C395&amp;D395</f>
        <v>CanadaPayPal</v>
      </c>
      <c r="G395">
        <v>393</v>
      </c>
      <c r="H395" t="s">
        <v>78</v>
      </c>
    </row>
    <row r="396" spans="1:8">
      <c r="A396">
        <v>6539</v>
      </c>
      <c r="B396" t="s">
        <v>201</v>
      </c>
      <c r="C396" t="s">
        <v>68</v>
      </c>
      <c r="D396" t="s">
        <v>44</v>
      </c>
      <c r="E396">
        <v>11.99</v>
      </c>
      <c r="F396" t="str">
        <f>C396&amp;D396</f>
        <v>AustraliaDebit Card</v>
      </c>
      <c r="G396">
        <v>203</v>
      </c>
      <c r="H396" t="s">
        <v>37</v>
      </c>
    </row>
    <row r="397" spans="1:8">
      <c r="A397">
        <v>3472</v>
      </c>
      <c r="B397" t="s">
        <v>153</v>
      </c>
      <c r="C397" t="s">
        <v>49</v>
      </c>
      <c r="D397" t="s">
        <v>56</v>
      </c>
      <c r="E397">
        <v>7.99</v>
      </c>
      <c r="F397" t="str">
        <f>C397&amp;D397</f>
        <v>UKCredit Card</v>
      </c>
      <c r="G397">
        <v>43</v>
      </c>
      <c r="H397" t="s">
        <v>29</v>
      </c>
    </row>
    <row r="398" spans="1:8">
      <c r="A398">
        <v>4314</v>
      </c>
      <c r="B398" t="s">
        <v>373</v>
      </c>
      <c r="C398" t="s">
        <v>27</v>
      </c>
      <c r="D398" t="s">
        <v>28</v>
      </c>
      <c r="E398">
        <v>7.99</v>
      </c>
      <c r="F398" t="str">
        <f>C398&amp;D398</f>
        <v>USAPayPal</v>
      </c>
      <c r="G398">
        <v>311</v>
      </c>
      <c r="H398" t="s">
        <v>29</v>
      </c>
    </row>
    <row r="399" spans="1:8">
      <c r="A399">
        <v>6739</v>
      </c>
      <c r="B399" t="s">
        <v>357</v>
      </c>
      <c r="C399" t="s">
        <v>27</v>
      </c>
      <c r="D399" t="s">
        <v>44</v>
      </c>
      <c r="E399">
        <v>11.99</v>
      </c>
      <c r="F399" t="str">
        <f>C399&amp;D399</f>
        <v>USADebit Card</v>
      </c>
      <c r="G399">
        <v>23</v>
      </c>
      <c r="H399" t="s">
        <v>29</v>
      </c>
    </row>
    <row r="400" spans="1:8">
      <c r="A400">
        <v>6368</v>
      </c>
      <c r="B400" t="s">
        <v>41</v>
      </c>
      <c r="C400" t="s">
        <v>43</v>
      </c>
      <c r="D400" t="s">
        <v>56</v>
      </c>
      <c r="E400">
        <v>11.99</v>
      </c>
      <c r="F400" t="str">
        <f>C400&amp;D400</f>
        <v>CanadaCredit Card</v>
      </c>
      <c r="G400">
        <v>370</v>
      </c>
      <c r="H400" t="s">
        <v>29</v>
      </c>
    </row>
    <row r="401" spans="1:8">
      <c r="A401">
        <v>7309</v>
      </c>
      <c r="B401" t="s">
        <v>176</v>
      </c>
      <c r="C401" t="s">
        <v>43</v>
      </c>
      <c r="D401" t="s">
        <v>56</v>
      </c>
      <c r="E401">
        <v>15.99</v>
      </c>
      <c r="F401" t="str">
        <f>C401&amp;D401</f>
        <v>CanadaCredit Card</v>
      </c>
      <c r="G401">
        <v>343</v>
      </c>
      <c r="H401" t="s">
        <v>37</v>
      </c>
    </row>
    <row r="402" spans="1:8">
      <c r="A402">
        <v>3976</v>
      </c>
      <c r="B402" t="s">
        <v>297</v>
      </c>
      <c r="C402" t="s">
        <v>43</v>
      </c>
      <c r="D402" t="s">
        <v>44</v>
      </c>
      <c r="E402">
        <v>7.99</v>
      </c>
      <c r="F402" t="str">
        <f>C402&amp;D402</f>
        <v>CanadaDebit Card</v>
      </c>
      <c r="G402">
        <v>391</v>
      </c>
      <c r="H402" t="s">
        <v>78</v>
      </c>
    </row>
    <row r="403" spans="1:8">
      <c r="A403">
        <v>7230</v>
      </c>
      <c r="B403" t="s">
        <v>473</v>
      </c>
      <c r="C403" t="s">
        <v>43</v>
      </c>
      <c r="D403" t="s">
        <v>44</v>
      </c>
      <c r="E403">
        <v>11.99</v>
      </c>
      <c r="F403" t="str">
        <f>C403&amp;D403</f>
        <v>CanadaDebit Card</v>
      </c>
      <c r="G403">
        <v>405</v>
      </c>
      <c r="H403" t="s">
        <v>37</v>
      </c>
    </row>
    <row r="404" spans="1:8">
      <c r="A404">
        <v>8888</v>
      </c>
      <c r="B404" t="s">
        <v>344</v>
      </c>
      <c r="C404" t="s">
        <v>55</v>
      </c>
      <c r="D404" t="s">
        <v>44</v>
      </c>
      <c r="E404">
        <v>15.99</v>
      </c>
      <c r="F404" t="str">
        <f>C404&amp;D404</f>
        <v>IndiaDebit Card</v>
      </c>
      <c r="G404">
        <v>14</v>
      </c>
      <c r="H404" t="s">
        <v>78</v>
      </c>
    </row>
    <row r="405" spans="1:8">
      <c r="A405">
        <v>1194</v>
      </c>
      <c r="B405" t="s">
        <v>357</v>
      </c>
      <c r="C405" t="s">
        <v>92</v>
      </c>
      <c r="D405" t="s">
        <v>28</v>
      </c>
      <c r="E405">
        <v>7.99</v>
      </c>
      <c r="F405" t="str">
        <f>C405&amp;D405</f>
        <v>FrancePayPal</v>
      </c>
      <c r="G405">
        <v>11</v>
      </c>
      <c r="H405" t="s">
        <v>57</v>
      </c>
    </row>
    <row r="406" spans="1:8">
      <c r="A406">
        <v>6983</v>
      </c>
      <c r="B406" t="s">
        <v>88</v>
      </c>
      <c r="C406" t="s">
        <v>49</v>
      </c>
      <c r="D406" t="s">
        <v>28</v>
      </c>
      <c r="E406">
        <v>11.99</v>
      </c>
      <c r="F406" t="str">
        <f>C406&amp;D406</f>
        <v>UKPayPal</v>
      </c>
      <c r="G406">
        <v>335</v>
      </c>
      <c r="H406" t="s">
        <v>78</v>
      </c>
    </row>
    <row r="407" spans="1:8">
      <c r="A407">
        <v>1413</v>
      </c>
      <c r="B407" t="s">
        <v>98</v>
      </c>
      <c r="C407" t="s">
        <v>27</v>
      </c>
      <c r="D407" t="s">
        <v>28</v>
      </c>
      <c r="E407">
        <v>11.99</v>
      </c>
      <c r="F407" t="str">
        <f>C407&amp;D407</f>
        <v>USAPayPal</v>
      </c>
      <c r="G407">
        <v>408</v>
      </c>
      <c r="H407" t="s">
        <v>57</v>
      </c>
    </row>
    <row r="408" spans="1:8">
      <c r="A408">
        <v>9509</v>
      </c>
      <c r="B408" t="s">
        <v>232</v>
      </c>
      <c r="C408" t="s">
        <v>55</v>
      </c>
      <c r="D408" t="s">
        <v>44</v>
      </c>
      <c r="E408">
        <v>11.99</v>
      </c>
      <c r="F408" t="str">
        <f>C408&amp;D408</f>
        <v>IndiaDebit Card</v>
      </c>
      <c r="G408">
        <v>302</v>
      </c>
      <c r="H408" t="s">
        <v>78</v>
      </c>
    </row>
    <row r="409" spans="1:8">
      <c r="A409">
        <v>6330</v>
      </c>
      <c r="B409" t="s">
        <v>478</v>
      </c>
      <c r="C409" t="s">
        <v>27</v>
      </c>
      <c r="D409" t="s">
        <v>75</v>
      </c>
      <c r="E409">
        <v>7.99</v>
      </c>
      <c r="F409" t="str">
        <f>C409&amp;D409</f>
        <v>USACryptocurrency</v>
      </c>
      <c r="G409">
        <v>329</v>
      </c>
      <c r="H409" t="s">
        <v>64</v>
      </c>
    </row>
    <row r="410" spans="1:8">
      <c r="A410">
        <v>2504</v>
      </c>
      <c r="B410" t="s">
        <v>480</v>
      </c>
      <c r="C410" t="s">
        <v>49</v>
      </c>
      <c r="D410" t="s">
        <v>28</v>
      </c>
      <c r="E410">
        <v>11.99</v>
      </c>
      <c r="F410" t="str">
        <f>C410&amp;D410</f>
        <v>UKPayPal</v>
      </c>
      <c r="G410">
        <v>328</v>
      </c>
      <c r="H410" t="s">
        <v>37</v>
      </c>
    </row>
    <row r="411" spans="1:8">
      <c r="A411">
        <v>6593</v>
      </c>
      <c r="B411" t="s">
        <v>357</v>
      </c>
      <c r="C411" t="s">
        <v>49</v>
      </c>
      <c r="D411" t="s">
        <v>44</v>
      </c>
      <c r="E411">
        <v>11.99</v>
      </c>
      <c r="F411" t="str">
        <f>C411&amp;D411</f>
        <v>UKDebit Card</v>
      </c>
      <c r="G411">
        <v>353</v>
      </c>
      <c r="H411" t="s">
        <v>64</v>
      </c>
    </row>
    <row r="412" spans="1:8">
      <c r="A412">
        <v>9537</v>
      </c>
      <c r="B412" t="s">
        <v>357</v>
      </c>
      <c r="C412" t="s">
        <v>49</v>
      </c>
      <c r="D412" t="s">
        <v>75</v>
      </c>
      <c r="E412">
        <v>11.99</v>
      </c>
      <c r="F412" t="str">
        <f>C412&amp;D412</f>
        <v>UKCryptocurrency</v>
      </c>
      <c r="G412">
        <v>386</v>
      </c>
      <c r="H412" t="s">
        <v>29</v>
      </c>
    </row>
    <row r="413" spans="1:8">
      <c r="A413">
        <v>9628</v>
      </c>
      <c r="B413" t="s">
        <v>211</v>
      </c>
      <c r="C413" t="s">
        <v>27</v>
      </c>
      <c r="D413" t="s">
        <v>56</v>
      </c>
      <c r="E413">
        <v>7.99</v>
      </c>
      <c r="F413" t="str">
        <f>C413&amp;D413</f>
        <v>USACredit Card</v>
      </c>
      <c r="G413">
        <v>401</v>
      </c>
      <c r="H413" t="s">
        <v>45</v>
      </c>
    </row>
    <row r="414" spans="1:8">
      <c r="A414">
        <v>4024</v>
      </c>
      <c r="B414" t="s">
        <v>244</v>
      </c>
      <c r="C414" t="s">
        <v>49</v>
      </c>
      <c r="D414" t="s">
        <v>28</v>
      </c>
      <c r="E414">
        <v>7.99</v>
      </c>
      <c r="F414" t="str">
        <f>C414&amp;D414</f>
        <v>UKPayPal</v>
      </c>
      <c r="G414">
        <v>286</v>
      </c>
      <c r="H414" t="s">
        <v>37</v>
      </c>
    </row>
    <row r="415" spans="1:8">
      <c r="A415">
        <v>5321</v>
      </c>
      <c r="B415" t="s">
        <v>304</v>
      </c>
      <c r="C415" t="s">
        <v>43</v>
      </c>
      <c r="D415" t="s">
        <v>75</v>
      </c>
      <c r="E415">
        <v>7.99</v>
      </c>
      <c r="F415" t="str">
        <f>C415&amp;D415</f>
        <v>CanadaCryptocurrency</v>
      </c>
      <c r="G415">
        <v>20</v>
      </c>
      <c r="H415" t="s">
        <v>64</v>
      </c>
    </row>
    <row r="416" spans="1:8">
      <c r="A416">
        <v>3926</v>
      </c>
      <c r="B416" t="s">
        <v>485</v>
      </c>
      <c r="C416" t="s">
        <v>92</v>
      </c>
      <c r="D416" t="s">
        <v>75</v>
      </c>
      <c r="E416">
        <v>7.99</v>
      </c>
      <c r="F416" t="str">
        <f>C416&amp;D416</f>
        <v>FranceCryptocurrency</v>
      </c>
      <c r="G416">
        <v>167</v>
      </c>
      <c r="H416" t="s">
        <v>45</v>
      </c>
    </row>
    <row r="417" spans="1:8">
      <c r="A417">
        <v>8738</v>
      </c>
      <c r="B417" t="s">
        <v>140</v>
      </c>
      <c r="C417" t="s">
        <v>49</v>
      </c>
      <c r="D417" t="s">
        <v>44</v>
      </c>
      <c r="E417">
        <v>7.99</v>
      </c>
      <c r="F417" t="str">
        <f>C417&amp;D417</f>
        <v>UKDebit Card</v>
      </c>
      <c r="G417">
        <v>427</v>
      </c>
      <c r="H417" t="s">
        <v>45</v>
      </c>
    </row>
    <row r="418" spans="1:8">
      <c r="A418">
        <v>2701</v>
      </c>
      <c r="B418" t="s">
        <v>355</v>
      </c>
      <c r="C418" t="s">
        <v>68</v>
      </c>
      <c r="D418" t="s">
        <v>75</v>
      </c>
      <c r="E418">
        <v>11.99</v>
      </c>
      <c r="F418" t="str">
        <f>C418&amp;D418</f>
        <v>AustraliaCryptocurrency</v>
      </c>
      <c r="G418">
        <v>13</v>
      </c>
      <c r="H418" t="s">
        <v>57</v>
      </c>
    </row>
    <row r="419" spans="1:8">
      <c r="A419">
        <v>5339</v>
      </c>
      <c r="B419" t="s">
        <v>486</v>
      </c>
      <c r="C419" t="s">
        <v>92</v>
      </c>
      <c r="D419" t="s">
        <v>75</v>
      </c>
      <c r="E419">
        <v>15.99</v>
      </c>
      <c r="F419" t="str">
        <f>C419&amp;D419</f>
        <v>FranceCryptocurrency</v>
      </c>
      <c r="G419">
        <v>53</v>
      </c>
      <c r="H419" t="s">
        <v>37</v>
      </c>
    </row>
    <row r="420" spans="1:8">
      <c r="A420">
        <v>1612</v>
      </c>
      <c r="B420" t="s">
        <v>488</v>
      </c>
      <c r="C420" t="s">
        <v>55</v>
      </c>
      <c r="D420" t="s">
        <v>44</v>
      </c>
      <c r="E420">
        <v>7.99</v>
      </c>
      <c r="F420" t="str">
        <f>C420&amp;D420</f>
        <v>IndiaDebit Card</v>
      </c>
      <c r="G420">
        <v>197</v>
      </c>
      <c r="H420" t="s">
        <v>37</v>
      </c>
    </row>
    <row r="421" spans="1:8">
      <c r="A421">
        <v>5407</v>
      </c>
      <c r="B421" t="s">
        <v>101</v>
      </c>
      <c r="C421" t="s">
        <v>27</v>
      </c>
      <c r="D421" t="s">
        <v>56</v>
      </c>
      <c r="E421">
        <v>7.99</v>
      </c>
      <c r="F421" t="str">
        <f>C421&amp;D421</f>
        <v>USACredit Card</v>
      </c>
      <c r="G421">
        <v>429</v>
      </c>
      <c r="H421" t="s">
        <v>57</v>
      </c>
    </row>
    <row r="422" spans="1:8">
      <c r="A422">
        <v>8225</v>
      </c>
      <c r="B422" t="s">
        <v>380</v>
      </c>
      <c r="C422" t="s">
        <v>74</v>
      </c>
      <c r="D422" t="s">
        <v>28</v>
      </c>
      <c r="E422">
        <v>15.99</v>
      </c>
      <c r="F422" t="str">
        <f>C422&amp;D422</f>
        <v>GermanyPayPal</v>
      </c>
      <c r="G422">
        <v>282</v>
      </c>
      <c r="H422" t="s">
        <v>57</v>
      </c>
    </row>
    <row r="423" spans="1:8">
      <c r="A423">
        <v>4714</v>
      </c>
      <c r="B423" t="s">
        <v>489</v>
      </c>
      <c r="C423" t="s">
        <v>68</v>
      </c>
      <c r="D423" t="s">
        <v>44</v>
      </c>
      <c r="E423">
        <v>11.99</v>
      </c>
      <c r="F423" t="str">
        <f>C423&amp;D423</f>
        <v>AustraliaDebit Card</v>
      </c>
      <c r="G423">
        <v>248</v>
      </c>
      <c r="H423" t="s">
        <v>37</v>
      </c>
    </row>
    <row r="424" spans="1:8">
      <c r="A424">
        <v>3826</v>
      </c>
      <c r="B424" t="s">
        <v>357</v>
      </c>
      <c r="C424" t="s">
        <v>27</v>
      </c>
      <c r="D424" t="s">
        <v>75</v>
      </c>
      <c r="E424">
        <v>11.99</v>
      </c>
      <c r="F424" t="str">
        <f>C424&amp;D424</f>
        <v>USACryptocurrency</v>
      </c>
      <c r="G424">
        <v>406</v>
      </c>
      <c r="H424" t="s">
        <v>45</v>
      </c>
    </row>
    <row r="425" spans="1:8">
      <c r="A425">
        <v>3781</v>
      </c>
      <c r="B425" t="s">
        <v>491</v>
      </c>
      <c r="C425" t="s">
        <v>49</v>
      </c>
      <c r="D425" t="s">
        <v>28</v>
      </c>
      <c r="E425">
        <v>15.99</v>
      </c>
      <c r="F425" t="str">
        <f>C425&amp;D425</f>
        <v>UKPayPal</v>
      </c>
      <c r="G425">
        <v>249</v>
      </c>
      <c r="H425" t="s">
        <v>37</v>
      </c>
    </row>
    <row r="426" spans="1:8">
      <c r="A426">
        <v>5635</v>
      </c>
      <c r="B426" t="s">
        <v>492</v>
      </c>
      <c r="C426" t="s">
        <v>68</v>
      </c>
      <c r="D426" t="s">
        <v>44</v>
      </c>
      <c r="E426">
        <v>7.99</v>
      </c>
      <c r="F426" t="str">
        <f>C426&amp;D426</f>
        <v>AustraliaDebit Card</v>
      </c>
      <c r="G426">
        <v>12</v>
      </c>
      <c r="H426" t="s">
        <v>64</v>
      </c>
    </row>
    <row r="427" spans="1:8">
      <c r="A427">
        <v>2291</v>
      </c>
      <c r="B427" t="s">
        <v>197</v>
      </c>
      <c r="C427" t="s">
        <v>68</v>
      </c>
      <c r="D427" t="s">
        <v>56</v>
      </c>
      <c r="E427">
        <v>7.99</v>
      </c>
      <c r="F427" t="str">
        <f>C427&amp;D427</f>
        <v>AustraliaCredit Card</v>
      </c>
      <c r="G427">
        <v>57</v>
      </c>
      <c r="H427" t="s">
        <v>57</v>
      </c>
    </row>
    <row r="428" spans="1:8">
      <c r="A428">
        <v>3119</v>
      </c>
      <c r="B428" t="s">
        <v>450</v>
      </c>
      <c r="C428" t="s">
        <v>68</v>
      </c>
      <c r="D428" t="s">
        <v>44</v>
      </c>
      <c r="E428">
        <v>7.99</v>
      </c>
      <c r="F428" t="str">
        <f>C428&amp;D428</f>
        <v>AustraliaDebit Card</v>
      </c>
      <c r="G428">
        <v>247</v>
      </c>
      <c r="H428" t="s">
        <v>45</v>
      </c>
    </row>
    <row r="429" spans="1:8">
      <c r="A429">
        <v>5280</v>
      </c>
      <c r="B429" t="s">
        <v>494</v>
      </c>
      <c r="C429" t="s">
        <v>68</v>
      </c>
      <c r="D429" t="s">
        <v>56</v>
      </c>
      <c r="E429">
        <v>7.99</v>
      </c>
      <c r="F429" t="str">
        <f>C429&amp;D429</f>
        <v>AustraliaCredit Card</v>
      </c>
      <c r="G429">
        <v>25</v>
      </c>
      <c r="H429" t="s">
        <v>64</v>
      </c>
    </row>
    <row r="430" spans="1:8">
      <c r="A430">
        <v>2546</v>
      </c>
      <c r="B430" t="s">
        <v>495</v>
      </c>
      <c r="C430" t="s">
        <v>68</v>
      </c>
      <c r="D430" t="s">
        <v>44</v>
      </c>
      <c r="E430">
        <v>15.99</v>
      </c>
      <c r="F430" t="str">
        <f>C430&amp;D430</f>
        <v>AustraliaDebit Card</v>
      </c>
      <c r="G430">
        <v>425</v>
      </c>
      <c r="H430" t="s">
        <v>64</v>
      </c>
    </row>
    <row r="431" spans="1:8">
      <c r="A431">
        <v>5975</v>
      </c>
      <c r="B431" t="s">
        <v>143</v>
      </c>
      <c r="C431" t="s">
        <v>74</v>
      </c>
      <c r="D431" t="s">
        <v>56</v>
      </c>
      <c r="E431">
        <v>7.99</v>
      </c>
      <c r="F431" t="str">
        <f>C431&amp;D431</f>
        <v>GermanyCredit Card</v>
      </c>
      <c r="G431">
        <v>315</v>
      </c>
      <c r="H431" t="s">
        <v>37</v>
      </c>
    </row>
    <row r="432" spans="1:8">
      <c r="A432">
        <v>9113</v>
      </c>
      <c r="B432" t="s">
        <v>236</v>
      </c>
      <c r="C432" t="s">
        <v>49</v>
      </c>
      <c r="D432" t="s">
        <v>44</v>
      </c>
      <c r="E432">
        <v>7.99</v>
      </c>
      <c r="F432" t="str">
        <f>C432&amp;D432</f>
        <v>UKDebit Card</v>
      </c>
      <c r="G432">
        <v>466</v>
      </c>
      <c r="H432" t="s">
        <v>57</v>
      </c>
    </row>
    <row r="433" spans="1:8">
      <c r="A433">
        <v>6250</v>
      </c>
      <c r="B433" t="s">
        <v>498</v>
      </c>
      <c r="C433" t="s">
        <v>43</v>
      </c>
      <c r="D433" t="s">
        <v>56</v>
      </c>
      <c r="E433">
        <v>15.99</v>
      </c>
      <c r="F433" t="str">
        <f>C433&amp;D433</f>
        <v>CanadaCredit Card</v>
      </c>
      <c r="G433">
        <v>207</v>
      </c>
      <c r="H433" t="s">
        <v>29</v>
      </c>
    </row>
    <row r="434" spans="1:8">
      <c r="A434">
        <v>6190</v>
      </c>
      <c r="B434" t="s">
        <v>499</v>
      </c>
      <c r="C434" t="s">
        <v>27</v>
      </c>
      <c r="D434" t="s">
        <v>44</v>
      </c>
      <c r="E434">
        <v>7.99</v>
      </c>
      <c r="F434" t="str">
        <f>C434&amp;D434</f>
        <v>USADebit Card</v>
      </c>
      <c r="G434">
        <v>248</v>
      </c>
      <c r="H434" t="s">
        <v>45</v>
      </c>
    </row>
    <row r="435" spans="1:8">
      <c r="A435">
        <v>5713</v>
      </c>
      <c r="B435" t="s">
        <v>500</v>
      </c>
      <c r="C435" t="s">
        <v>27</v>
      </c>
      <c r="D435" t="s">
        <v>75</v>
      </c>
      <c r="E435">
        <v>7.99</v>
      </c>
      <c r="F435" t="str">
        <f>C435&amp;D435</f>
        <v>USACryptocurrency</v>
      </c>
      <c r="G435">
        <v>278</v>
      </c>
      <c r="H435" t="s">
        <v>29</v>
      </c>
    </row>
    <row r="436" spans="1:8">
      <c r="A436">
        <v>1932</v>
      </c>
      <c r="B436" t="s">
        <v>169</v>
      </c>
      <c r="C436" t="s">
        <v>92</v>
      </c>
      <c r="D436" t="s">
        <v>44</v>
      </c>
      <c r="E436">
        <v>7.99</v>
      </c>
      <c r="F436" t="str">
        <f>C436&amp;D436</f>
        <v>FranceDebit Card</v>
      </c>
      <c r="G436">
        <v>315</v>
      </c>
      <c r="H436" t="s">
        <v>78</v>
      </c>
    </row>
    <row r="437" spans="1:8">
      <c r="A437">
        <v>6527</v>
      </c>
      <c r="B437" t="s">
        <v>502</v>
      </c>
      <c r="C437" t="s">
        <v>68</v>
      </c>
      <c r="D437" t="s">
        <v>28</v>
      </c>
      <c r="E437">
        <v>7.99</v>
      </c>
      <c r="F437" t="str">
        <f>C437&amp;D437</f>
        <v>AustraliaPayPal</v>
      </c>
      <c r="G437">
        <v>190</v>
      </c>
      <c r="H437" t="s">
        <v>37</v>
      </c>
    </row>
    <row r="438" spans="1:8">
      <c r="A438">
        <v>9363</v>
      </c>
      <c r="B438" t="s">
        <v>140</v>
      </c>
      <c r="C438" t="s">
        <v>74</v>
      </c>
      <c r="D438" t="s">
        <v>28</v>
      </c>
      <c r="E438">
        <v>11.99</v>
      </c>
      <c r="F438" t="str">
        <f>C438&amp;D438</f>
        <v>GermanyPayPal</v>
      </c>
      <c r="G438">
        <v>190</v>
      </c>
      <c r="H438" t="s">
        <v>64</v>
      </c>
    </row>
    <row r="439" spans="1:8">
      <c r="A439">
        <v>5019</v>
      </c>
      <c r="B439" t="s">
        <v>147</v>
      </c>
      <c r="C439" t="s">
        <v>74</v>
      </c>
      <c r="D439" t="s">
        <v>56</v>
      </c>
      <c r="E439">
        <v>15.99</v>
      </c>
      <c r="F439" t="str">
        <f>C439&amp;D439</f>
        <v>GermanyCredit Card</v>
      </c>
      <c r="G439">
        <v>408</v>
      </c>
      <c r="H439" t="s">
        <v>78</v>
      </c>
    </row>
    <row r="440" spans="1:8">
      <c r="A440">
        <v>9258</v>
      </c>
      <c r="B440" t="s">
        <v>504</v>
      </c>
      <c r="C440" t="s">
        <v>74</v>
      </c>
      <c r="D440" t="s">
        <v>28</v>
      </c>
      <c r="E440">
        <v>15.99</v>
      </c>
      <c r="F440" t="str">
        <f>C440&amp;D440</f>
        <v>GermanyPayPal</v>
      </c>
      <c r="G440">
        <v>227</v>
      </c>
      <c r="H440" t="s">
        <v>57</v>
      </c>
    </row>
    <row r="441" spans="1:8">
      <c r="A441">
        <v>7512</v>
      </c>
      <c r="B441" t="s">
        <v>505</v>
      </c>
      <c r="C441" t="s">
        <v>55</v>
      </c>
      <c r="D441" t="s">
        <v>44</v>
      </c>
      <c r="E441">
        <v>11.99</v>
      </c>
      <c r="F441" t="str">
        <f>C441&amp;D441</f>
        <v>IndiaDebit Card</v>
      </c>
      <c r="G441">
        <v>479</v>
      </c>
      <c r="H441" t="s">
        <v>29</v>
      </c>
    </row>
    <row r="442" spans="1:8">
      <c r="A442">
        <v>8195</v>
      </c>
      <c r="B442" t="s">
        <v>507</v>
      </c>
      <c r="C442" t="s">
        <v>74</v>
      </c>
      <c r="D442" t="s">
        <v>44</v>
      </c>
      <c r="E442">
        <v>11.99</v>
      </c>
      <c r="F442" t="str">
        <f>C442&amp;D442</f>
        <v>GermanyDebit Card</v>
      </c>
      <c r="G442">
        <v>415</v>
      </c>
      <c r="H442" t="s">
        <v>45</v>
      </c>
    </row>
    <row r="443" spans="1:8">
      <c r="A443">
        <v>8242</v>
      </c>
      <c r="B443" t="s">
        <v>257</v>
      </c>
      <c r="C443" t="s">
        <v>43</v>
      </c>
      <c r="D443" t="s">
        <v>28</v>
      </c>
      <c r="E443">
        <v>11.99</v>
      </c>
      <c r="F443" t="str">
        <f>C443&amp;D443</f>
        <v>CanadaPayPal</v>
      </c>
      <c r="G443">
        <v>204</v>
      </c>
      <c r="H443" t="s">
        <v>29</v>
      </c>
    </row>
    <row r="444" spans="1:8">
      <c r="A444">
        <v>2220</v>
      </c>
      <c r="B444" t="s">
        <v>448</v>
      </c>
      <c r="C444" t="s">
        <v>74</v>
      </c>
      <c r="D444" t="s">
        <v>28</v>
      </c>
      <c r="E444">
        <v>15.99</v>
      </c>
      <c r="F444" t="str">
        <f>C444&amp;D444</f>
        <v>GermanyPayPal</v>
      </c>
      <c r="G444">
        <v>205</v>
      </c>
      <c r="H444" t="s">
        <v>45</v>
      </c>
    </row>
    <row r="445" spans="1:8">
      <c r="A445">
        <v>9308</v>
      </c>
      <c r="B445" t="s">
        <v>88</v>
      </c>
      <c r="C445" t="s">
        <v>27</v>
      </c>
      <c r="D445" t="s">
        <v>28</v>
      </c>
      <c r="E445">
        <v>11.99</v>
      </c>
      <c r="F445" t="str">
        <f>C445&amp;D445</f>
        <v>USAPayPal</v>
      </c>
      <c r="G445">
        <v>64</v>
      </c>
      <c r="H445" t="s">
        <v>45</v>
      </c>
    </row>
    <row r="446" spans="1:8">
      <c r="A446">
        <v>3437</v>
      </c>
      <c r="B446" t="s">
        <v>215</v>
      </c>
      <c r="C446" t="s">
        <v>68</v>
      </c>
      <c r="D446" t="s">
        <v>44</v>
      </c>
      <c r="E446">
        <v>7.99</v>
      </c>
      <c r="F446" t="str">
        <f>C446&amp;D446</f>
        <v>AustraliaDebit Card</v>
      </c>
      <c r="G446">
        <v>281</v>
      </c>
      <c r="H446" t="s">
        <v>37</v>
      </c>
    </row>
    <row r="447" spans="1:8">
      <c r="A447">
        <v>8305</v>
      </c>
      <c r="B447" t="s">
        <v>140</v>
      </c>
      <c r="C447" t="s">
        <v>92</v>
      </c>
      <c r="D447" t="s">
        <v>44</v>
      </c>
      <c r="E447">
        <v>11.99</v>
      </c>
      <c r="F447" t="str">
        <f>C447&amp;D447</f>
        <v>FranceDebit Card</v>
      </c>
      <c r="G447">
        <v>78</v>
      </c>
      <c r="H447" t="s">
        <v>37</v>
      </c>
    </row>
    <row r="448" spans="1:8">
      <c r="A448">
        <v>6773</v>
      </c>
      <c r="B448" t="s">
        <v>473</v>
      </c>
      <c r="C448" t="s">
        <v>27</v>
      </c>
      <c r="D448" t="s">
        <v>28</v>
      </c>
      <c r="E448">
        <v>7.99</v>
      </c>
      <c r="F448" t="str">
        <f>C448&amp;D448</f>
        <v>USAPayPal</v>
      </c>
      <c r="G448">
        <v>343</v>
      </c>
      <c r="H448" t="s">
        <v>78</v>
      </c>
    </row>
    <row r="449" spans="1:8">
      <c r="A449">
        <v>3010</v>
      </c>
      <c r="B449" t="s">
        <v>280</v>
      </c>
      <c r="C449" t="s">
        <v>68</v>
      </c>
      <c r="D449" t="s">
        <v>28</v>
      </c>
      <c r="E449">
        <v>11.99</v>
      </c>
      <c r="F449" t="str">
        <f>C449&amp;D449</f>
        <v>AustraliaPayPal</v>
      </c>
      <c r="G449">
        <v>318</v>
      </c>
      <c r="H449" t="s">
        <v>45</v>
      </c>
    </row>
    <row r="450" spans="1:8">
      <c r="A450">
        <v>3622</v>
      </c>
      <c r="B450" t="s">
        <v>284</v>
      </c>
      <c r="C450" t="s">
        <v>92</v>
      </c>
      <c r="D450" t="s">
        <v>75</v>
      </c>
      <c r="E450">
        <v>7.99</v>
      </c>
      <c r="F450" t="str">
        <f>C450&amp;D450</f>
        <v>FranceCryptocurrency</v>
      </c>
      <c r="G450">
        <v>444</v>
      </c>
      <c r="H450" t="s">
        <v>45</v>
      </c>
    </row>
    <row r="451" spans="1:8">
      <c r="A451">
        <v>6006</v>
      </c>
      <c r="B451" t="s">
        <v>106</v>
      </c>
      <c r="C451" t="s">
        <v>92</v>
      </c>
      <c r="D451" t="s">
        <v>75</v>
      </c>
      <c r="E451">
        <v>11.99</v>
      </c>
      <c r="F451" t="str">
        <f>C451&amp;D451</f>
        <v>FranceCryptocurrency</v>
      </c>
      <c r="G451">
        <v>171</v>
      </c>
      <c r="H451" t="s">
        <v>37</v>
      </c>
    </row>
    <row r="452" spans="1:8">
      <c r="A452">
        <v>1338</v>
      </c>
      <c r="B452" t="s">
        <v>148</v>
      </c>
      <c r="C452" t="s">
        <v>68</v>
      </c>
      <c r="D452" t="s">
        <v>75</v>
      </c>
      <c r="E452">
        <v>15.99</v>
      </c>
      <c r="F452" t="str">
        <f>C452&amp;D452</f>
        <v>AustraliaCryptocurrency</v>
      </c>
      <c r="G452">
        <v>309</v>
      </c>
      <c r="H452" t="s">
        <v>64</v>
      </c>
    </row>
    <row r="453" spans="1:8">
      <c r="A453">
        <v>6722</v>
      </c>
      <c r="B453" t="s">
        <v>138</v>
      </c>
      <c r="C453" t="s">
        <v>55</v>
      </c>
      <c r="D453" t="s">
        <v>44</v>
      </c>
      <c r="E453">
        <v>15.99</v>
      </c>
      <c r="F453" t="str">
        <f>C453&amp;D453</f>
        <v>IndiaDebit Card</v>
      </c>
      <c r="G453">
        <v>447</v>
      </c>
      <c r="H453" t="s">
        <v>37</v>
      </c>
    </row>
    <row r="454" spans="1:8">
      <c r="A454">
        <v>5871</v>
      </c>
      <c r="B454" t="s">
        <v>508</v>
      </c>
      <c r="C454" t="s">
        <v>43</v>
      </c>
      <c r="D454" t="s">
        <v>28</v>
      </c>
      <c r="E454">
        <v>7.99</v>
      </c>
      <c r="F454" t="str">
        <f>C454&amp;D454</f>
        <v>CanadaPayPal</v>
      </c>
      <c r="G454">
        <v>120</v>
      </c>
      <c r="H454" t="s">
        <v>45</v>
      </c>
    </row>
    <row r="455" spans="1:8">
      <c r="A455">
        <v>9290</v>
      </c>
      <c r="B455" t="s">
        <v>510</v>
      </c>
      <c r="C455" t="s">
        <v>27</v>
      </c>
      <c r="D455" t="s">
        <v>44</v>
      </c>
      <c r="E455">
        <v>15.99</v>
      </c>
      <c r="F455" t="str">
        <f>C455&amp;D455</f>
        <v>USADebit Card</v>
      </c>
      <c r="G455">
        <v>168</v>
      </c>
      <c r="H455" t="s">
        <v>57</v>
      </c>
    </row>
    <row r="456" spans="1:8">
      <c r="A456">
        <v>8567</v>
      </c>
      <c r="B456" t="s">
        <v>88</v>
      </c>
      <c r="C456" t="s">
        <v>68</v>
      </c>
      <c r="D456" t="s">
        <v>75</v>
      </c>
      <c r="E456">
        <v>7.99</v>
      </c>
      <c r="F456" t="str">
        <f>C456&amp;D456</f>
        <v>AustraliaCryptocurrency</v>
      </c>
      <c r="G456">
        <v>203</v>
      </c>
      <c r="H456" t="s">
        <v>78</v>
      </c>
    </row>
    <row r="457" spans="1:8">
      <c r="A457">
        <v>5253</v>
      </c>
      <c r="B457" t="s">
        <v>502</v>
      </c>
      <c r="C457" t="s">
        <v>68</v>
      </c>
      <c r="D457" t="s">
        <v>75</v>
      </c>
      <c r="E457">
        <v>11.99</v>
      </c>
      <c r="F457" t="str">
        <f>C457&amp;D457</f>
        <v>AustraliaCryptocurrency</v>
      </c>
      <c r="G457">
        <v>436</v>
      </c>
      <c r="H457" t="s">
        <v>29</v>
      </c>
    </row>
    <row r="458" spans="1:8">
      <c r="A458">
        <v>8172</v>
      </c>
      <c r="B458" t="s">
        <v>511</v>
      </c>
      <c r="C458" t="s">
        <v>43</v>
      </c>
      <c r="D458" t="s">
        <v>56</v>
      </c>
      <c r="E458">
        <v>11.99</v>
      </c>
      <c r="F458" t="str">
        <f>C458&amp;D458</f>
        <v>CanadaCredit Card</v>
      </c>
      <c r="G458">
        <v>195</v>
      </c>
      <c r="H458" t="s">
        <v>78</v>
      </c>
    </row>
    <row r="459" spans="1:8">
      <c r="A459">
        <v>2154</v>
      </c>
      <c r="B459" t="s">
        <v>96</v>
      </c>
      <c r="C459" t="s">
        <v>49</v>
      </c>
      <c r="D459" t="s">
        <v>56</v>
      </c>
      <c r="E459">
        <v>7.99</v>
      </c>
      <c r="F459" t="str">
        <f>C459&amp;D459</f>
        <v>UKCredit Card</v>
      </c>
      <c r="G459">
        <v>454</v>
      </c>
      <c r="H459" t="s">
        <v>45</v>
      </c>
    </row>
    <row r="460" spans="1:8">
      <c r="A460">
        <v>5013</v>
      </c>
      <c r="B460" t="s">
        <v>513</v>
      </c>
      <c r="C460" t="s">
        <v>49</v>
      </c>
      <c r="D460" t="s">
        <v>28</v>
      </c>
      <c r="E460">
        <v>15.99</v>
      </c>
      <c r="F460" t="str">
        <f>C460&amp;D460</f>
        <v>UKPayPal</v>
      </c>
      <c r="G460">
        <v>187</v>
      </c>
      <c r="H460" t="s">
        <v>64</v>
      </c>
    </row>
    <row r="461" spans="1:8">
      <c r="A461">
        <v>4211</v>
      </c>
      <c r="B461" t="s">
        <v>515</v>
      </c>
      <c r="C461" t="s">
        <v>92</v>
      </c>
      <c r="D461" t="s">
        <v>28</v>
      </c>
      <c r="E461">
        <v>7.99</v>
      </c>
      <c r="F461" t="str">
        <f>C461&amp;D461</f>
        <v>FrancePayPal</v>
      </c>
      <c r="G461">
        <v>277</v>
      </c>
      <c r="H461" t="s">
        <v>57</v>
      </c>
    </row>
    <row r="462" spans="1:8">
      <c r="A462">
        <v>4408</v>
      </c>
      <c r="B462" t="s">
        <v>238</v>
      </c>
      <c r="C462" t="s">
        <v>49</v>
      </c>
      <c r="D462" t="s">
        <v>56</v>
      </c>
      <c r="E462">
        <v>7.99</v>
      </c>
      <c r="F462" t="str">
        <f>C462&amp;D462</f>
        <v>UKCredit Card</v>
      </c>
      <c r="G462">
        <v>257</v>
      </c>
      <c r="H462" t="s">
        <v>45</v>
      </c>
    </row>
    <row r="463" spans="1:8">
      <c r="A463">
        <v>8473</v>
      </c>
      <c r="B463" t="s">
        <v>517</v>
      </c>
      <c r="C463" t="s">
        <v>92</v>
      </c>
      <c r="D463" t="s">
        <v>44</v>
      </c>
      <c r="E463">
        <v>11.99</v>
      </c>
      <c r="F463" t="str">
        <f>C463&amp;D463</f>
        <v>FranceDebit Card</v>
      </c>
      <c r="G463">
        <v>12</v>
      </c>
      <c r="H463" t="s">
        <v>45</v>
      </c>
    </row>
    <row r="464" spans="1:8">
      <c r="A464">
        <v>7510</v>
      </c>
      <c r="B464" t="s">
        <v>518</v>
      </c>
      <c r="C464" t="s">
        <v>92</v>
      </c>
      <c r="D464" t="s">
        <v>28</v>
      </c>
      <c r="E464">
        <v>7.99</v>
      </c>
      <c r="F464" t="str">
        <f>C464&amp;D464</f>
        <v>FrancePayPal</v>
      </c>
      <c r="G464">
        <v>362</v>
      </c>
      <c r="H464" t="s">
        <v>37</v>
      </c>
    </row>
    <row r="465" spans="1:8">
      <c r="A465">
        <v>5376</v>
      </c>
      <c r="B465" t="s">
        <v>224</v>
      </c>
      <c r="C465" t="s">
        <v>74</v>
      </c>
      <c r="D465" t="s">
        <v>28</v>
      </c>
      <c r="E465">
        <v>7.99</v>
      </c>
      <c r="F465" t="str">
        <f>C465&amp;D465</f>
        <v>GermanyPayPal</v>
      </c>
      <c r="G465">
        <v>89</v>
      </c>
      <c r="H465" t="s">
        <v>78</v>
      </c>
    </row>
    <row r="466" spans="1:8">
      <c r="A466">
        <v>8005</v>
      </c>
      <c r="B466" t="s">
        <v>254</v>
      </c>
      <c r="C466" t="s">
        <v>49</v>
      </c>
      <c r="D466" t="s">
        <v>28</v>
      </c>
      <c r="E466">
        <v>7.99</v>
      </c>
      <c r="F466" t="str">
        <f>C466&amp;D466</f>
        <v>UKPayPal</v>
      </c>
      <c r="G466">
        <v>123</v>
      </c>
      <c r="H466" t="s">
        <v>57</v>
      </c>
    </row>
    <row r="467" spans="1:8">
      <c r="A467">
        <v>7439</v>
      </c>
      <c r="B467" t="s">
        <v>199</v>
      </c>
      <c r="C467" t="s">
        <v>27</v>
      </c>
      <c r="D467" t="s">
        <v>28</v>
      </c>
      <c r="E467">
        <v>15.99</v>
      </c>
      <c r="F467" t="str">
        <f>C467&amp;D467</f>
        <v>USAPayPal</v>
      </c>
      <c r="G467">
        <v>427</v>
      </c>
      <c r="H467" t="s">
        <v>64</v>
      </c>
    </row>
    <row r="468" spans="1:8">
      <c r="A468">
        <v>3699</v>
      </c>
      <c r="B468" t="s">
        <v>411</v>
      </c>
      <c r="C468" t="s">
        <v>92</v>
      </c>
      <c r="D468" t="s">
        <v>75</v>
      </c>
      <c r="E468">
        <v>15.99</v>
      </c>
      <c r="F468" t="str">
        <f>C468&amp;D468</f>
        <v>FranceCryptocurrency</v>
      </c>
      <c r="G468">
        <v>439</v>
      </c>
      <c r="H468" t="s">
        <v>29</v>
      </c>
    </row>
    <row r="469" spans="1:8">
      <c r="A469">
        <v>3162</v>
      </c>
      <c r="B469" t="s">
        <v>157</v>
      </c>
      <c r="C469" t="s">
        <v>27</v>
      </c>
      <c r="D469" t="s">
        <v>56</v>
      </c>
      <c r="E469">
        <v>15.99</v>
      </c>
      <c r="F469" t="str">
        <f>C469&amp;D469</f>
        <v>USACredit Card</v>
      </c>
      <c r="G469">
        <v>396</v>
      </c>
      <c r="H469" t="s">
        <v>78</v>
      </c>
    </row>
    <row r="470" spans="1:8">
      <c r="A470">
        <v>8798</v>
      </c>
      <c r="B470" t="s">
        <v>521</v>
      </c>
      <c r="C470" t="s">
        <v>43</v>
      </c>
      <c r="D470" t="s">
        <v>28</v>
      </c>
      <c r="E470">
        <v>15.99</v>
      </c>
      <c r="F470" t="str">
        <f>C470&amp;D470</f>
        <v>CanadaPayPal</v>
      </c>
      <c r="G470">
        <v>453</v>
      </c>
      <c r="H470" t="s">
        <v>64</v>
      </c>
    </row>
    <row r="471" spans="1:8">
      <c r="A471">
        <v>6400</v>
      </c>
      <c r="B471" t="s">
        <v>177</v>
      </c>
      <c r="C471" t="s">
        <v>27</v>
      </c>
      <c r="D471" t="s">
        <v>56</v>
      </c>
      <c r="E471">
        <v>11.99</v>
      </c>
      <c r="F471" t="str">
        <f>C471&amp;D471</f>
        <v>USACredit Card</v>
      </c>
      <c r="G471">
        <v>356</v>
      </c>
      <c r="H471" t="s">
        <v>45</v>
      </c>
    </row>
    <row r="472" spans="1:8">
      <c r="A472">
        <v>9404</v>
      </c>
      <c r="B472" t="s">
        <v>157</v>
      </c>
      <c r="C472" t="s">
        <v>74</v>
      </c>
      <c r="D472" t="s">
        <v>28</v>
      </c>
      <c r="E472">
        <v>15.99</v>
      </c>
      <c r="F472" t="str">
        <f>C472&amp;D472</f>
        <v>GermanyPayPal</v>
      </c>
      <c r="G472">
        <v>192</v>
      </c>
      <c r="H472" t="s">
        <v>57</v>
      </c>
    </row>
    <row r="473" spans="1:8">
      <c r="A473">
        <v>8151</v>
      </c>
      <c r="B473" t="s">
        <v>106</v>
      </c>
      <c r="C473" t="s">
        <v>43</v>
      </c>
      <c r="D473" t="s">
        <v>75</v>
      </c>
      <c r="E473">
        <v>11.99</v>
      </c>
      <c r="F473" t="str">
        <f>C473&amp;D473</f>
        <v>CanadaCryptocurrency</v>
      </c>
      <c r="G473">
        <v>483</v>
      </c>
      <c r="H473" t="s">
        <v>45</v>
      </c>
    </row>
    <row r="474" spans="1:8">
      <c r="A474">
        <v>7742</v>
      </c>
      <c r="B474" t="s">
        <v>153</v>
      </c>
      <c r="C474" t="s">
        <v>27</v>
      </c>
      <c r="D474" t="s">
        <v>28</v>
      </c>
      <c r="E474">
        <v>11.99</v>
      </c>
      <c r="F474" t="str">
        <f>C474&amp;D474</f>
        <v>USAPayPal</v>
      </c>
      <c r="G474">
        <v>17</v>
      </c>
      <c r="H474" t="s">
        <v>37</v>
      </c>
    </row>
    <row r="475" spans="1:8">
      <c r="A475">
        <v>4553</v>
      </c>
      <c r="B475" t="s">
        <v>387</v>
      </c>
      <c r="C475" t="s">
        <v>55</v>
      </c>
      <c r="D475" t="s">
        <v>44</v>
      </c>
      <c r="E475">
        <v>7.99</v>
      </c>
      <c r="F475" t="str">
        <f>C475&amp;D475</f>
        <v>IndiaDebit Card</v>
      </c>
      <c r="G475">
        <v>272</v>
      </c>
      <c r="H475" t="s">
        <v>45</v>
      </c>
    </row>
    <row r="476" spans="1:8">
      <c r="A476">
        <v>6919</v>
      </c>
      <c r="B476" t="s">
        <v>525</v>
      </c>
      <c r="C476" t="s">
        <v>43</v>
      </c>
      <c r="D476" t="s">
        <v>28</v>
      </c>
      <c r="E476">
        <v>7.99</v>
      </c>
      <c r="F476" t="str">
        <f>C476&amp;D476</f>
        <v>CanadaPayPal</v>
      </c>
      <c r="G476">
        <v>195</v>
      </c>
      <c r="H476" t="s">
        <v>37</v>
      </c>
    </row>
    <row r="477" spans="1:8">
      <c r="A477">
        <v>7168</v>
      </c>
      <c r="B477" t="s">
        <v>367</v>
      </c>
      <c r="C477" t="s">
        <v>92</v>
      </c>
      <c r="D477" t="s">
        <v>28</v>
      </c>
      <c r="E477">
        <v>11.99</v>
      </c>
      <c r="F477" t="str">
        <f>C477&amp;D477</f>
        <v>FrancePayPal</v>
      </c>
      <c r="G477">
        <v>416</v>
      </c>
      <c r="H477" t="s">
        <v>78</v>
      </c>
    </row>
    <row r="478" spans="1:8">
      <c r="A478">
        <v>6474</v>
      </c>
      <c r="B478" t="s">
        <v>272</v>
      </c>
      <c r="C478" t="s">
        <v>49</v>
      </c>
      <c r="D478" t="s">
        <v>28</v>
      </c>
      <c r="E478">
        <v>15.99</v>
      </c>
      <c r="F478" t="str">
        <f>C478&amp;D478</f>
        <v>UKPayPal</v>
      </c>
      <c r="G478">
        <v>459</v>
      </c>
      <c r="H478" t="s">
        <v>37</v>
      </c>
    </row>
    <row r="479" spans="1:8">
      <c r="A479">
        <v>4242</v>
      </c>
      <c r="B479" t="s">
        <v>41</v>
      </c>
      <c r="C479" t="s">
        <v>43</v>
      </c>
      <c r="D479" t="s">
        <v>56</v>
      </c>
      <c r="E479">
        <v>7.99</v>
      </c>
      <c r="F479" t="str">
        <f>C479&amp;D479</f>
        <v>CanadaCredit Card</v>
      </c>
      <c r="G479">
        <v>168</v>
      </c>
      <c r="H479" t="s">
        <v>29</v>
      </c>
    </row>
    <row r="480" spans="1:8">
      <c r="A480">
        <v>3395</v>
      </c>
      <c r="B480" t="s">
        <v>157</v>
      </c>
      <c r="C480" t="s">
        <v>55</v>
      </c>
      <c r="D480" t="s">
        <v>75</v>
      </c>
      <c r="E480">
        <v>7.99</v>
      </c>
      <c r="F480" t="str">
        <f>C480&amp;D480</f>
        <v>IndiaCryptocurrency</v>
      </c>
      <c r="G480">
        <v>307</v>
      </c>
      <c r="H480" t="s">
        <v>45</v>
      </c>
    </row>
    <row r="481" spans="1:8">
      <c r="A481">
        <v>8694</v>
      </c>
      <c r="B481" t="s">
        <v>527</v>
      </c>
      <c r="C481" t="s">
        <v>68</v>
      </c>
      <c r="D481" t="s">
        <v>28</v>
      </c>
      <c r="E481">
        <v>15.99</v>
      </c>
      <c r="F481" t="str">
        <f>C481&amp;D481</f>
        <v>AustraliaPayPal</v>
      </c>
      <c r="G481">
        <v>270</v>
      </c>
      <c r="H481" t="s">
        <v>78</v>
      </c>
    </row>
    <row r="482" spans="1:8">
      <c r="A482">
        <v>7150</v>
      </c>
      <c r="B482" t="s">
        <v>138</v>
      </c>
      <c r="C482" t="s">
        <v>55</v>
      </c>
      <c r="D482" t="s">
        <v>44</v>
      </c>
      <c r="E482">
        <v>7.99</v>
      </c>
      <c r="F482" t="str">
        <f>C482&amp;D482</f>
        <v>IndiaDebit Card</v>
      </c>
      <c r="G482">
        <v>358</v>
      </c>
      <c r="H482" t="s">
        <v>64</v>
      </c>
    </row>
    <row r="483" spans="1:8">
      <c r="A483">
        <v>4111</v>
      </c>
      <c r="B483" t="s">
        <v>359</v>
      </c>
      <c r="C483" t="s">
        <v>74</v>
      </c>
      <c r="D483" t="s">
        <v>56</v>
      </c>
      <c r="E483">
        <v>11.99</v>
      </c>
      <c r="F483" t="str">
        <f>C483&amp;D483</f>
        <v>GermanyCredit Card</v>
      </c>
      <c r="G483">
        <v>301</v>
      </c>
      <c r="H483" t="s">
        <v>45</v>
      </c>
    </row>
    <row r="484" spans="1:8">
      <c r="A484">
        <v>3532</v>
      </c>
      <c r="B484" t="s">
        <v>357</v>
      </c>
      <c r="C484" t="s">
        <v>27</v>
      </c>
      <c r="D484" t="s">
        <v>44</v>
      </c>
      <c r="E484">
        <v>7.99</v>
      </c>
      <c r="F484" t="str">
        <f>C484&amp;D484</f>
        <v>USADebit Card</v>
      </c>
      <c r="G484">
        <v>277</v>
      </c>
      <c r="H484" t="s">
        <v>64</v>
      </c>
    </row>
    <row r="485" spans="1:8">
      <c r="A485">
        <v>5375</v>
      </c>
      <c r="B485" t="s">
        <v>531</v>
      </c>
      <c r="C485" t="s">
        <v>49</v>
      </c>
      <c r="D485" t="s">
        <v>44</v>
      </c>
      <c r="E485">
        <v>15.99</v>
      </c>
      <c r="F485" t="str">
        <f>C485&amp;D485</f>
        <v>UKDebit Card</v>
      </c>
      <c r="G485">
        <v>423</v>
      </c>
      <c r="H485" t="s">
        <v>64</v>
      </c>
    </row>
    <row r="486" spans="1:8">
      <c r="A486">
        <v>8881</v>
      </c>
      <c r="B486" t="s">
        <v>275</v>
      </c>
      <c r="C486" t="s">
        <v>92</v>
      </c>
      <c r="D486" t="s">
        <v>75</v>
      </c>
      <c r="E486">
        <v>11.99</v>
      </c>
      <c r="F486" t="str">
        <f>C486&amp;D486</f>
        <v>FranceCryptocurrency</v>
      </c>
      <c r="G486">
        <v>197</v>
      </c>
      <c r="H486" t="s">
        <v>64</v>
      </c>
    </row>
    <row r="487" spans="1:8">
      <c r="A487">
        <v>1235</v>
      </c>
      <c r="B487" t="s">
        <v>101</v>
      </c>
      <c r="C487" t="s">
        <v>55</v>
      </c>
      <c r="D487" t="s">
        <v>44</v>
      </c>
      <c r="E487">
        <v>15.99</v>
      </c>
      <c r="F487" t="str">
        <f>C487&amp;D487</f>
        <v>IndiaDebit Card</v>
      </c>
      <c r="G487">
        <v>100</v>
      </c>
      <c r="H487" t="s">
        <v>45</v>
      </c>
    </row>
    <row r="488" spans="1:8">
      <c r="A488">
        <v>2533</v>
      </c>
      <c r="B488" t="s">
        <v>311</v>
      </c>
      <c r="C488" t="s">
        <v>68</v>
      </c>
      <c r="D488" t="s">
        <v>56</v>
      </c>
      <c r="E488">
        <v>15.99</v>
      </c>
      <c r="F488" t="str">
        <f>C488&amp;D488</f>
        <v>AustraliaCredit Card</v>
      </c>
      <c r="G488">
        <v>338</v>
      </c>
      <c r="H488" t="s">
        <v>78</v>
      </c>
    </row>
    <row r="489" spans="1:8">
      <c r="A489">
        <v>2734</v>
      </c>
      <c r="B489" t="s">
        <v>288</v>
      </c>
      <c r="C489" t="s">
        <v>92</v>
      </c>
      <c r="D489" t="s">
        <v>56</v>
      </c>
      <c r="E489">
        <v>11.99</v>
      </c>
      <c r="F489" t="str">
        <f>C489&amp;D489</f>
        <v>FranceCredit Card</v>
      </c>
      <c r="G489">
        <v>130</v>
      </c>
      <c r="H489" t="s">
        <v>78</v>
      </c>
    </row>
    <row r="490" spans="1:8">
      <c r="A490">
        <v>4129</v>
      </c>
      <c r="B490" t="s">
        <v>240</v>
      </c>
      <c r="C490" t="s">
        <v>92</v>
      </c>
      <c r="D490" t="s">
        <v>28</v>
      </c>
      <c r="E490">
        <v>11.99</v>
      </c>
      <c r="F490" t="str">
        <f>C490&amp;D490</f>
        <v>FrancePayPal</v>
      </c>
      <c r="G490">
        <v>383</v>
      </c>
      <c r="H490" t="s">
        <v>45</v>
      </c>
    </row>
    <row r="491" spans="1:8">
      <c r="A491">
        <v>3762</v>
      </c>
      <c r="B491" t="s">
        <v>318</v>
      </c>
      <c r="C491" t="s">
        <v>68</v>
      </c>
      <c r="D491" t="s">
        <v>28</v>
      </c>
      <c r="E491">
        <v>11.99</v>
      </c>
      <c r="F491" t="str">
        <f>C491&amp;D491</f>
        <v>AustraliaPayPal</v>
      </c>
      <c r="G491">
        <v>411</v>
      </c>
      <c r="H491" t="s">
        <v>78</v>
      </c>
    </row>
    <row r="492" spans="1:8">
      <c r="A492">
        <v>4341</v>
      </c>
      <c r="B492" t="s">
        <v>532</v>
      </c>
      <c r="C492" t="s">
        <v>68</v>
      </c>
      <c r="D492" t="s">
        <v>28</v>
      </c>
      <c r="E492">
        <v>11.99</v>
      </c>
      <c r="F492" t="str">
        <f>C492&amp;D492</f>
        <v>AustraliaPayPal</v>
      </c>
      <c r="G492">
        <v>347</v>
      </c>
      <c r="H492" t="s">
        <v>57</v>
      </c>
    </row>
    <row r="493" spans="1:8">
      <c r="A493">
        <v>6638</v>
      </c>
      <c r="B493" t="s">
        <v>533</v>
      </c>
      <c r="C493" t="s">
        <v>43</v>
      </c>
      <c r="D493" t="s">
        <v>44</v>
      </c>
      <c r="E493">
        <v>11.99</v>
      </c>
      <c r="F493" t="str">
        <f>C493&amp;D493</f>
        <v>CanadaDebit Card</v>
      </c>
      <c r="G493">
        <v>302</v>
      </c>
      <c r="H493" t="s">
        <v>45</v>
      </c>
    </row>
    <row r="494" spans="1:8">
      <c r="A494">
        <v>5861</v>
      </c>
      <c r="B494" t="s">
        <v>325</v>
      </c>
      <c r="C494" t="s">
        <v>74</v>
      </c>
      <c r="D494" t="s">
        <v>44</v>
      </c>
      <c r="E494">
        <v>15.99</v>
      </c>
      <c r="F494" t="str">
        <f>C494&amp;D494</f>
        <v>GermanyDebit Card</v>
      </c>
      <c r="G494">
        <v>361</v>
      </c>
      <c r="H494" t="s">
        <v>57</v>
      </c>
    </row>
    <row r="495" spans="1:8">
      <c r="A495">
        <v>8815</v>
      </c>
      <c r="B495" t="s">
        <v>345</v>
      </c>
      <c r="C495" t="s">
        <v>92</v>
      </c>
      <c r="D495" t="s">
        <v>75</v>
      </c>
      <c r="E495">
        <v>7.99</v>
      </c>
      <c r="F495" t="str">
        <f>C495&amp;D495</f>
        <v>FranceCryptocurrency</v>
      </c>
      <c r="G495">
        <v>148</v>
      </c>
      <c r="H495" t="s">
        <v>57</v>
      </c>
    </row>
    <row r="496" spans="1:8">
      <c r="A496">
        <v>8793</v>
      </c>
      <c r="B496" t="s">
        <v>148</v>
      </c>
      <c r="C496" t="s">
        <v>68</v>
      </c>
      <c r="D496" t="s">
        <v>44</v>
      </c>
      <c r="E496">
        <v>7.99</v>
      </c>
      <c r="F496" t="str">
        <f>C496&amp;D496</f>
        <v>AustraliaDebit Card</v>
      </c>
      <c r="G496">
        <v>162</v>
      </c>
      <c r="H496" t="s">
        <v>45</v>
      </c>
    </row>
    <row r="497" spans="1:8">
      <c r="A497">
        <v>3469</v>
      </c>
      <c r="B497" t="s">
        <v>122</v>
      </c>
      <c r="C497" t="s">
        <v>68</v>
      </c>
      <c r="D497" t="s">
        <v>75</v>
      </c>
      <c r="E497">
        <v>7.99</v>
      </c>
      <c r="F497" t="str">
        <f>C497&amp;D497</f>
        <v>AustraliaCryptocurrency</v>
      </c>
      <c r="G497">
        <v>379</v>
      </c>
      <c r="H497" t="s">
        <v>45</v>
      </c>
    </row>
    <row r="498" spans="1:8">
      <c r="A498">
        <v>3654</v>
      </c>
      <c r="B498" t="s">
        <v>153</v>
      </c>
      <c r="C498" t="s">
        <v>43</v>
      </c>
      <c r="D498" t="s">
        <v>28</v>
      </c>
      <c r="E498">
        <v>15.99</v>
      </c>
      <c r="F498" t="str">
        <f>C498&amp;D498</f>
        <v>CanadaPayPal</v>
      </c>
      <c r="G498">
        <v>373</v>
      </c>
      <c r="H498" t="s">
        <v>64</v>
      </c>
    </row>
    <row r="499" spans="1:8">
      <c r="A499">
        <v>9555</v>
      </c>
      <c r="B499" t="s">
        <v>345</v>
      </c>
      <c r="C499" t="s">
        <v>49</v>
      </c>
      <c r="D499" t="s">
        <v>75</v>
      </c>
      <c r="E499">
        <v>11.99</v>
      </c>
      <c r="F499" t="str">
        <f>C499&amp;D499</f>
        <v>UKCryptocurrency</v>
      </c>
      <c r="G499">
        <v>354</v>
      </c>
      <c r="H499" t="s">
        <v>29</v>
      </c>
    </row>
    <row r="500" spans="1:8">
      <c r="A500">
        <v>4028</v>
      </c>
      <c r="B500" t="s">
        <v>228</v>
      </c>
      <c r="C500" t="s">
        <v>68</v>
      </c>
      <c r="D500" t="s">
        <v>56</v>
      </c>
      <c r="E500">
        <v>7.99</v>
      </c>
      <c r="F500" t="str">
        <f>C500&amp;D500</f>
        <v>AustraliaCredit Card</v>
      </c>
      <c r="G500">
        <v>76</v>
      </c>
      <c r="H500" t="s">
        <v>78</v>
      </c>
    </row>
    <row r="501" spans="1:8">
      <c r="A501">
        <v>9499</v>
      </c>
      <c r="B501" t="s">
        <v>190</v>
      </c>
      <c r="C501" t="s">
        <v>27</v>
      </c>
      <c r="D501" t="s">
        <v>28</v>
      </c>
      <c r="E501">
        <v>11.99</v>
      </c>
      <c r="F501" t="str">
        <f>C501&amp;D501</f>
        <v>USAPayPal</v>
      </c>
      <c r="G501">
        <v>316</v>
      </c>
      <c r="H501" t="s">
        <v>37</v>
      </c>
    </row>
    <row r="502" spans="1:8">
      <c r="A502">
        <v>8628</v>
      </c>
      <c r="B502" t="s">
        <v>164</v>
      </c>
      <c r="C502" t="s">
        <v>49</v>
      </c>
      <c r="D502" t="s">
        <v>28</v>
      </c>
      <c r="E502">
        <v>11.99</v>
      </c>
      <c r="F502" t="str">
        <f>C502&amp;D502</f>
        <v>UKPayPal</v>
      </c>
      <c r="G502">
        <v>331</v>
      </c>
      <c r="H502" t="s">
        <v>57</v>
      </c>
    </row>
    <row r="503" spans="1:8">
      <c r="A503">
        <v>9942</v>
      </c>
      <c r="B503" t="s">
        <v>157</v>
      </c>
      <c r="C503" t="s">
        <v>43</v>
      </c>
      <c r="D503" t="s">
        <v>75</v>
      </c>
      <c r="E503">
        <v>15.99</v>
      </c>
      <c r="F503" t="str">
        <f>C503&amp;D503</f>
        <v>CanadaCryptocurrency</v>
      </c>
      <c r="G503">
        <v>418</v>
      </c>
      <c r="H503" t="s">
        <v>64</v>
      </c>
    </row>
    <row r="504" spans="1:8">
      <c r="A504">
        <v>4044</v>
      </c>
      <c r="B504" t="s">
        <v>536</v>
      </c>
      <c r="C504" t="s">
        <v>92</v>
      </c>
      <c r="D504" t="s">
        <v>75</v>
      </c>
      <c r="E504">
        <v>15.99</v>
      </c>
      <c r="F504" t="str">
        <f>C504&amp;D504</f>
        <v>FranceCryptocurrency</v>
      </c>
      <c r="G504">
        <v>309</v>
      </c>
      <c r="H504" t="s">
        <v>57</v>
      </c>
    </row>
    <row r="505" spans="1:8">
      <c r="A505">
        <v>8143</v>
      </c>
      <c r="B505" t="s">
        <v>106</v>
      </c>
      <c r="C505" t="s">
        <v>74</v>
      </c>
      <c r="D505" t="s">
        <v>44</v>
      </c>
      <c r="E505">
        <v>7.99</v>
      </c>
      <c r="F505" t="str">
        <f>C505&amp;D505</f>
        <v>GermanyDebit Card</v>
      </c>
      <c r="G505">
        <v>252</v>
      </c>
      <c r="H505" t="s">
        <v>37</v>
      </c>
    </row>
    <row r="506" spans="1:8">
      <c r="A506">
        <v>3984</v>
      </c>
      <c r="B506" t="s">
        <v>257</v>
      </c>
      <c r="C506" t="s">
        <v>74</v>
      </c>
      <c r="D506" t="s">
        <v>28</v>
      </c>
      <c r="E506">
        <v>15.99</v>
      </c>
      <c r="F506" t="str">
        <f>C506&amp;D506</f>
        <v>GermanyPayPal</v>
      </c>
      <c r="G506">
        <v>146</v>
      </c>
      <c r="H506" t="s">
        <v>37</v>
      </c>
    </row>
    <row r="507" spans="1:8">
      <c r="A507">
        <v>9294</v>
      </c>
      <c r="B507" t="s">
        <v>539</v>
      </c>
      <c r="C507" t="s">
        <v>43</v>
      </c>
      <c r="D507" t="s">
        <v>44</v>
      </c>
      <c r="E507">
        <v>11.99</v>
      </c>
      <c r="F507" t="str">
        <f>C507&amp;D507</f>
        <v>CanadaDebit Card</v>
      </c>
      <c r="G507">
        <v>352</v>
      </c>
      <c r="H507" t="s">
        <v>45</v>
      </c>
    </row>
    <row r="508" spans="1:8">
      <c r="A508">
        <v>4769</v>
      </c>
      <c r="B508" t="s">
        <v>157</v>
      </c>
      <c r="C508" t="s">
        <v>27</v>
      </c>
      <c r="D508" t="s">
        <v>28</v>
      </c>
      <c r="E508">
        <v>7.99</v>
      </c>
      <c r="F508" t="str">
        <f>C508&amp;D508</f>
        <v>USAPayPal</v>
      </c>
      <c r="G508">
        <v>43</v>
      </c>
      <c r="H508" t="s">
        <v>64</v>
      </c>
    </row>
    <row r="509" spans="1:8">
      <c r="A509">
        <v>8864</v>
      </c>
      <c r="B509" t="s">
        <v>157</v>
      </c>
      <c r="C509" t="s">
        <v>49</v>
      </c>
      <c r="D509" t="s">
        <v>75</v>
      </c>
      <c r="E509">
        <v>11.99</v>
      </c>
      <c r="F509" t="str">
        <f>C509&amp;D509</f>
        <v>UKCryptocurrency</v>
      </c>
      <c r="G509">
        <v>440</v>
      </c>
      <c r="H509" t="s">
        <v>37</v>
      </c>
    </row>
    <row r="510" spans="1:8">
      <c r="A510">
        <v>1857</v>
      </c>
      <c r="B510" t="s">
        <v>541</v>
      </c>
      <c r="C510" t="s">
        <v>55</v>
      </c>
      <c r="D510" t="s">
        <v>75</v>
      </c>
      <c r="E510">
        <v>15.99</v>
      </c>
      <c r="F510" t="str">
        <f>C510&amp;D510</f>
        <v>IndiaCryptocurrency</v>
      </c>
      <c r="G510">
        <v>376</v>
      </c>
      <c r="H510" t="s">
        <v>57</v>
      </c>
    </row>
    <row r="511" spans="1:8">
      <c r="A511">
        <v>5566</v>
      </c>
      <c r="B511" t="s">
        <v>345</v>
      </c>
      <c r="C511" t="s">
        <v>74</v>
      </c>
      <c r="D511" t="s">
        <v>28</v>
      </c>
      <c r="E511">
        <v>11.99</v>
      </c>
      <c r="F511" t="str">
        <f>C511&amp;D511</f>
        <v>GermanyPayPal</v>
      </c>
      <c r="G511">
        <v>137</v>
      </c>
      <c r="H511" t="s">
        <v>57</v>
      </c>
    </row>
    <row r="512" spans="1:8">
      <c r="A512">
        <v>1373</v>
      </c>
      <c r="B512" t="s">
        <v>147</v>
      </c>
      <c r="C512" t="s">
        <v>27</v>
      </c>
      <c r="D512" t="s">
        <v>56</v>
      </c>
      <c r="E512">
        <v>7.99</v>
      </c>
      <c r="F512" t="str">
        <f>C512&amp;D512</f>
        <v>USACredit Card</v>
      </c>
      <c r="G512">
        <v>301</v>
      </c>
      <c r="H512" t="s">
        <v>78</v>
      </c>
    </row>
    <row r="513" spans="1:8">
      <c r="A513">
        <v>6345</v>
      </c>
      <c r="B513" t="s">
        <v>542</v>
      </c>
      <c r="C513" t="s">
        <v>43</v>
      </c>
      <c r="D513" t="s">
        <v>28</v>
      </c>
      <c r="E513">
        <v>7.99</v>
      </c>
      <c r="F513" t="str">
        <f>C513&amp;D513</f>
        <v>CanadaPayPal</v>
      </c>
      <c r="G513">
        <v>410</v>
      </c>
      <c r="H513" t="s">
        <v>45</v>
      </c>
    </row>
    <row r="514" spans="1:8">
      <c r="A514">
        <v>3234</v>
      </c>
      <c r="B514" t="s">
        <v>143</v>
      </c>
      <c r="C514" t="s">
        <v>68</v>
      </c>
      <c r="D514" t="s">
        <v>28</v>
      </c>
      <c r="E514">
        <v>11.99</v>
      </c>
      <c r="F514" t="str">
        <f>C514&amp;D514</f>
        <v>AustraliaPayPal</v>
      </c>
      <c r="G514">
        <v>298</v>
      </c>
      <c r="H514" t="s">
        <v>57</v>
      </c>
    </row>
    <row r="515" spans="1:8">
      <c r="A515">
        <v>6998</v>
      </c>
      <c r="B515" t="s">
        <v>126</v>
      </c>
      <c r="C515" t="s">
        <v>55</v>
      </c>
      <c r="D515" t="s">
        <v>56</v>
      </c>
      <c r="E515">
        <v>7.99</v>
      </c>
      <c r="F515" t="str">
        <f>C515&amp;D515</f>
        <v>IndiaCredit Card</v>
      </c>
      <c r="G515">
        <v>54</v>
      </c>
      <c r="H515" t="s">
        <v>64</v>
      </c>
    </row>
    <row r="516" spans="1:8">
      <c r="A516">
        <v>5809</v>
      </c>
      <c r="B516" t="s">
        <v>238</v>
      </c>
      <c r="C516" t="s">
        <v>49</v>
      </c>
      <c r="D516" t="s">
        <v>44</v>
      </c>
      <c r="E516">
        <v>7.99</v>
      </c>
      <c r="F516" t="str">
        <f>C516&amp;D516</f>
        <v>UKDebit Card</v>
      </c>
      <c r="G516">
        <v>486</v>
      </c>
      <c r="H516" t="s">
        <v>78</v>
      </c>
    </row>
    <row r="517" spans="1:8">
      <c r="A517">
        <v>6522</v>
      </c>
      <c r="B517" t="s">
        <v>544</v>
      </c>
      <c r="C517" t="s">
        <v>43</v>
      </c>
      <c r="D517" t="s">
        <v>75</v>
      </c>
      <c r="E517">
        <v>11.99</v>
      </c>
      <c r="F517" t="str">
        <f>C517&amp;D517</f>
        <v>CanadaCryptocurrency</v>
      </c>
      <c r="G517">
        <v>38</v>
      </c>
      <c r="H517" t="s">
        <v>37</v>
      </c>
    </row>
    <row r="518" spans="1:8">
      <c r="A518">
        <v>3892</v>
      </c>
      <c r="B518" t="s">
        <v>280</v>
      </c>
      <c r="C518" t="s">
        <v>43</v>
      </c>
      <c r="D518" t="s">
        <v>28</v>
      </c>
      <c r="E518">
        <v>7.99</v>
      </c>
      <c r="F518" t="str">
        <f>C518&amp;D518</f>
        <v>CanadaPayPal</v>
      </c>
      <c r="G518">
        <v>442</v>
      </c>
      <c r="H518" t="s">
        <v>37</v>
      </c>
    </row>
    <row r="519" spans="1:8">
      <c r="A519">
        <v>4427</v>
      </c>
      <c r="B519" t="s">
        <v>545</v>
      </c>
      <c r="C519" t="s">
        <v>68</v>
      </c>
      <c r="D519" t="s">
        <v>75</v>
      </c>
      <c r="E519">
        <v>7.99</v>
      </c>
      <c r="F519" t="str">
        <f>C519&amp;D519</f>
        <v>AustraliaCryptocurrency</v>
      </c>
      <c r="G519">
        <v>474</v>
      </c>
      <c r="H519" t="s">
        <v>45</v>
      </c>
    </row>
    <row r="520" spans="1:8">
      <c r="A520">
        <v>8145</v>
      </c>
      <c r="B520" t="s">
        <v>546</v>
      </c>
      <c r="C520" t="s">
        <v>49</v>
      </c>
      <c r="D520" t="s">
        <v>28</v>
      </c>
      <c r="E520">
        <v>15.99</v>
      </c>
      <c r="F520" t="str">
        <f>C520&amp;D520</f>
        <v>UKPayPal</v>
      </c>
      <c r="G520">
        <v>96</v>
      </c>
      <c r="H520" t="s">
        <v>64</v>
      </c>
    </row>
    <row r="521" spans="1:8">
      <c r="A521">
        <v>1150</v>
      </c>
      <c r="B521" t="s">
        <v>224</v>
      </c>
      <c r="C521" t="s">
        <v>55</v>
      </c>
      <c r="D521" t="s">
        <v>28</v>
      </c>
      <c r="E521">
        <v>11.99</v>
      </c>
      <c r="F521" t="str">
        <f>C521&amp;D521</f>
        <v>IndiaPayPal</v>
      </c>
      <c r="G521">
        <v>160</v>
      </c>
      <c r="H521" t="s">
        <v>29</v>
      </c>
    </row>
    <row r="522" spans="1:8">
      <c r="A522">
        <v>7366</v>
      </c>
      <c r="B522" t="s">
        <v>547</v>
      </c>
      <c r="C522" t="s">
        <v>74</v>
      </c>
      <c r="D522" t="s">
        <v>44</v>
      </c>
      <c r="E522">
        <v>7.99</v>
      </c>
      <c r="F522" t="str">
        <f>C522&amp;D522</f>
        <v>GermanyDebit Card</v>
      </c>
      <c r="G522">
        <v>451</v>
      </c>
      <c r="H522" t="s">
        <v>37</v>
      </c>
    </row>
    <row r="523" spans="1:8">
      <c r="A523">
        <v>3004</v>
      </c>
      <c r="B523" t="s">
        <v>304</v>
      </c>
      <c r="C523" t="s">
        <v>43</v>
      </c>
      <c r="D523" t="s">
        <v>75</v>
      </c>
      <c r="E523">
        <v>11.99</v>
      </c>
      <c r="F523" t="str">
        <f>C523&amp;D523</f>
        <v>CanadaCryptocurrency</v>
      </c>
      <c r="G523">
        <v>184</v>
      </c>
      <c r="H523" t="s">
        <v>45</v>
      </c>
    </row>
    <row r="524" spans="1:8">
      <c r="A524">
        <v>9934</v>
      </c>
      <c r="B524" t="s">
        <v>549</v>
      </c>
      <c r="C524" t="s">
        <v>68</v>
      </c>
      <c r="D524" t="s">
        <v>44</v>
      </c>
      <c r="E524">
        <v>15.99</v>
      </c>
      <c r="F524" t="str">
        <f>C524&amp;D524</f>
        <v>AustraliaDebit Card</v>
      </c>
      <c r="G524">
        <v>50</v>
      </c>
      <c r="H524" t="s">
        <v>45</v>
      </c>
    </row>
    <row r="525" spans="1:8">
      <c r="A525">
        <v>1228</v>
      </c>
      <c r="B525" t="s">
        <v>263</v>
      </c>
      <c r="C525" t="s">
        <v>74</v>
      </c>
      <c r="D525" t="s">
        <v>44</v>
      </c>
      <c r="E525">
        <v>7.99</v>
      </c>
      <c r="F525" t="str">
        <f>C525&amp;D525</f>
        <v>GermanyDebit Card</v>
      </c>
      <c r="G525">
        <v>299</v>
      </c>
      <c r="H525" t="s">
        <v>37</v>
      </c>
    </row>
    <row r="526" spans="1:8">
      <c r="A526">
        <v>5806</v>
      </c>
      <c r="B526" t="s">
        <v>551</v>
      </c>
      <c r="C526" t="s">
        <v>68</v>
      </c>
      <c r="D526" t="s">
        <v>75</v>
      </c>
      <c r="E526">
        <v>7.99</v>
      </c>
      <c r="F526" t="str">
        <f>C526&amp;D526</f>
        <v>AustraliaCryptocurrency</v>
      </c>
      <c r="G526">
        <v>495</v>
      </c>
      <c r="H526" t="s">
        <v>78</v>
      </c>
    </row>
    <row r="527" spans="1:8">
      <c r="A527">
        <v>7538</v>
      </c>
      <c r="B527" t="s">
        <v>232</v>
      </c>
      <c r="C527" t="s">
        <v>27</v>
      </c>
      <c r="D527" t="s">
        <v>28</v>
      </c>
      <c r="E527">
        <v>7.99</v>
      </c>
      <c r="F527" t="str">
        <f>C527&amp;D527</f>
        <v>USAPayPal</v>
      </c>
      <c r="G527">
        <v>132</v>
      </c>
      <c r="H527" t="s">
        <v>78</v>
      </c>
    </row>
    <row r="528" spans="1:8">
      <c r="A528">
        <v>1035</v>
      </c>
      <c r="B528" t="s">
        <v>201</v>
      </c>
      <c r="C528" t="s">
        <v>74</v>
      </c>
      <c r="D528" t="s">
        <v>44</v>
      </c>
      <c r="E528">
        <v>11.99</v>
      </c>
      <c r="F528" t="str">
        <f>C528&amp;D528</f>
        <v>GermanyDebit Card</v>
      </c>
      <c r="G528">
        <v>395</v>
      </c>
      <c r="H528" t="s">
        <v>57</v>
      </c>
    </row>
    <row r="529" spans="1:8">
      <c r="A529">
        <v>8399</v>
      </c>
      <c r="B529" t="s">
        <v>382</v>
      </c>
      <c r="C529" t="s">
        <v>49</v>
      </c>
      <c r="D529" t="s">
        <v>75</v>
      </c>
      <c r="E529">
        <v>11.99</v>
      </c>
      <c r="F529" t="str">
        <f>C529&amp;D529</f>
        <v>UKCryptocurrency</v>
      </c>
      <c r="G529">
        <v>34</v>
      </c>
      <c r="H529" t="s">
        <v>45</v>
      </c>
    </row>
    <row r="530" spans="1:8">
      <c r="A530">
        <v>1912</v>
      </c>
      <c r="B530" t="s">
        <v>281</v>
      </c>
      <c r="C530" t="s">
        <v>68</v>
      </c>
      <c r="D530" t="s">
        <v>75</v>
      </c>
      <c r="E530">
        <v>11.99</v>
      </c>
      <c r="F530" t="str">
        <f>C530&amp;D530</f>
        <v>AustraliaCryptocurrency</v>
      </c>
      <c r="G530">
        <v>348</v>
      </c>
      <c r="H530" t="s">
        <v>78</v>
      </c>
    </row>
    <row r="531" spans="1:8">
      <c r="A531">
        <v>6604</v>
      </c>
      <c r="B531" t="s">
        <v>148</v>
      </c>
      <c r="C531" t="s">
        <v>49</v>
      </c>
      <c r="D531" t="s">
        <v>75</v>
      </c>
      <c r="E531">
        <v>15.99</v>
      </c>
      <c r="F531" t="str">
        <f>C531&amp;D531</f>
        <v>UKCryptocurrency</v>
      </c>
      <c r="G531">
        <v>247</v>
      </c>
      <c r="H531" t="s">
        <v>57</v>
      </c>
    </row>
    <row r="532" spans="1:8">
      <c r="A532">
        <v>8952</v>
      </c>
      <c r="B532" t="s">
        <v>183</v>
      </c>
      <c r="C532" t="s">
        <v>92</v>
      </c>
      <c r="D532" t="s">
        <v>56</v>
      </c>
      <c r="E532">
        <v>11.99</v>
      </c>
      <c r="F532" t="str">
        <f>C532&amp;D532</f>
        <v>FranceCredit Card</v>
      </c>
      <c r="G532">
        <v>216</v>
      </c>
      <c r="H532" t="s">
        <v>64</v>
      </c>
    </row>
    <row r="533" spans="1:8">
      <c r="A533">
        <v>2549</v>
      </c>
      <c r="B533" t="s">
        <v>152</v>
      </c>
      <c r="C533" t="s">
        <v>68</v>
      </c>
      <c r="D533" t="s">
        <v>75</v>
      </c>
      <c r="E533">
        <v>11.99</v>
      </c>
      <c r="F533" t="str">
        <f>C533&amp;D533</f>
        <v>AustraliaCryptocurrency</v>
      </c>
      <c r="G533">
        <v>299</v>
      </c>
      <c r="H533" t="s">
        <v>64</v>
      </c>
    </row>
    <row r="534" spans="1:8">
      <c r="A534">
        <v>8954</v>
      </c>
      <c r="B534" t="s">
        <v>238</v>
      </c>
      <c r="C534" t="s">
        <v>27</v>
      </c>
      <c r="D534" t="s">
        <v>44</v>
      </c>
      <c r="E534">
        <v>15.99</v>
      </c>
      <c r="F534" t="str">
        <f>C534&amp;D534</f>
        <v>USADebit Card</v>
      </c>
      <c r="G534">
        <v>315</v>
      </c>
      <c r="H534" t="s">
        <v>57</v>
      </c>
    </row>
    <row r="535" spans="1:8">
      <c r="A535">
        <v>1922</v>
      </c>
      <c r="B535" t="s">
        <v>104</v>
      </c>
      <c r="C535" t="s">
        <v>55</v>
      </c>
      <c r="D535" t="s">
        <v>44</v>
      </c>
      <c r="E535">
        <v>11.99</v>
      </c>
      <c r="F535" t="str">
        <f>C535&amp;D535</f>
        <v>IndiaDebit Card</v>
      </c>
      <c r="G535">
        <v>35</v>
      </c>
      <c r="H535" t="s">
        <v>45</v>
      </c>
    </row>
    <row r="536" spans="1:8">
      <c r="A536">
        <v>9861</v>
      </c>
      <c r="B536" t="s">
        <v>140</v>
      </c>
      <c r="C536" t="s">
        <v>68</v>
      </c>
      <c r="D536" t="s">
        <v>56</v>
      </c>
      <c r="E536">
        <v>15.99</v>
      </c>
      <c r="F536" t="str">
        <f>C536&amp;D536</f>
        <v>AustraliaCredit Card</v>
      </c>
      <c r="G536">
        <v>359</v>
      </c>
      <c r="H536" t="s">
        <v>64</v>
      </c>
    </row>
    <row r="537" spans="1:8">
      <c r="A537">
        <v>4383</v>
      </c>
      <c r="B537" t="s">
        <v>553</v>
      </c>
      <c r="C537" t="s">
        <v>68</v>
      </c>
      <c r="D537" t="s">
        <v>56</v>
      </c>
      <c r="E537">
        <v>15.99</v>
      </c>
      <c r="F537" t="str">
        <f>C537&amp;D537</f>
        <v>AustraliaCredit Card</v>
      </c>
      <c r="G537">
        <v>361</v>
      </c>
      <c r="H537" t="s">
        <v>78</v>
      </c>
    </row>
    <row r="538" spans="1:8">
      <c r="A538">
        <v>4328</v>
      </c>
      <c r="B538" t="s">
        <v>120</v>
      </c>
      <c r="C538" t="s">
        <v>74</v>
      </c>
      <c r="D538" t="s">
        <v>28</v>
      </c>
      <c r="E538">
        <v>11.99</v>
      </c>
      <c r="F538" t="str">
        <f>C538&amp;D538</f>
        <v>GermanyPayPal</v>
      </c>
      <c r="G538">
        <v>273</v>
      </c>
      <c r="H538" t="s">
        <v>64</v>
      </c>
    </row>
    <row r="539" spans="1:8">
      <c r="A539">
        <v>4622</v>
      </c>
      <c r="B539" t="s">
        <v>191</v>
      </c>
      <c r="C539" t="s">
        <v>68</v>
      </c>
      <c r="D539" t="s">
        <v>56</v>
      </c>
      <c r="E539">
        <v>7.99</v>
      </c>
      <c r="F539" t="str">
        <f>C539&amp;D539</f>
        <v>AustraliaCredit Card</v>
      </c>
      <c r="G539">
        <v>47</v>
      </c>
      <c r="H539" t="s">
        <v>64</v>
      </c>
    </row>
    <row r="540" spans="1:8">
      <c r="A540">
        <v>7828</v>
      </c>
      <c r="B540" t="s">
        <v>555</v>
      </c>
      <c r="C540" t="s">
        <v>92</v>
      </c>
      <c r="D540" t="s">
        <v>44</v>
      </c>
      <c r="E540">
        <v>7.99</v>
      </c>
      <c r="F540" t="str">
        <f>C540&amp;D540</f>
        <v>FranceDebit Card</v>
      </c>
      <c r="G540">
        <v>477</v>
      </c>
      <c r="H540" t="s">
        <v>64</v>
      </c>
    </row>
    <row r="541" spans="1:8">
      <c r="A541">
        <v>1393</v>
      </c>
      <c r="B541" t="s">
        <v>254</v>
      </c>
      <c r="C541" t="s">
        <v>55</v>
      </c>
      <c r="D541" t="s">
        <v>44</v>
      </c>
      <c r="E541">
        <v>7.99</v>
      </c>
      <c r="F541" t="str">
        <f>C541&amp;D541</f>
        <v>IndiaDebit Card</v>
      </c>
      <c r="G541">
        <v>418</v>
      </c>
      <c r="H541" t="s">
        <v>29</v>
      </c>
    </row>
    <row r="542" spans="1:8">
      <c r="A542">
        <v>9239</v>
      </c>
      <c r="B542" t="s">
        <v>257</v>
      </c>
      <c r="C542" t="s">
        <v>49</v>
      </c>
      <c r="D542" t="s">
        <v>28</v>
      </c>
      <c r="E542">
        <v>15.99</v>
      </c>
      <c r="F542" t="str">
        <f>C542&amp;D542</f>
        <v>UKPayPal</v>
      </c>
      <c r="G542">
        <v>274</v>
      </c>
      <c r="H542" t="s">
        <v>29</v>
      </c>
    </row>
    <row r="543" spans="1:8">
      <c r="A543">
        <v>1636</v>
      </c>
      <c r="B543" t="s">
        <v>147</v>
      </c>
      <c r="C543" t="s">
        <v>68</v>
      </c>
      <c r="D543" t="s">
        <v>75</v>
      </c>
      <c r="E543">
        <v>11.99</v>
      </c>
      <c r="F543" t="str">
        <f>C543&amp;D543</f>
        <v>AustraliaCryptocurrency</v>
      </c>
      <c r="G543">
        <v>102</v>
      </c>
      <c r="H543" t="s">
        <v>64</v>
      </c>
    </row>
    <row r="544" spans="1:8">
      <c r="A544">
        <v>4401</v>
      </c>
      <c r="B544" t="s">
        <v>558</v>
      </c>
      <c r="C544" t="s">
        <v>74</v>
      </c>
      <c r="D544" t="s">
        <v>75</v>
      </c>
      <c r="E544">
        <v>15.99</v>
      </c>
      <c r="F544" t="str">
        <f>C544&amp;D544</f>
        <v>GermanyCryptocurrency</v>
      </c>
      <c r="G544">
        <v>164</v>
      </c>
      <c r="H544" t="s">
        <v>37</v>
      </c>
    </row>
    <row r="545" spans="1:8">
      <c r="A545">
        <v>7135</v>
      </c>
      <c r="B545" t="s">
        <v>560</v>
      </c>
      <c r="C545" t="s">
        <v>74</v>
      </c>
      <c r="D545" t="s">
        <v>56</v>
      </c>
      <c r="E545">
        <v>15.99</v>
      </c>
      <c r="F545" t="str">
        <f>C545&amp;D545</f>
        <v>GermanyCredit Card</v>
      </c>
      <c r="G545">
        <v>478</v>
      </c>
      <c r="H545" t="s">
        <v>29</v>
      </c>
    </row>
    <row r="546" spans="1:8">
      <c r="A546">
        <v>8923</v>
      </c>
      <c r="B546" t="s">
        <v>184</v>
      </c>
      <c r="C546" t="s">
        <v>92</v>
      </c>
      <c r="D546" t="s">
        <v>56</v>
      </c>
      <c r="E546">
        <v>11.99</v>
      </c>
      <c r="F546" t="str">
        <f>C546&amp;D546</f>
        <v>FranceCredit Card</v>
      </c>
      <c r="G546">
        <v>100</v>
      </c>
      <c r="H546" t="s">
        <v>64</v>
      </c>
    </row>
    <row r="547" spans="1:8">
      <c r="A547">
        <v>9748</v>
      </c>
      <c r="B547" t="s">
        <v>323</v>
      </c>
      <c r="C547" t="s">
        <v>27</v>
      </c>
      <c r="D547" t="s">
        <v>75</v>
      </c>
      <c r="E547">
        <v>15.99</v>
      </c>
      <c r="F547" t="str">
        <f>C547&amp;D547</f>
        <v>USACryptocurrency</v>
      </c>
      <c r="G547">
        <v>264</v>
      </c>
      <c r="H547" t="s">
        <v>37</v>
      </c>
    </row>
    <row r="548" spans="1:8">
      <c r="A548">
        <v>7046</v>
      </c>
      <c r="B548" t="s">
        <v>344</v>
      </c>
      <c r="C548" t="s">
        <v>68</v>
      </c>
      <c r="D548" t="s">
        <v>28</v>
      </c>
      <c r="E548">
        <v>15.99</v>
      </c>
      <c r="F548" t="str">
        <f>C548&amp;D548</f>
        <v>AustraliaPayPal</v>
      </c>
      <c r="G548">
        <v>208</v>
      </c>
      <c r="H548" t="s">
        <v>78</v>
      </c>
    </row>
    <row r="549" spans="1:8">
      <c r="A549">
        <v>9688</v>
      </c>
      <c r="B549" t="s">
        <v>562</v>
      </c>
      <c r="C549" t="s">
        <v>92</v>
      </c>
      <c r="D549" t="s">
        <v>75</v>
      </c>
      <c r="E549">
        <v>7.99</v>
      </c>
      <c r="F549" t="str">
        <f>C549&amp;D549</f>
        <v>FranceCryptocurrency</v>
      </c>
      <c r="G549">
        <v>56</v>
      </c>
      <c r="H549" t="s">
        <v>57</v>
      </c>
    </row>
    <row r="550" spans="1:8">
      <c r="A550">
        <v>6720</v>
      </c>
      <c r="B550" t="s">
        <v>157</v>
      </c>
      <c r="C550" t="s">
        <v>92</v>
      </c>
      <c r="D550" t="s">
        <v>75</v>
      </c>
      <c r="E550">
        <v>15.99</v>
      </c>
      <c r="F550" t="str">
        <f>C550&amp;D550</f>
        <v>FranceCryptocurrency</v>
      </c>
      <c r="G550">
        <v>207</v>
      </c>
      <c r="H550" t="s">
        <v>37</v>
      </c>
    </row>
    <row r="551" spans="1:8">
      <c r="A551">
        <v>2766</v>
      </c>
      <c r="B551" t="s">
        <v>563</v>
      </c>
      <c r="C551" t="s">
        <v>68</v>
      </c>
      <c r="D551" t="s">
        <v>44</v>
      </c>
      <c r="E551">
        <v>7.99</v>
      </c>
      <c r="F551" t="str">
        <f>C551&amp;D551</f>
        <v>AustraliaDebit Card</v>
      </c>
      <c r="G551">
        <v>187</v>
      </c>
      <c r="H551" t="s">
        <v>37</v>
      </c>
    </row>
    <row r="552" spans="1:8">
      <c r="A552">
        <v>3847</v>
      </c>
      <c r="B552" t="s">
        <v>114</v>
      </c>
      <c r="C552" t="s">
        <v>55</v>
      </c>
      <c r="D552" t="s">
        <v>28</v>
      </c>
      <c r="E552">
        <v>11.99</v>
      </c>
      <c r="F552" t="str">
        <f>C552&amp;D552</f>
        <v>IndiaPayPal</v>
      </c>
      <c r="G552">
        <v>62</v>
      </c>
      <c r="H552" t="s">
        <v>45</v>
      </c>
    </row>
    <row r="553" spans="1:8">
      <c r="A553">
        <v>8554</v>
      </c>
      <c r="B553" t="s">
        <v>153</v>
      </c>
      <c r="C553" t="s">
        <v>27</v>
      </c>
      <c r="D553" t="s">
        <v>56</v>
      </c>
      <c r="E553">
        <v>15.99</v>
      </c>
      <c r="F553" t="str">
        <f>C553&amp;D553</f>
        <v>USACredit Card</v>
      </c>
      <c r="G553">
        <v>182</v>
      </c>
      <c r="H553" t="s">
        <v>45</v>
      </c>
    </row>
    <row r="554" spans="1:8">
      <c r="A554">
        <v>6569</v>
      </c>
      <c r="B554" t="s">
        <v>34</v>
      </c>
      <c r="C554" t="s">
        <v>43</v>
      </c>
      <c r="D554" t="s">
        <v>44</v>
      </c>
      <c r="E554">
        <v>7.99</v>
      </c>
      <c r="F554" t="str">
        <f>C554&amp;D554</f>
        <v>CanadaDebit Card</v>
      </c>
      <c r="G554">
        <v>468</v>
      </c>
      <c r="H554" t="s">
        <v>64</v>
      </c>
    </row>
    <row r="555" spans="1:8">
      <c r="A555">
        <v>6391</v>
      </c>
      <c r="B555" t="s">
        <v>257</v>
      </c>
      <c r="C555" t="s">
        <v>49</v>
      </c>
      <c r="D555" t="s">
        <v>44</v>
      </c>
      <c r="E555">
        <v>15.99</v>
      </c>
      <c r="F555" t="str">
        <f>C555&amp;D555</f>
        <v>UKDebit Card</v>
      </c>
      <c r="G555">
        <v>389</v>
      </c>
      <c r="H555" t="s">
        <v>64</v>
      </c>
    </row>
    <row r="556" spans="1:8">
      <c r="A556">
        <v>4883</v>
      </c>
      <c r="B556" t="s">
        <v>564</v>
      </c>
      <c r="C556" t="s">
        <v>55</v>
      </c>
      <c r="D556" t="s">
        <v>75</v>
      </c>
      <c r="E556">
        <v>15.99</v>
      </c>
      <c r="F556" t="str">
        <f>C556&amp;D556</f>
        <v>IndiaCryptocurrency</v>
      </c>
      <c r="G556">
        <v>155</v>
      </c>
      <c r="H556" t="s">
        <v>57</v>
      </c>
    </row>
    <row r="557" spans="1:8">
      <c r="A557">
        <v>4530</v>
      </c>
      <c r="B557" t="s">
        <v>226</v>
      </c>
      <c r="C557" t="s">
        <v>74</v>
      </c>
      <c r="D557" t="s">
        <v>28</v>
      </c>
      <c r="E557">
        <v>7.99</v>
      </c>
      <c r="F557" t="str">
        <f>C557&amp;D557</f>
        <v>GermanyPayPal</v>
      </c>
      <c r="G557">
        <v>331</v>
      </c>
      <c r="H557" t="s">
        <v>45</v>
      </c>
    </row>
    <row r="558" spans="1:8">
      <c r="A558">
        <v>6531</v>
      </c>
      <c r="B558" t="s">
        <v>280</v>
      </c>
      <c r="C558" t="s">
        <v>92</v>
      </c>
      <c r="D558" t="s">
        <v>44</v>
      </c>
      <c r="E558">
        <v>11.99</v>
      </c>
      <c r="F558" t="str">
        <f>C558&amp;D558</f>
        <v>FranceDebit Card</v>
      </c>
      <c r="G558">
        <v>131</v>
      </c>
      <c r="H558" t="s">
        <v>37</v>
      </c>
    </row>
    <row r="559" spans="1:8">
      <c r="A559">
        <v>9701</v>
      </c>
      <c r="B559" t="s">
        <v>566</v>
      </c>
      <c r="C559" t="s">
        <v>49</v>
      </c>
      <c r="D559" t="s">
        <v>75</v>
      </c>
      <c r="E559">
        <v>7.99</v>
      </c>
      <c r="F559" t="str">
        <f>C559&amp;D559</f>
        <v>UKCryptocurrency</v>
      </c>
      <c r="G559">
        <v>376</v>
      </c>
      <c r="H559" t="s">
        <v>37</v>
      </c>
    </row>
    <row r="560" spans="1:8">
      <c r="A560">
        <v>4702</v>
      </c>
      <c r="B560" t="s">
        <v>383</v>
      </c>
      <c r="C560" t="s">
        <v>68</v>
      </c>
      <c r="D560" t="s">
        <v>44</v>
      </c>
      <c r="E560">
        <v>7.99</v>
      </c>
      <c r="F560" t="str">
        <f>C560&amp;D560</f>
        <v>AustraliaDebit Card</v>
      </c>
      <c r="G560">
        <v>106</v>
      </c>
      <c r="H560" t="s">
        <v>45</v>
      </c>
    </row>
    <row r="561" spans="1:8">
      <c r="A561">
        <v>3163</v>
      </c>
      <c r="B561" t="s">
        <v>409</v>
      </c>
      <c r="C561" t="s">
        <v>74</v>
      </c>
      <c r="D561" t="s">
        <v>28</v>
      </c>
      <c r="E561">
        <v>11.99</v>
      </c>
      <c r="F561" t="str">
        <f>C561&amp;D561</f>
        <v>GermanyPayPal</v>
      </c>
      <c r="G561">
        <v>445</v>
      </c>
      <c r="H561" t="s">
        <v>57</v>
      </c>
    </row>
    <row r="562" spans="1:8">
      <c r="A562">
        <v>8719</v>
      </c>
      <c r="B562" t="s">
        <v>126</v>
      </c>
      <c r="C562" t="s">
        <v>49</v>
      </c>
      <c r="D562" t="s">
        <v>75</v>
      </c>
      <c r="E562">
        <v>15.99</v>
      </c>
      <c r="F562" t="str">
        <f>C562&amp;D562</f>
        <v>UKCryptocurrency</v>
      </c>
      <c r="G562">
        <v>345</v>
      </c>
      <c r="H562" t="s">
        <v>78</v>
      </c>
    </row>
    <row r="563" spans="1:8">
      <c r="A563">
        <v>1282</v>
      </c>
      <c r="B563" t="s">
        <v>120</v>
      </c>
      <c r="C563" t="s">
        <v>68</v>
      </c>
      <c r="D563" t="s">
        <v>75</v>
      </c>
      <c r="E563">
        <v>15.99</v>
      </c>
      <c r="F563" t="str">
        <f>C563&amp;D563</f>
        <v>AustraliaCryptocurrency</v>
      </c>
      <c r="G563">
        <v>432</v>
      </c>
      <c r="H563" t="s">
        <v>78</v>
      </c>
    </row>
    <row r="564" spans="1:8">
      <c r="A564">
        <v>4538</v>
      </c>
      <c r="B564" t="s">
        <v>290</v>
      </c>
      <c r="C564" t="s">
        <v>27</v>
      </c>
      <c r="D564" t="s">
        <v>56</v>
      </c>
      <c r="E564">
        <v>15.99</v>
      </c>
      <c r="F564" t="str">
        <f>C564&amp;D564</f>
        <v>USACredit Card</v>
      </c>
      <c r="G564">
        <v>362</v>
      </c>
      <c r="H564" t="s">
        <v>57</v>
      </c>
    </row>
    <row r="565" spans="1:8">
      <c r="A565">
        <v>9538</v>
      </c>
      <c r="B565" t="s">
        <v>280</v>
      </c>
      <c r="C565" t="s">
        <v>27</v>
      </c>
      <c r="D565" t="s">
        <v>75</v>
      </c>
      <c r="E565">
        <v>15.99</v>
      </c>
      <c r="F565" t="str">
        <f>C565&amp;D565</f>
        <v>USACryptocurrency</v>
      </c>
      <c r="G565">
        <v>174</v>
      </c>
      <c r="H565" t="s">
        <v>45</v>
      </c>
    </row>
    <row r="566" spans="1:8">
      <c r="A566">
        <v>5109</v>
      </c>
      <c r="B566" t="s">
        <v>179</v>
      </c>
      <c r="C566" t="s">
        <v>74</v>
      </c>
      <c r="D566" t="s">
        <v>56</v>
      </c>
      <c r="E566">
        <v>11.99</v>
      </c>
      <c r="F566" t="str">
        <f>C566&amp;D566</f>
        <v>GermanyCredit Card</v>
      </c>
      <c r="G566">
        <v>490</v>
      </c>
      <c r="H566" t="s">
        <v>78</v>
      </c>
    </row>
    <row r="567" spans="1:8">
      <c r="A567">
        <v>7947</v>
      </c>
      <c r="B567" t="s">
        <v>572</v>
      </c>
      <c r="C567" t="s">
        <v>49</v>
      </c>
      <c r="D567" t="s">
        <v>56</v>
      </c>
      <c r="E567">
        <v>15.99</v>
      </c>
      <c r="F567" t="str">
        <f>C567&amp;D567</f>
        <v>UKCredit Card</v>
      </c>
      <c r="G567">
        <v>32</v>
      </c>
      <c r="H567" t="s">
        <v>57</v>
      </c>
    </row>
    <row r="568" spans="1:8">
      <c r="A568">
        <v>7546</v>
      </c>
      <c r="B568" t="s">
        <v>147</v>
      </c>
      <c r="C568" t="s">
        <v>55</v>
      </c>
      <c r="D568" t="s">
        <v>75</v>
      </c>
      <c r="E568">
        <v>7.99</v>
      </c>
      <c r="F568" t="str">
        <f>C568&amp;D568</f>
        <v>IndiaCryptocurrency</v>
      </c>
      <c r="G568">
        <v>48</v>
      </c>
      <c r="H568" t="s">
        <v>64</v>
      </c>
    </row>
    <row r="569" spans="1:8">
      <c r="A569">
        <v>4213</v>
      </c>
      <c r="B569" t="s">
        <v>574</v>
      </c>
      <c r="C569" t="s">
        <v>43</v>
      </c>
      <c r="D569" t="s">
        <v>75</v>
      </c>
      <c r="E569">
        <v>7.99</v>
      </c>
      <c r="F569" t="str">
        <f>C569&amp;D569</f>
        <v>CanadaCryptocurrency</v>
      </c>
      <c r="G569">
        <v>141</v>
      </c>
      <c r="H569" t="s">
        <v>29</v>
      </c>
    </row>
    <row r="570" spans="1:8">
      <c r="A570">
        <v>3135</v>
      </c>
      <c r="B570" t="s">
        <v>325</v>
      </c>
      <c r="C570" t="s">
        <v>92</v>
      </c>
      <c r="D570" t="s">
        <v>75</v>
      </c>
      <c r="E570">
        <v>7.99</v>
      </c>
      <c r="F570" t="str">
        <f>C570&amp;D570</f>
        <v>FranceCryptocurrency</v>
      </c>
      <c r="G570">
        <v>368</v>
      </c>
      <c r="H570" t="s">
        <v>37</v>
      </c>
    </row>
    <row r="571" spans="1:8">
      <c r="A571">
        <v>9916</v>
      </c>
      <c r="B571" t="s">
        <v>531</v>
      </c>
      <c r="C571" t="s">
        <v>49</v>
      </c>
      <c r="D571" t="s">
        <v>56</v>
      </c>
      <c r="E571">
        <v>7.99</v>
      </c>
      <c r="F571" t="str">
        <f>C571&amp;D571</f>
        <v>UKCredit Card</v>
      </c>
      <c r="G571">
        <v>227</v>
      </c>
      <c r="H571" t="s">
        <v>57</v>
      </c>
    </row>
    <row r="572" spans="1:8">
      <c r="A572">
        <v>2784</v>
      </c>
      <c r="B572" t="s">
        <v>138</v>
      </c>
      <c r="C572" t="s">
        <v>92</v>
      </c>
      <c r="D572" t="s">
        <v>28</v>
      </c>
      <c r="E572">
        <v>7.99</v>
      </c>
      <c r="F572" t="str">
        <f>C572&amp;D572</f>
        <v>FrancePayPal</v>
      </c>
      <c r="G572">
        <v>484</v>
      </c>
      <c r="H572" t="s">
        <v>78</v>
      </c>
    </row>
    <row r="573" spans="1:8">
      <c r="A573">
        <v>5916</v>
      </c>
      <c r="B573" t="s">
        <v>148</v>
      </c>
      <c r="C573" t="s">
        <v>74</v>
      </c>
      <c r="D573" t="s">
        <v>44</v>
      </c>
      <c r="E573">
        <v>15.99</v>
      </c>
      <c r="F573" t="str">
        <f>C573&amp;D573</f>
        <v>GermanyDebit Card</v>
      </c>
      <c r="G573">
        <v>14</v>
      </c>
      <c r="H573" t="s">
        <v>78</v>
      </c>
    </row>
    <row r="574" spans="1:8">
      <c r="A574">
        <v>1674</v>
      </c>
      <c r="B574" t="s">
        <v>177</v>
      </c>
      <c r="C574" t="s">
        <v>49</v>
      </c>
      <c r="D574" t="s">
        <v>28</v>
      </c>
      <c r="E574">
        <v>11.99</v>
      </c>
      <c r="F574" t="str">
        <f>C574&amp;D574</f>
        <v>UKPayPal</v>
      </c>
      <c r="G574">
        <v>328</v>
      </c>
      <c r="H574" t="s">
        <v>78</v>
      </c>
    </row>
    <row r="575" spans="1:8">
      <c r="A575">
        <v>2095</v>
      </c>
      <c r="B575" t="s">
        <v>357</v>
      </c>
      <c r="C575" t="s">
        <v>43</v>
      </c>
      <c r="D575" t="s">
        <v>75</v>
      </c>
      <c r="E575">
        <v>11.99</v>
      </c>
      <c r="F575" t="str">
        <f>C575&amp;D575</f>
        <v>CanadaCryptocurrency</v>
      </c>
      <c r="G575">
        <v>279</v>
      </c>
      <c r="H575" t="s">
        <v>45</v>
      </c>
    </row>
    <row r="576" spans="1:8">
      <c r="A576">
        <v>9594</v>
      </c>
      <c r="B576" t="s">
        <v>138</v>
      </c>
      <c r="C576" t="s">
        <v>92</v>
      </c>
      <c r="D576" t="s">
        <v>56</v>
      </c>
      <c r="E576">
        <v>7.99</v>
      </c>
      <c r="F576" t="str">
        <f>C576&amp;D576</f>
        <v>FranceCredit Card</v>
      </c>
      <c r="G576">
        <v>158</v>
      </c>
      <c r="H576" t="s">
        <v>64</v>
      </c>
    </row>
    <row r="577" spans="1:8">
      <c r="A577">
        <v>6750</v>
      </c>
      <c r="B577" t="s">
        <v>23</v>
      </c>
      <c r="C577" t="s">
        <v>92</v>
      </c>
      <c r="D577" t="s">
        <v>56</v>
      </c>
      <c r="E577">
        <v>7.99</v>
      </c>
      <c r="F577" t="str">
        <f>C577&amp;D577</f>
        <v>FranceCredit Card</v>
      </c>
      <c r="G577">
        <v>422</v>
      </c>
      <c r="H577" t="s">
        <v>64</v>
      </c>
    </row>
    <row r="578" spans="1:8">
      <c r="A578">
        <v>7235</v>
      </c>
      <c r="B578" t="s">
        <v>171</v>
      </c>
      <c r="C578" t="s">
        <v>49</v>
      </c>
      <c r="D578" t="s">
        <v>56</v>
      </c>
      <c r="E578">
        <v>7.99</v>
      </c>
      <c r="F578" t="str">
        <f>C578&amp;D578</f>
        <v>UKCredit Card</v>
      </c>
      <c r="G578">
        <v>235</v>
      </c>
      <c r="H578" t="s">
        <v>29</v>
      </c>
    </row>
    <row r="579" spans="1:8">
      <c r="A579">
        <v>3910</v>
      </c>
      <c r="B579" t="s">
        <v>260</v>
      </c>
      <c r="C579" t="s">
        <v>68</v>
      </c>
      <c r="D579" t="s">
        <v>44</v>
      </c>
      <c r="E579">
        <v>11.99</v>
      </c>
      <c r="F579" t="str">
        <f>C579&amp;D579</f>
        <v>AustraliaDebit Card</v>
      </c>
      <c r="G579">
        <v>331</v>
      </c>
      <c r="H579" t="s">
        <v>45</v>
      </c>
    </row>
    <row r="580" spans="1:8">
      <c r="A580">
        <v>8190</v>
      </c>
      <c r="B580" t="s">
        <v>579</v>
      </c>
      <c r="C580" t="s">
        <v>92</v>
      </c>
      <c r="D580" t="s">
        <v>56</v>
      </c>
      <c r="E580">
        <v>11.99</v>
      </c>
      <c r="F580" t="str">
        <f>C580&amp;D580</f>
        <v>FranceCredit Card</v>
      </c>
      <c r="G580">
        <v>148</v>
      </c>
      <c r="H580" t="s">
        <v>64</v>
      </c>
    </row>
    <row r="581" spans="1:8">
      <c r="A581">
        <v>5315</v>
      </c>
      <c r="B581" t="s">
        <v>580</v>
      </c>
      <c r="C581" t="s">
        <v>43</v>
      </c>
      <c r="D581" t="s">
        <v>75</v>
      </c>
      <c r="E581">
        <v>7.99</v>
      </c>
      <c r="F581" t="str">
        <f>C581&amp;D581</f>
        <v>CanadaCryptocurrency</v>
      </c>
      <c r="G581">
        <v>198</v>
      </c>
      <c r="H581" t="s">
        <v>78</v>
      </c>
    </row>
    <row r="582" spans="1:8">
      <c r="A582">
        <v>7503</v>
      </c>
      <c r="B582" t="s">
        <v>153</v>
      </c>
      <c r="C582" t="s">
        <v>92</v>
      </c>
      <c r="D582" t="s">
        <v>44</v>
      </c>
      <c r="E582">
        <v>15.99</v>
      </c>
      <c r="F582" t="str">
        <f>C582&amp;D582</f>
        <v>FranceDebit Card</v>
      </c>
      <c r="G582">
        <v>81</v>
      </c>
      <c r="H582" t="s">
        <v>64</v>
      </c>
    </row>
    <row r="583" spans="1:8">
      <c r="A583">
        <v>5788</v>
      </c>
      <c r="B583" t="s">
        <v>186</v>
      </c>
      <c r="C583" t="s">
        <v>74</v>
      </c>
      <c r="D583" t="s">
        <v>56</v>
      </c>
      <c r="E583">
        <v>11.99</v>
      </c>
      <c r="F583" t="str">
        <f>C583&amp;D583</f>
        <v>GermanyCredit Card</v>
      </c>
      <c r="G583">
        <v>131</v>
      </c>
      <c r="H583" t="s">
        <v>57</v>
      </c>
    </row>
    <row r="584" spans="1:8">
      <c r="A584">
        <v>7030</v>
      </c>
      <c r="B584" t="s">
        <v>583</v>
      </c>
      <c r="C584" t="s">
        <v>27</v>
      </c>
      <c r="D584" t="s">
        <v>28</v>
      </c>
      <c r="E584">
        <v>15.99</v>
      </c>
      <c r="F584" t="str">
        <f>C584&amp;D584</f>
        <v>USAPayPal</v>
      </c>
      <c r="G584">
        <v>210</v>
      </c>
      <c r="H584" t="s">
        <v>45</v>
      </c>
    </row>
    <row r="585" spans="1:8">
      <c r="A585">
        <v>6619</v>
      </c>
      <c r="B585" t="s">
        <v>408</v>
      </c>
      <c r="C585" t="s">
        <v>55</v>
      </c>
      <c r="D585" t="s">
        <v>75</v>
      </c>
      <c r="E585">
        <v>15.99</v>
      </c>
      <c r="F585" t="str">
        <f>C585&amp;D585</f>
        <v>IndiaCryptocurrency</v>
      </c>
      <c r="G585">
        <v>301</v>
      </c>
      <c r="H585" t="s">
        <v>57</v>
      </c>
    </row>
    <row r="586" spans="1:8">
      <c r="A586">
        <v>6319</v>
      </c>
      <c r="B586" t="s">
        <v>584</v>
      </c>
      <c r="C586" t="s">
        <v>92</v>
      </c>
      <c r="D586" t="s">
        <v>44</v>
      </c>
      <c r="E586">
        <v>7.99</v>
      </c>
      <c r="F586" t="str">
        <f>C586&amp;D586</f>
        <v>FranceDebit Card</v>
      </c>
      <c r="G586">
        <v>466</v>
      </c>
      <c r="H586" t="s">
        <v>78</v>
      </c>
    </row>
    <row r="587" spans="1:8">
      <c r="A587">
        <v>6268</v>
      </c>
      <c r="B587" t="s">
        <v>313</v>
      </c>
      <c r="C587" t="s">
        <v>55</v>
      </c>
      <c r="D587" t="s">
        <v>28</v>
      </c>
      <c r="E587">
        <v>15.99</v>
      </c>
      <c r="F587" t="str">
        <f>C587&amp;D587</f>
        <v>IndiaPayPal</v>
      </c>
      <c r="G587">
        <v>336</v>
      </c>
      <c r="H587" t="s">
        <v>64</v>
      </c>
    </row>
    <row r="588" spans="1:8">
      <c r="A588">
        <v>5016</v>
      </c>
      <c r="B588" t="s">
        <v>424</v>
      </c>
      <c r="C588" t="s">
        <v>27</v>
      </c>
      <c r="D588" t="s">
        <v>28</v>
      </c>
      <c r="E588">
        <v>11.99</v>
      </c>
      <c r="F588" t="str">
        <f>C588&amp;D588</f>
        <v>USAPayPal</v>
      </c>
      <c r="G588">
        <v>280</v>
      </c>
      <c r="H588" t="s">
        <v>45</v>
      </c>
    </row>
    <row r="589" spans="1:8">
      <c r="A589">
        <v>3888</v>
      </c>
      <c r="B589" t="s">
        <v>176</v>
      </c>
      <c r="C589" t="s">
        <v>68</v>
      </c>
      <c r="D589" t="s">
        <v>75</v>
      </c>
      <c r="E589">
        <v>15.99</v>
      </c>
      <c r="F589" t="str">
        <f>C589&amp;D589</f>
        <v>AustraliaCryptocurrency</v>
      </c>
      <c r="G589">
        <v>495</v>
      </c>
      <c r="H589" t="s">
        <v>64</v>
      </c>
    </row>
    <row r="590" spans="1:8">
      <c r="A590">
        <v>9918</v>
      </c>
      <c r="B590" t="s">
        <v>238</v>
      </c>
      <c r="C590" t="s">
        <v>55</v>
      </c>
      <c r="D590" t="s">
        <v>28</v>
      </c>
      <c r="E590">
        <v>11.99</v>
      </c>
      <c r="F590" t="str">
        <f>C590&amp;D590</f>
        <v>IndiaPayPal</v>
      </c>
      <c r="G590">
        <v>144</v>
      </c>
      <c r="H590" t="s">
        <v>29</v>
      </c>
    </row>
    <row r="591" spans="1:8">
      <c r="A591">
        <v>7305</v>
      </c>
      <c r="B591" t="s">
        <v>224</v>
      </c>
      <c r="C591" t="s">
        <v>27</v>
      </c>
      <c r="D591" t="s">
        <v>56</v>
      </c>
      <c r="E591">
        <v>7.99</v>
      </c>
      <c r="F591" t="str">
        <f>C591&amp;D591</f>
        <v>USACredit Card</v>
      </c>
      <c r="G591">
        <v>165</v>
      </c>
      <c r="H591" t="s">
        <v>57</v>
      </c>
    </row>
    <row r="592" spans="1:8">
      <c r="A592">
        <v>5719</v>
      </c>
      <c r="B592" t="s">
        <v>531</v>
      </c>
      <c r="C592" t="s">
        <v>74</v>
      </c>
      <c r="D592" t="s">
        <v>75</v>
      </c>
      <c r="E592">
        <v>11.99</v>
      </c>
      <c r="F592" t="str">
        <f>C592&amp;D592</f>
        <v>GermanyCryptocurrency</v>
      </c>
      <c r="G592">
        <v>479</v>
      </c>
      <c r="H592" t="s">
        <v>78</v>
      </c>
    </row>
    <row r="593" spans="1:8">
      <c r="A593">
        <v>2334</v>
      </c>
      <c r="B593" t="s">
        <v>473</v>
      </c>
      <c r="C593" t="s">
        <v>49</v>
      </c>
      <c r="D593" t="s">
        <v>44</v>
      </c>
      <c r="E593">
        <v>11.99</v>
      </c>
      <c r="F593" t="str">
        <f>C593&amp;D593</f>
        <v>UKDebit Card</v>
      </c>
      <c r="G593">
        <v>285</v>
      </c>
      <c r="H593" t="s">
        <v>29</v>
      </c>
    </row>
    <row r="594" spans="1:8">
      <c r="A594">
        <v>1006</v>
      </c>
      <c r="B594" t="s">
        <v>589</v>
      </c>
      <c r="C594" t="s">
        <v>55</v>
      </c>
      <c r="D594" t="s">
        <v>56</v>
      </c>
      <c r="E594">
        <v>11.99</v>
      </c>
      <c r="F594" t="str">
        <f>C594&amp;D594</f>
        <v>IndiaCredit Card</v>
      </c>
      <c r="G594">
        <v>93</v>
      </c>
      <c r="H594" t="s">
        <v>64</v>
      </c>
    </row>
    <row r="595" spans="1:8">
      <c r="A595">
        <v>6719</v>
      </c>
      <c r="B595" t="s">
        <v>114</v>
      </c>
      <c r="C595" t="s">
        <v>68</v>
      </c>
      <c r="D595" t="s">
        <v>75</v>
      </c>
      <c r="E595">
        <v>15.99</v>
      </c>
      <c r="F595" t="str">
        <f>C595&amp;D595</f>
        <v>AustraliaCryptocurrency</v>
      </c>
      <c r="G595">
        <v>299</v>
      </c>
      <c r="H595" t="s">
        <v>78</v>
      </c>
    </row>
    <row r="596" spans="1:8">
      <c r="A596">
        <v>6138</v>
      </c>
      <c r="B596" t="s">
        <v>70</v>
      </c>
      <c r="C596" t="s">
        <v>55</v>
      </c>
      <c r="D596" t="s">
        <v>56</v>
      </c>
      <c r="E596">
        <v>15.99</v>
      </c>
      <c r="F596" t="str">
        <f>C596&amp;D596</f>
        <v>IndiaCredit Card</v>
      </c>
      <c r="G596">
        <v>10</v>
      </c>
      <c r="H596" t="s">
        <v>64</v>
      </c>
    </row>
    <row r="597" spans="1:8">
      <c r="A597">
        <v>1255</v>
      </c>
      <c r="B597" t="s">
        <v>122</v>
      </c>
      <c r="C597" t="s">
        <v>55</v>
      </c>
      <c r="D597" t="s">
        <v>75</v>
      </c>
      <c r="E597">
        <v>11.99</v>
      </c>
      <c r="F597" t="str">
        <f>C597&amp;D597</f>
        <v>IndiaCryptocurrency</v>
      </c>
      <c r="G597">
        <v>82</v>
      </c>
      <c r="H597" t="s">
        <v>78</v>
      </c>
    </row>
    <row r="598" spans="1:8">
      <c r="A598">
        <v>5528</v>
      </c>
      <c r="B598" t="s">
        <v>179</v>
      </c>
      <c r="C598" t="s">
        <v>68</v>
      </c>
      <c r="D598" t="s">
        <v>44</v>
      </c>
      <c r="E598">
        <v>11.99</v>
      </c>
      <c r="F598" t="str">
        <f>C598&amp;D598</f>
        <v>AustraliaDebit Card</v>
      </c>
      <c r="G598">
        <v>27</v>
      </c>
      <c r="H598" t="s">
        <v>78</v>
      </c>
    </row>
    <row r="599" spans="1:8">
      <c r="A599">
        <v>2517</v>
      </c>
      <c r="B599" t="s">
        <v>157</v>
      </c>
      <c r="C599" t="s">
        <v>92</v>
      </c>
      <c r="D599" t="s">
        <v>28</v>
      </c>
      <c r="E599">
        <v>7.99</v>
      </c>
      <c r="F599" t="str">
        <f>C599&amp;D599</f>
        <v>FrancePayPal</v>
      </c>
      <c r="G599">
        <v>105</v>
      </c>
      <c r="H599" t="s">
        <v>57</v>
      </c>
    </row>
    <row r="600" spans="1:8">
      <c r="A600">
        <v>9593</v>
      </c>
      <c r="B600" t="s">
        <v>592</v>
      </c>
      <c r="C600" t="s">
        <v>49</v>
      </c>
      <c r="D600" t="s">
        <v>28</v>
      </c>
      <c r="E600">
        <v>15.99</v>
      </c>
      <c r="F600" t="str">
        <f>C600&amp;D600</f>
        <v>UKPayPal</v>
      </c>
      <c r="G600">
        <v>330</v>
      </c>
      <c r="H600" t="s">
        <v>64</v>
      </c>
    </row>
    <row r="601" spans="1:8">
      <c r="A601">
        <v>7507</v>
      </c>
      <c r="B601" t="s">
        <v>404</v>
      </c>
      <c r="C601" t="s">
        <v>92</v>
      </c>
      <c r="D601" t="s">
        <v>56</v>
      </c>
      <c r="E601">
        <v>11.99</v>
      </c>
      <c r="F601" t="str">
        <f>C601&amp;D601</f>
        <v>FranceCredit Card</v>
      </c>
      <c r="G601">
        <v>462</v>
      </c>
      <c r="H601" t="s">
        <v>37</v>
      </c>
    </row>
    <row r="602" spans="1:8">
      <c r="A602">
        <v>2884</v>
      </c>
      <c r="B602" t="s">
        <v>549</v>
      </c>
      <c r="C602" t="s">
        <v>74</v>
      </c>
      <c r="D602" t="s">
        <v>75</v>
      </c>
      <c r="E602">
        <v>15.99</v>
      </c>
      <c r="F602" t="str">
        <f>C602&amp;D602</f>
        <v>GermanyCryptocurrency</v>
      </c>
      <c r="G602">
        <v>250</v>
      </c>
      <c r="H602" t="s">
        <v>29</v>
      </c>
    </row>
    <row r="603" spans="1:8">
      <c r="A603">
        <v>6374</v>
      </c>
      <c r="B603" t="s">
        <v>495</v>
      </c>
      <c r="C603" t="s">
        <v>55</v>
      </c>
      <c r="D603" t="s">
        <v>28</v>
      </c>
      <c r="E603">
        <v>15.99</v>
      </c>
      <c r="F603" t="str">
        <f>C603&amp;D603</f>
        <v>IndiaPayPal</v>
      </c>
      <c r="G603">
        <v>30</v>
      </c>
      <c r="H603" t="s">
        <v>45</v>
      </c>
    </row>
    <row r="604" spans="1:8">
      <c r="A604">
        <v>6888</v>
      </c>
      <c r="B604" t="s">
        <v>196</v>
      </c>
      <c r="C604" t="s">
        <v>27</v>
      </c>
      <c r="D604" t="s">
        <v>56</v>
      </c>
      <c r="E604">
        <v>15.99</v>
      </c>
      <c r="F604" t="str">
        <f>C604&amp;D604</f>
        <v>USACredit Card</v>
      </c>
      <c r="G604">
        <v>364</v>
      </c>
      <c r="H604" t="s">
        <v>45</v>
      </c>
    </row>
    <row r="605" spans="1:8">
      <c r="A605">
        <v>2788</v>
      </c>
      <c r="B605" t="s">
        <v>593</v>
      </c>
      <c r="C605" t="s">
        <v>74</v>
      </c>
      <c r="D605" t="s">
        <v>56</v>
      </c>
      <c r="E605">
        <v>15.99</v>
      </c>
      <c r="F605" t="str">
        <f>C605&amp;D605</f>
        <v>GermanyCredit Card</v>
      </c>
      <c r="G605">
        <v>404</v>
      </c>
      <c r="H605" t="s">
        <v>45</v>
      </c>
    </row>
    <row r="606" spans="1:8">
      <c r="A606">
        <v>7892</v>
      </c>
      <c r="B606" t="s">
        <v>137</v>
      </c>
      <c r="C606" t="s">
        <v>92</v>
      </c>
      <c r="D606" t="s">
        <v>56</v>
      </c>
      <c r="E606">
        <v>7.99</v>
      </c>
      <c r="F606" t="str">
        <f>C606&amp;D606</f>
        <v>FranceCredit Card</v>
      </c>
      <c r="G606">
        <v>499</v>
      </c>
      <c r="H606" t="s">
        <v>78</v>
      </c>
    </row>
    <row r="607" spans="1:8">
      <c r="A607">
        <v>4576</v>
      </c>
      <c r="B607" t="s">
        <v>138</v>
      </c>
      <c r="C607" t="s">
        <v>74</v>
      </c>
      <c r="D607" t="s">
        <v>56</v>
      </c>
      <c r="E607">
        <v>15.99</v>
      </c>
      <c r="F607" t="str">
        <f>C607&amp;D607</f>
        <v>GermanyCredit Card</v>
      </c>
      <c r="G607">
        <v>480</v>
      </c>
      <c r="H607" t="s">
        <v>45</v>
      </c>
    </row>
    <row r="608" spans="1:8">
      <c r="A608">
        <v>8901</v>
      </c>
      <c r="B608" t="s">
        <v>595</v>
      </c>
      <c r="C608" t="s">
        <v>27</v>
      </c>
      <c r="D608" t="s">
        <v>75</v>
      </c>
      <c r="E608">
        <v>11.99</v>
      </c>
      <c r="F608" t="str">
        <f>C608&amp;D608</f>
        <v>USACryptocurrency</v>
      </c>
      <c r="G608">
        <v>417</v>
      </c>
      <c r="H608" t="s">
        <v>29</v>
      </c>
    </row>
    <row r="609" spans="1:8">
      <c r="A609">
        <v>5147</v>
      </c>
      <c r="B609" t="s">
        <v>140</v>
      </c>
      <c r="C609" t="s">
        <v>49</v>
      </c>
      <c r="D609" t="s">
        <v>28</v>
      </c>
      <c r="E609">
        <v>7.99</v>
      </c>
      <c r="F609" t="str">
        <f>C609&amp;D609</f>
        <v>UKPayPal</v>
      </c>
      <c r="G609">
        <v>215</v>
      </c>
      <c r="H609" t="s">
        <v>29</v>
      </c>
    </row>
    <row r="610" spans="1:8">
      <c r="A610">
        <v>8646</v>
      </c>
      <c r="B610" t="s">
        <v>294</v>
      </c>
      <c r="C610" t="s">
        <v>49</v>
      </c>
      <c r="D610" t="s">
        <v>28</v>
      </c>
      <c r="E610">
        <v>7.99</v>
      </c>
      <c r="F610" t="str">
        <f>C610&amp;D610</f>
        <v>UKPayPal</v>
      </c>
      <c r="G610">
        <v>234</v>
      </c>
      <c r="H610" t="s">
        <v>78</v>
      </c>
    </row>
    <row r="611" spans="1:8">
      <c r="A611">
        <v>8343</v>
      </c>
      <c r="B611" t="s">
        <v>140</v>
      </c>
      <c r="C611" t="s">
        <v>92</v>
      </c>
      <c r="D611" t="s">
        <v>28</v>
      </c>
      <c r="E611">
        <v>7.99</v>
      </c>
      <c r="F611" t="str">
        <f>C611&amp;D611</f>
        <v>FrancePayPal</v>
      </c>
      <c r="G611">
        <v>103</v>
      </c>
      <c r="H611" t="s">
        <v>64</v>
      </c>
    </row>
    <row r="612" spans="1:8">
      <c r="A612">
        <v>9332</v>
      </c>
      <c r="B612" t="s">
        <v>41</v>
      </c>
      <c r="C612" t="s">
        <v>27</v>
      </c>
      <c r="D612" t="s">
        <v>28</v>
      </c>
      <c r="E612">
        <v>15.99</v>
      </c>
      <c r="F612" t="str">
        <f>C612&amp;D612</f>
        <v>USAPayPal</v>
      </c>
      <c r="G612">
        <v>191</v>
      </c>
      <c r="H612" t="s">
        <v>29</v>
      </c>
    </row>
    <row r="613" spans="1:8">
      <c r="A613">
        <v>7398</v>
      </c>
      <c r="B613" t="s">
        <v>349</v>
      </c>
      <c r="C613" t="s">
        <v>43</v>
      </c>
      <c r="D613" t="s">
        <v>28</v>
      </c>
      <c r="E613">
        <v>11.99</v>
      </c>
      <c r="F613" t="str">
        <f>C613&amp;D613</f>
        <v>CanadaPayPal</v>
      </c>
      <c r="G613">
        <v>82</v>
      </c>
      <c r="H613" t="s">
        <v>37</v>
      </c>
    </row>
    <row r="614" spans="1:8">
      <c r="A614">
        <v>3572</v>
      </c>
      <c r="B614" t="s">
        <v>598</v>
      </c>
      <c r="C614" t="s">
        <v>55</v>
      </c>
      <c r="D614" t="s">
        <v>28</v>
      </c>
      <c r="E614">
        <v>11.99</v>
      </c>
      <c r="F614" t="str">
        <f>C614&amp;D614</f>
        <v>IndiaPayPal</v>
      </c>
      <c r="G614">
        <v>468</v>
      </c>
      <c r="H614" t="s">
        <v>57</v>
      </c>
    </row>
    <row r="615" spans="1:8">
      <c r="A615">
        <v>4590</v>
      </c>
      <c r="B615" t="s">
        <v>553</v>
      </c>
      <c r="C615" t="s">
        <v>49</v>
      </c>
      <c r="D615" t="s">
        <v>44</v>
      </c>
      <c r="E615">
        <v>11.99</v>
      </c>
      <c r="F615" t="str">
        <f>C615&amp;D615</f>
        <v>UKDebit Card</v>
      </c>
      <c r="G615">
        <v>366</v>
      </c>
      <c r="H615" t="s">
        <v>29</v>
      </c>
    </row>
    <row r="616" spans="1:8">
      <c r="A616">
        <v>1831</v>
      </c>
      <c r="B616" t="s">
        <v>88</v>
      </c>
      <c r="C616" t="s">
        <v>74</v>
      </c>
      <c r="D616" t="s">
        <v>56</v>
      </c>
      <c r="E616">
        <v>7.99</v>
      </c>
      <c r="F616" t="str">
        <f>C616&amp;D616</f>
        <v>GermanyCredit Card</v>
      </c>
      <c r="G616">
        <v>53</v>
      </c>
      <c r="H616" t="s">
        <v>64</v>
      </c>
    </row>
    <row r="617" spans="1:8">
      <c r="A617">
        <v>6899</v>
      </c>
      <c r="B617" t="s">
        <v>284</v>
      </c>
      <c r="C617" t="s">
        <v>92</v>
      </c>
      <c r="D617" t="s">
        <v>75</v>
      </c>
      <c r="E617">
        <v>15.99</v>
      </c>
      <c r="F617" t="str">
        <f>C617&amp;D617</f>
        <v>FranceCryptocurrency</v>
      </c>
      <c r="G617">
        <v>102</v>
      </c>
      <c r="H617" t="s">
        <v>78</v>
      </c>
    </row>
    <row r="618" spans="1:8">
      <c r="A618">
        <v>1148</v>
      </c>
      <c r="B618" t="s">
        <v>88</v>
      </c>
      <c r="C618" t="s">
        <v>74</v>
      </c>
      <c r="D618" t="s">
        <v>75</v>
      </c>
      <c r="E618">
        <v>15.99</v>
      </c>
      <c r="F618" t="str">
        <f>C618&amp;D618</f>
        <v>GermanyCryptocurrency</v>
      </c>
      <c r="G618">
        <v>259</v>
      </c>
      <c r="H618" t="s">
        <v>37</v>
      </c>
    </row>
    <row r="619" spans="1:8">
      <c r="A619">
        <v>3745</v>
      </c>
      <c r="B619" t="s">
        <v>325</v>
      </c>
      <c r="C619" t="s">
        <v>43</v>
      </c>
      <c r="D619" t="s">
        <v>44</v>
      </c>
      <c r="E619">
        <v>11.99</v>
      </c>
      <c r="F619" t="str">
        <f>C619&amp;D619</f>
        <v>CanadaDebit Card</v>
      </c>
      <c r="G619">
        <v>81</v>
      </c>
      <c r="H619" t="s">
        <v>64</v>
      </c>
    </row>
    <row r="620" spans="1:8">
      <c r="A620">
        <v>5084</v>
      </c>
      <c r="B620" t="s">
        <v>599</v>
      </c>
      <c r="C620" t="s">
        <v>43</v>
      </c>
      <c r="D620" t="s">
        <v>56</v>
      </c>
      <c r="E620">
        <v>11.99</v>
      </c>
      <c r="F620" t="str">
        <f>C620&amp;D620</f>
        <v>CanadaCredit Card</v>
      </c>
      <c r="G620">
        <v>135</v>
      </c>
      <c r="H620" t="s">
        <v>78</v>
      </c>
    </row>
    <row r="621" spans="1:8">
      <c r="A621">
        <v>7179</v>
      </c>
      <c r="B621" t="s">
        <v>157</v>
      </c>
      <c r="C621" t="s">
        <v>92</v>
      </c>
      <c r="D621" t="s">
        <v>44</v>
      </c>
      <c r="E621">
        <v>11.99</v>
      </c>
      <c r="F621" t="str">
        <f>C621&amp;D621</f>
        <v>FranceDebit Card</v>
      </c>
      <c r="G621">
        <v>465</v>
      </c>
      <c r="H621" t="s">
        <v>45</v>
      </c>
    </row>
    <row r="622" spans="1:8">
      <c r="A622">
        <v>1005</v>
      </c>
      <c r="B622" t="s">
        <v>304</v>
      </c>
      <c r="C622" t="s">
        <v>55</v>
      </c>
      <c r="D622" t="s">
        <v>56</v>
      </c>
      <c r="E622">
        <v>11.99</v>
      </c>
      <c r="F622" t="str">
        <f>C622&amp;D622</f>
        <v>IndiaCredit Card</v>
      </c>
      <c r="G622">
        <v>163</v>
      </c>
      <c r="H622" t="s">
        <v>64</v>
      </c>
    </row>
    <row r="623" spans="1:8">
      <c r="A623">
        <v>6405</v>
      </c>
      <c r="B623" t="s">
        <v>598</v>
      </c>
      <c r="C623" t="s">
        <v>55</v>
      </c>
      <c r="D623" t="s">
        <v>75</v>
      </c>
      <c r="E623">
        <v>11.99</v>
      </c>
      <c r="F623" t="str">
        <f>C623&amp;D623</f>
        <v>IndiaCryptocurrency</v>
      </c>
      <c r="G623">
        <v>321</v>
      </c>
      <c r="H623" t="s">
        <v>37</v>
      </c>
    </row>
    <row r="624" spans="1:8">
      <c r="A624">
        <v>5215</v>
      </c>
      <c r="B624" t="s">
        <v>41</v>
      </c>
      <c r="C624" t="s">
        <v>49</v>
      </c>
      <c r="D624" t="s">
        <v>44</v>
      </c>
      <c r="E624">
        <v>7.99</v>
      </c>
      <c r="F624" t="str">
        <f>C624&amp;D624</f>
        <v>UKDebit Card</v>
      </c>
      <c r="G624">
        <v>212</v>
      </c>
      <c r="H624" t="s">
        <v>78</v>
      </c>
    </row>
    <row r="625" spans="1:8">
      <c r="A625">
        <v>7525</v>
      </c>
      <c r="B625" t="s">
        <v>318</v>
      </c>
      <c r="C625" t="s">
        <v>74</v>
      </c>
      <c r="D625" t="s">
        <v>28</v>
      </c>
      <c r="E625">
        <v>15.99</v>
      </c>
      <c r="F625" t="str">
        <f>C625&amp;D625</f>
        <v>GermanyPayPal</v>
      </c>
      <c r="G625">
        <v>453</v>
      </c>
      <c r="H625" t="s">
        <v>64</v>
      </c>
    </row>
    <row r="626" spans="1:8">
      <c r="A626">
        <v>9115</v>
      </c>
      <c r="B626" t="s">
        <v>88</v>
      </c>
      <c r="C626" t="s">
        <v>43</v>
      </c>
      <c r="D626" t="s">
        <v>56</v>
      </c>
      <c r="E626">
        <v>11.99</v>
      </c>
      <c r="F626" t="str">
        <f>C626&amp;D626</f>
        <v>CanadaCredit Card</v>
      </c>
      <c r="G626">
        <v>34</v>
      </c>
      <c r="H626" t="s">
        <v>37</v>
      </c>
    </row>
    <row r="627" spans="1:8">
      <c r="A627">
        <v>6454</v>
      </c>
      <c r="B627" t="s">
        <v>191</v>
      </c>
      <c r="C627" t="s">
        <v>27</v>
      </c>
      <c r="D627" t="s">
        <v>56</v>
      </c>
      <c r="E627">
        <v>15.99</v>
      </c>
      <c r="F627" t="str">
        <f>C627&amp;D627</f>
        <v>USACredit Card</v>
      </c>
      <c r="G627">
        <v>197</v>
      </c>
      <c r="H627" t="s">
        <v>78</v>
      </c>
    </row>
    <row r="628" spans="1:8">
      <c r="A628">
        <v>4781</v>
      </c>
      <c r="B628" t="s">
        <v>602</v>
      </c>
      <c r="C628" t="s">
        <v>55</v>
      </c>
      <c r="D628" t="s">
        <v>28</v>
      </c>
      <c r="E628">
        <v>15.99</v>
      </c>
      <c r="F628" t="str">
        <f>C628&amp;D628</f>
        <v>IndiaPayPal</v>
      </c>
      <c r="G628">
        <v>361</v>
      </c>
      <c r="H628" t="s">
        <v>37</v>
      </c>
    </row>
    <row r="629" spans="1:8">
      <c r="A629">
        <v>5040</v>
      </c>
      <c r="B629" t="s">
        <v>603</v>
      </c>
      <c r="C629" t="s">
        <v>92</v>
      </c>
      <c r="D629" t="s">
        <v>44</v>
      </c>
      <c r="E629">
        <v>11.99</v>
      </c>
      <c r="F629" t="str">
        <f>C629&amp;D629</f>
        <v>FranceDebit Card</v>
      </c>
      <c r="G629">
        <v>166</v>
      </c>
      <c r="H629" t="s">
        <v>78</v>
      </c>
    </row>
    <row r="630" spans="1:8">
      <c r="A630">
        <v>3209</v>
      </c>
      <c r="B630" t="s">
        <v>347</v>
      </c>
      <c r="C630" t="s">
        <v>49</v>
      </c>
      <c r="D630" t="s">
        <v>75</v>
      </c>
      <c r="E630">
        <v>7.99</v>
      </c>
      <c r="F630" t="str">
        <f>C630&amp;D630</f>
        <v>UKCryptocurrency</v>
      </c>
      <c r="G630">
        <v>168</v>
      </c>
      <c r="H630" t="s">
        <v>57</v>
      </c>
    </row>
    <row r="631" spans="1:8">
      <c r="A631">
        <v>8703</v>
      </c>
      <c r="B631" t="s">
        <v>254</v>
      </c>
      <c r="C631" t="s">
        <v>43</v>
      </c>
      <c r="D631" t="s">
        <v>28</v>
      </c>
      <c r="E631">
        <v>15.99</v>
      </c>
      <c r="F631" t="str">
        <f>C631&amp;D631</f>
        <v>CanadaPayPal</v>
      </c>
      <c r="G631">
        <v>336</v>
      </c>
      <c r="H631" t="s">
        <v>45</v>
      </c>
    </row>
    <row r="632" spans="1:8">
      <c r="A632">
        <v>2536</v>
      </c>
      <c r="B632" t="s">
        <v>272</v>
      </c>
      <c r="C632" t="s">
        <v>92</v>
      </c>
      <c r="D632" t="s">
        <v>75</v>
      </c>
      <c r="E632">
        <v>15.99</v>
      </c>
      <c r="F632" t="str">
        <f>C632&amp;D632</f>
        <v>FranceCryptocurrency</v>
      </c>
      <c r="G632">
        <v>212</v>
      </c>
      <c r="H632" t="s">
        <v>45</v>
      </c>
    </row>
    <row r="633" spans="1:8">
      <c r="A633">
        <v>2057</v>
      </c>
      <c r="B633" t="s">
        <v>604</v>
      </c>
      <c r="C633" t="s">
        <v>27</v>
      </c>
      <c r="D633" t="s">
        <v>56</v>
      </c>
      <c r="E633">
        <v>7.99</v>
      </c>
      <c r="F633" t="str">
        <f>C633&amp;D633</f>
        <v>USACredit Card</v>
      </c>
      <c r="G633">
        <v>185</v>
      </c>
      <c r="H633" t="s">
        <v>45</v>
      </c>
    </row>
    <row r="634" spans="1:8">
      <c r="A634">
        <v>5627</v>
      </c>
      <c r="B634" t="s">
        <v>606</v>
      </c>
      <c r="C634" t="s">
        <v>27</v>
      </c>
      <c r="D634" t="s">
        <v>75</v>
      </c>
      <c r="E634">
        <v>11.99</v>
      </c>
      <c r="F634" t="str">
        <f>C634&amp;D634</f>
        <v>USACryptocurrency</v>
      </c>
      <c r="G634">
        <v>124</v>
      </c>
      <c r="H634" t="s">
        <v>29</v>
      </c>
    </row>
    <row r="635" spans="1:8">
      <c r="A635">
        <v>4763</v>
      </c>
      <c r="B635" t="s">
        <v>266</v>
      </c>
      <c r="C635" t="s">
        <v>68</v>
      </c>
      <c r="D635" t="s">
        <v>44</v>
      </c>
      <c r="E635">
        <v>15.99</v>
      </c>
      <c r="F635" t="str">
        <f>C635&amp;D635</f>
        <v>AustraliaDebit Card</v>
      </c>
      <c r="G635">
        <v>256</v>
      </c>
      <c r="H635" t="s">
        <v>45</v>
      </c>
    </row>
    <row r="636" spans="1:8">
      <c r="A636">
        <v>4577</v>
      </c>
      <c r="B636" t="s">
        <v>190</v>
      </c>
      <c r="C636" t="s">
        <v>49</v>
      </c>
      <c r="D636" t="s">
        <v>56</v>
      </c>
      <c r="E636">
        <v>11.99</v>
      </c>
      <c r="F636" t="str">
        <f>C636&amp;D636</f>
        <v>UKCredit Card</v>
      </c>
      <c r="G636">
        <v>58</v>
      </c>
      <c r="H636" t="s">
        <v>64</v>
      </c>
    </row>
    <row r="637" spans="1:8">
      <c r="A637">
        <v>5216</v>
      </c>
      <c r="B637" t="s">
        <v>367</v>
      </c>
      <c r="C637" t="s">
        <v>27</v>
      </c>
      <c r="D637" t="s">
        <v>44</v>
      </c>
      <c r="E637">
        <v>15.99</v>
      </c>
      <c r="F637" t="str">
        <f>C637&amp;D637</f>
        <v>USADebit Card</v>
      </c>
      <c r="G637">
        <v>135</v>
      </c>
      <c r="H637" t="s">
        <v>29</v>
      </c>
    </row>
    <row r="638" spans="1:8">
      <c r="A638">
        <v>3941</v>
      </c>
      <c r="B638" t="s">
        <v>608</v>
      </c>
      <c r="C638" t="s">
        <v>49</v>
      </c>
      <c r="D638" t="s">
        <v>75</v>
      </c>
      <c r="E638">
        <v>11.99</v>
      </c>
      <c r="F638" t="str">
        <f>C638&amp;D638</f>
        <v>UKCryptocurrency</v>
      </c>
      <c r="G638">
        <v>163</v>
      </c>
      <c r="H638" t="s">
        <v>45</v>
      </c>
    </row>
    <row r="639" spans="1:8">
      <c r="A639">
        <v>4396</v>
      </c>
      <c r="B639" t="s">
        <v>234</v>
      </c>
      <c r="C639" t="s">
        <v>43</v>
      </c>
      <c r="D639" t="s">
        <v>56</v>
      </c>
      <c r="E639">
        <v>15.99</v>
      </c>
      <c r="F639" t="str">
        <f>C639&amp;D639</f>
        <v>CanadaCredit Card</v>
      </c>
      <c r="G639">
        <v>120</v>
      </c>
      <c r="H639" t="s">
        <v>64</v>
      </c>
    </row>
    <row r="640" spans="1:8">
      <c r="A640">
        <v>4865</v>
      </c>
      <c r="B640" t="s">
        <v>98</v>
      </c>
      <c r="C640" t="s">
        <v>92</v>
      </c>
      <c r="D640" t="s">
        <v>28</v>
      </c>
      <c r="E640">
        <v>7.99</v>
      </c>
      <c r="F640" t="str">
        <f>C640&amp;D640</f>
        <v>FrancePayPal</v>
      </c>
      <c r="G640">
        <v>439</v>
      </c>
      <c r="H640" t="s">
        <v>29</v>
      </c>
    </row>
    <row r="641" spans="1:8">
      <c r="A641">
        <v>2497</v>
      </c>
      <c r="B641" t="s">
        <v>382</v>
      </c>
      <c r="C641" t="s">
        <v>49</v>
      </c>
      <c r="D641" t="s">
        <v>56</v>
      </c>
      <c r="E641">
        <v>7.99</v>
      </c>
      <c r="F641" t="str">
        <f>C641&amp;D641</f>
        <v>UKCredit Card</v>
      </c>
      <c r="G641">
        <v>223</v>
      </c>
      <c r="H641" t="s">
        <v>29</v>
      </c>
    </row>
    <row r="642" spans="1:8">
      <c r="A642">
        <v>4945</v>
      </c>
      <c r="B642" t="s">
        <v>313</v>
      </c>
      <c r="C642" t="s">
        <v>43</v>
      </c>
      <c r="D642" t="s">
        <v>28</v>
      </c>
      <c r="E642">
        <v>11.99</v>
      </c>
      <c r="F642" t="str">
        <f>C642&amp;D642</f>
        <v>CanadaPayPal</v>
      </c>
      <c r="G642">
        <v>485</v>
      </c>
      <c r="H642" t="s">
        <v>57</v>
      </c>
    </row>
    <row r="643" spans="1:8">
      <c r="A643">
        <v>5227</v>
      </c>
      <c r="B643" t="s">
        <v>610</v>
      </c>
      <c r="C643" t="s">
        <v>27</v>
      </c>
      <c r="D643" t="s">
        <v>75</v>
      </c>
      <c r="E643">
        <v>7.99</v>
      </c>
      <c r="F643" t="str">
        <f>C643&amp;D643</f>
        <v>USACryptocurrency</v>
      </c>
      <c r="G643">
        <v>474</v>
      </c>
      <c r="H643" t="s">
        <v>29</v>
      </c>
    </row>
    <row r="644" spans="1:8">
      <c r="A644">
        <v>2150</v>
      </c>
      <c r="B644" t="s">
        <v>311</v>
      </c>
      <c r="C644" t="s">
        <v>27</v>
      </c>
      <c r="D644" t="s">
        <v>75</v>
      </c>
      <c r="E644">
        <v>11.99</v>
      </c>
      <c r="F644" t="str">
        <f>C644&amp;D644</f>
        <v>USACryptocurrency</v>
      </c>
      <c r="G644">
        <v>259</v>
      </c>
      <c r="H644" t="s">
        <v>45</v>
      </c>
    </row>
    <row r="645" spans="1:8">
      <c r="A645">
        <v>7145</v>
      </c>
      <c r="B645" t="s">
        <v>612</v>
      </c>
      <c r="C645" t="s">
        <v>27</v>
      </c>
      <c r="D645" t="s">
        <v>28</v>
      </c>
      <c r="E645">
        <v>7.99</v>
      </c>
      <c r="F645" t="str">
        <f>C645&amp;D645</f>
        <v>USAPayPal</v>
      </c>
      <c r="G645">
        <v>53</v>
      </c>
      <c r="H645" t="s">
        <v>57</v>
      </c>
    </row>
    <row r="646" spans="1:8">
      <c r="A646">
        <v>2040</v>
      </c>
      <c r="B646" t="s">
        <v>613</v>
      </c>
      <c r="C646" t="s">
        <v>68</v>
      </c>
      <c r="D646" t="s">
        <v>75</v>
      </c>
      <c r="E646">
        <v>7.99</v>
      </c>
      <c r="F646" t="str">
        <f>C646&amp;D646</f>
        <v>AustraliaCryptocurrency</v>
      </c>
      <c r="G646">
        <v>221</v>
      </c>
      <c r="H646" t="s">
        <v>64</v>
      </c>
    </row>
    <row r="647" spans="1:8">
      <c r="A647">
        <v>4191</v>
      </c>
      <c r="B647" t="s">
        <v>270</v>
      </c>
      <c r="C647" t="s">
        <v>74</v>
      </c>
      <c r="D647" t="s">
        <v>75</v>
      </c>
      <c r="E647">
        <v>7.99</v>
      </c>
      <c r="F647" t="str">
        <f>C647&amp;D647</f>
        <v>GermanyCryptocurrency</v>
      </c>
      <c r="G647">
        <v>46</v>
      </c>
      <c r="H647" t="s">
        <v>29</v>
      </c>
    </row>
    <row r="648" spans="1:8">
      <c r="A648">
        <v>4336</v>
      </c>
      <c r="B648" t="s">
        <v>88</v>
      </c>
      <c r="C648" t="s">
        <v>49</v>
      </c>
      <c r="D648" t="s">
        <v>75</v>
      </c>
      <c r="E648">
        <v>15.99</v>
      </c>
      <c r="F648" t="str">
        <f>C648&amp;D648</f>
        <v>UKCryptocurrency</v>
      </c>
      <c r="G648">
        <v>253</v>
      </c>
      <c r="H648" t="s">
        <v>29</v>
      </c>
    </row>
    <row r="649" spans="1:8">
      <c r="A649">
        <v>5438</v>
      </c>
      <c r="B649" t="s">
        <v>411</v>
      </c>
      <c r="C649" t="s">
        <v>92</v>
      </c>
      <c r="D649" t="s">
        <v>44</v>
      </c>
      <c r="E649">
        <v>11.99</v>
      </c>
      <c r="F649" t="str">
        <f>C649&amp;D649</f>
        <v>FranceDebit Card</v>
      </c>
      <c r="G649">
        <v>478</v>
      </c>
      <c r="H649" t="s">
        <v>29</v>
      </c>
    </row>
    <row r="650" spans="1:8">
      <c r="A650">
        <v>9857</v>
      </c>
      <c r="B650" t="s">
        <v>247</v>
      </c>
      <c r="C650" t="s">
        <v>74</v>
      </c>
      <c r="D650" t="s">
        <v>75</v>
      </c>
      <c r="E650">
        <v>7.99</v>
      </c>
      <c r="F650" t="str">
        <f>C650&amp;D650</f>
        <v>GermanyCryptocurrency</v>
      </c>
      <c r="G650">
        <v>145</v>
      </c>
      <c r="H650" t="s">
        <v>78</v>
      </c>
    </row>
    <row r="651" spans="1:8">
      <c r="A651">
        <v>4767</v>
      </c>
      <c r="B651" t="s">
        <v>98</v>
      </c>
      <c r="C651" t="s">
        <v>68</v>
      </c>
      <c r="D651" t="s">
        <v>75</v>
      </c>
      <c r="E651">
        <v>15.99</v>
      </c>
      <c r="F651" t="str">
        <f>C651&amp;D651</f>
        <v>AustraliaCryptocurrency</v>
      </c>
      <c r="G651">
        <v>366</v>
      </c>
      <c r="H651" t="s">
        <v>78</v>
      </c>
    </row>
    <row r="652" spans="1:8">
      <c r="A652">
        <v>9374</v>
      </c>
      <c r="B652" t="s">
        <v>224</v>
      </c>
      <c r="C652" t="s">
        <v>27</v>
      </c>
      <c r="D652" t="s">
        <v>44</v>
      </c>
      <c r="E652">
        <v>15.99</v>
      </c>
      <c r="F652" t="str">
        <f>C652&amp;D652</f>
        <v>USADebit Card</v>
      </c>
      <c r="G652">
        <v>301</v>
      </c>
      <c r="H652" t="s">
        <v>64</v>
      </c>
    </row>
    <row r="653" spans="1:8">
      <c r="A653">
        <v>3918</v>
      </c>
      <c r="B653" t="s">
        <v>88</v>
      </c>
      <c r="C653" t="s">
        <v>49</v>
      </c>
      <c r="D653" t="s">
        <v>44</v>
      </c>
      <c r="E653">
        <v>7.99</v>
      </c>
      <c r="F653" t="str">
        <f>C653&amp;D653</f>
        <v>UKDebit Card</v>
      </c>
      <c r="G653">
        <v>26</v>
      </c>
      <c r="H653" t="s">
        <v>45</v>
      </c>
    </row>
    <row r="654" spans="1:8">
      <c r="A654">
        <v>9866</v>
      </c>
      <c r="B654" t="s">
        <v>138</v>
      </c>
      <c r="C654" t="s">
        <v>27</v>
      </c>
      <c r="D654" t="s">
        <v>56</v>
      </c>
      <c r="E654">
        <v>11.99</v>
      </c>
      <c r="F654" t="str">
        <f>C654&amp;D654</f>
        <v>USACredit Card</v>
      </c>
      <c r="G654">
        <v>208</v>
      </c>
      <c r="H654" t="s">
        <v>64</v>
      </c>
    </row>
    <row r="655" spans="1:8">
      <c r="A655">
        <v>6389</v>
      </c>
      <c r="B655" t="s">
        <v>541</v>
      </c>
      <c r="C655" t="s">
        <v>43</v>
      </c>
      <c r="D655" t="s">
        <v>28</v>
      </c>
      <c r="E655">
        <v>11.99</v>
      </c>
      <c r="F655" t="str">
        <f>C655&amp;D655</f>
        <v>CanadaPayPal</v>
      </c>
      <c r="G655">
        <v>109</v>
      </c>
      <c r="H655" t="s">
        <v>29</v>
      </c>
    </row>
    <row r="656" spans="1:8">
      <c r="A656">
        <v>8733</v>
      </c>
      <c r="B656" t="s">
        <v>294</v>
      </c>
      <c r="C656" t="s">
        <v>68</v>
      </c>
      <c r="D656" t="s">
        <v>44</v>
      </c>
      <c r="E656">
        <v>15.99</v>
      </c>
      <c r="F656" t="str">
        <f>C656&amp;D656</f>
        <v>AustraliaDebit Card</v>
      </c>
      <c r="G656">
        <v>451</v>
      </c>
      <c r="H656" t="s">
        <v>64</v>
      </c>
    </row>
    <row r="657" spans="1:8">
      <c r="A657">
        <v>8105</v>
      </c>
      <c r="B657" t="s">
        <v>52</v>
      </c>
      <c r="C657" t="s">
        <v>55</v>
      </c>
      <c r="D657" t="s">
        <v>56</v>
      </c>
      <c r="E657">
        <v>15.99</v>
      </c>
      <c r="F657" t="str">
        <f>C657&amp;D657</f>
        <v>IndiaCredit Card</v>
      </c>
      <c r="G657">
        <v>33</v>
      </c>
      <c r="H657" t="s">
        <v>29</v>
      </c>
    </row>
    <row r="658" spans="1:8">
      <c r="A658">
        <v>3443</v>
      </c>
      <c r="B658" t="s">
        <v>190</v>
      </c>
      <c r="C658" t="s">
        <v>68</v>
      </c>
      <c r="D658" t="s">
        <v>75</v>
      </c>
      <c r="E658">
        <v>15.99</v>
      </c>
      <c r="F658" t="str">
        <f>C658&amp;D658</f>
        <v>AustraliaCryptocurrency</v>
      </c>
      <c r="G658">
        <v>467</v>
      </c>
      <c r="H658" t="s">
        <v>78</v>
      </c>
    </row>
    <row r="659" spans="1:8">
      <c r="A659">
        <v>2664</v>
      </c>
      <c r="B659" t="s">
        <v>98</v>
      </c>
      <c r="C659" t="s">
        <v>74</v>
      </c>
      <c r="D659" t="s">
        <v>56</v>
      </c>
      <c r="E659">
        <v>7.99</v>
      </c>
      <c r="F659" t="str">
        <f>C659&amp;D659</f>
        <v>GermanyCredit Card</v>
      </c>
      <c r="G659">
        <v>123</v>
      </c>
      <c r="H659" t="s">
        <v>37</v>
      </c>
    </row>
    <row r="660" spans="1:8">
      <c r="A660">
        <v>1782</v>
      </c>
      <c r="B660" t="s">
        <v>617</v>
      </c>
      <c r="C660" t="s">
        <v>55</v>
      </c>
      <c r="D660" t="s">
        <v>44</v>
      </c>
      <c r="E660">
        <v>15.99</v>
      </c>
      <c r="F660" t="str">
        <f>C660&amp;D660</f>
        <v>IndiaDebit Card</v>
      </c>
      <c r="G660">
        <v>139</v>
      </c>
      <c r="H660" t="s">
        <v>57</v>
      </c>
    </row>
    <row r="661" spans="1:8">
      <c r="A661">
        <v>1337</v>
      </c>
      <c r="B661" t="s">
        <v>618</v>
      </c>
      <c r="C661" t="s">
        <v>74</v>
      </c>
      <c r="D661" t="s">
        <v>28</v>
      </c>
      <c r="E661">
        <v>7.99</v>
      </c>
      <c r="F661" t="str">
        <f>C661&amp;D661</f>
        <v>GermanyPayPal</v>
      </c>
      <c r="G661">
        <v>103</v>
      </c>
      <c r="H661" t="s">
        <v>37</v>
      </c>
    </row>
    <row r="662" spans="1:8">
      <c r="A662">
        <v>5901</v>
      </c>
      <c r="B662" t="s">
        <v>41</v>
      </c>
      <c r="C662" t="s">
        <v>92</v>
      </c>
      <c r="D662" t="s">
        <v>75</v>
      </c>
      <c r="E662">
        <v>7.99</v>
      </c>
      <c r="F662" t="str">
        <f>C662&amp;D662</f>
        <v>FranceCryptocurrency</v>
      </c>
      <c r="G662">
        <v>207</v>
      </c>
      <c r="H662" t="s">
        <v>29</v>
      </c>
    </row>
    <row r="663" spans="1:8">
      <c r="A663">
        <v>2731</v>
      </c>
      <c r="B663" t="s">
        <v>619</v>
      </c>
      <c r="C663" t="s">
        <v>49</v>
      </c>
      <c r="D663" t="s">
        <v>28</v>
      </c>
      <c r="E663">
        <v>15.99</v>
      </c>
      <c r="F663" t="str">
        <f>C663&amp;D663</f>
        <v>UKPayPal</v>
      </c>
      <c r="G663">
        <v>267</v>
      </c>
      <c r="H663" t="s">
        <v>78</v>
      </c>
    </row>
    <row r="664" spans="1:8">
      <c r="A664">
        <v>8307</v>
      </c>
      <c r="B664" t="s">
        <v>245</v>
      </c>
      <c r="C664" t="s">
        <v>43</v>
      </c>
      <c r="D664" t="s">
        <v>44</v>
      </c>
      <c r="E664">
        <v>7.99</v>
      </c>
      <c r="F664" t="str">
        <f>C664&amp;D664</f>
        <v>CanadaDebit Card</v>
      </c>
      <c r="G664">
        <v>266</v>
      </c>
      <c r="H664" t="s">
        <v>45</v>
      </c>
    </row>
    <row r="665" spans="1:8">
      <c r="A665">
        <v>8019</v>
      </c>
      <c r="B665" t="s">
        <v>620</v>
      </c>
      <c r="C665" t="s">
        <v>43</v>
      </c>
      <c r="D665" t="s">
        <v>28</v>
      </c>
      <c r="E665">
        <v>11.99</v>
      </c>
      <c r="F665" t="str">
        <f>C665&amp;D665</f>
        <v>CanadaPayPal</v>
      </c>
      <c r="G665">
        <v>240</v>
      </c>
      <c r="H665" t="s">
        <v>37</v>
      </c>
    </row>
    <row r="666" spans="1:8">
      <c r="A666">
        <v>4847</v>
      </c>
      <c r="B666" t="s">
        <v>238</v>
      </c>
      <c r="C666" t="s">
        <v>55</v>
      </c>
      <c r="D666" t="s">
        <v>28</v>
      </c>
      <c r="E666">
        <v>15.99</v>
      </c>
      <c r="F666" t="str">
        <f>C666&amp;D666</f>
        <v>IndiaPayPal</v>
      </c>
      <c r="G666">
        <v>315</v>
      </c>
      <c r="H666" t="s">
        <v>64</v>
      </c>
    </row>
    <row r="667" spans="1:8">
      <c r="A667">
        <v>9822</v>
      </c>
      <c r="B667" t="s">
        <v>212</v>
      </c>
      <c r="C667" t="s">
        <v>55</v>
      </c>
      <c r="D667" t="s">
        <v>75</v>
      </c>
      <c r="E667">
        <v>7.99</v>
      </c>
      <c r="F667" t="str">
        <f>C667&amp;D667</f>
        <v>IndiaCryptocurrency</v>
      </c>
      <c r="G667">
        <v>276</v>
      </c>
      <c r="H667" t="s">
        <v>37</v>
      </c>
    </row>
    <row r="668" spans="1:8">
      <c r="A668">
        <v>9141</v>
      </c>
      <c r="B668" t="s">
        <v>621</v>
      </c>
      <c r="C668" t="s">
        <v>43</v>
      </c>
      <c r="D668" t="s">
        <v>75</v>
      </c>
      <c r="E668">
        <v>7.99</v>
      </c>
      <c r="F668" t="str">
        <f>C668&amp;D668</f>
        <v>CanadaCryptocurrency</v>
      </c>
      <c r="G668">
        <v>308</v>
      </c>
      <c r="H668" t="s">
        <v>78</v>
      </c>
    </row>
    <row r="669" spans="1:8">
      <c r="A669">
        <v>7539</v>
      </c>
      <c r="B669" t="s">
        <v>606</v>
      </c>
      <c r="C669" t="s">
        <v>74</v>
      </c>
      <c r="D669" t="s">
        <v>75</v>
      </c>
      <c r="E669">
        <v>7.99</v>
      </c>
      <c r="F669" t="str">
        <f>C669&amp;D669</f>
        <v>GermanyCryptocurrency</v>
      </c>
      <c r="G669">
        <v>297</v>
      </c>
      <c r="H669" t="s">
        <v>78</v>
      </c>
    </row>
    <row r="670" spans="1:8">
      <c r="A670">
        <v>1390</v>
      </c>
      <c r="B670" t="s">
        <v>623</v>
      </c>
      <c r="C670" t="s">
        <v>92</v>
      </c>
      <c r="D670" t="s">
        <v>44</v>
      </c>
      <c r="E670">
        <v>11.99</v>
      </c>
      <c r="F670" t="str">
        <f>C670&amp;D670</f>
        <v>FranceDebit Card</v>
      </c>
      <c r="G670">
        <v>326</v>
      </c>
      <c r="H670" t="s">
        <v>64</v>
      </c>
    </row>
    <row r="671" spans="1:8">
      <c r="A671">
        <v>9505</v>
      </c>
      <c r="B671" t="s">
        <v>284</v>
      </c>
      <c r="C671" t="s">
        <v>92</v>
      </c>
      <c r="D671" t="s">
        <v>44</v>
      </c>
      <c r="E671">
        <v>15.99</v>
      </c>
      <c r="F671" t="str">
        <f>C671&amp;D671</f>
        <v>FranceDebit Card</v>
      </c>
      <c r="G671">
        <v>352</v>
      </c>
      <c r="H671" t="s">
        <v>29</v>
      </c>
    </row>
    <row r="672" spans="1:8">
      <c r="A672">
        <v>6741</v>
      </c>
      <c r="B672" t="s">
        <v>259</v>
      </c>
      <c r="C672" t="s">
        <v>43</v>
      </c>
      <c r="D672" t="s">
        <v>75</v>
      </c>
      <c r="E672">
        <v>7.99</v>
      </c>
      <c r="F672" t="str">
        <f>C672&amp;D672</f>
        <v>CanadaCryptocurrency</v>
      </c>
      <c r="G672">
        <v>180</v>
      </c>
      <c r="H672" t="s">
        <v>78</v>
      </c>
    </row>
    <row r="673" spans="1:8">
      <c r="A673">
        <v>1790</v>
      </c>
      <c r="B673" t="s">
        <v>624</v>
      </c>
      <c r="C673" t="s">
        <v>74</v>
      </c>
      <c r="D673" t="s">
        <v>44</v>
      </c>
      <c r="E673">
        <v>11.99</v>
      </c>
      <c r="F673" t="str">
        <f>C673&amp;D673</f>
        <v>GermanyDebit Card</v>
      </c>
      <c r="G673">
        <v>362</v>
      </c>
      <c r="H673" t="s">
        <v>29</v>
      </c>
    </row>
    <row r="674" spans="1:8">
      <c r="A674">
        <v>6491</v>
      </c>
      <c r="B674" t="s">
        <v>625</v>
      </c>
      <c r="C674" t="s">
        <v>74</v>
      </c>
      <c r="D674" t="s">
        <v>56</v>
      </c>
      <c r="E674">
        <v>7.99</v>
      </c>
      <c r="F674" t="str">
        <f>C674&amp;D674</f>
        <v>GermanyCredit Card</v>
      </c>
      <c r="G674">
        <v>154</v>
      </c>
      <c r="H674" t="s">
        <v>64</v>
      </c>
    </row>
    <row r="675" spans="1:8">
      <c r="A675">
        <v>3102</v>
      </c>
      <c r="B675" t="s">
        <v>260</v>
      </c>
      <c r="C675" t="s">
        <v>27</v>
      </c>
      <c r="D675" t="s">
        <v>44</v>
      </c>
      <c r="E675">
        <v>7.99</v>
      </c>
      <c r="F675" t="str">
        <f>C675&amp;D675</f>
        <v>USADebit Card</v>
      </c>
      <c r="G675">
        <v>287</v>
      </c>
      <c r="H675" t="s">
        <v>29</v>
      </c>
    </row>
    <row r="676" spans="1:8">
      <c r="A676">
        <v>1300</v>
      </c>
      <c r="B676" t="s">
        <v>626</v>
      </c>
      <c r="C676" t="s">
        <v>92</v>
      </c>
      <c r="D676" t="s">
        <v>44</v>
      </c>
      <c r="E676">
        <v>11.99</v>
      </c>
      <c r="F676" t="str">
        <f>C676&amp;D676</f>
        <v>FranceDebit Card</v>
      </c>
      <c r="G676">
        <v>303</v>
      </c>
      <c r="H676" t="s">
        <v>64</v>
      </c>
    </row>
    <row r="677" spans="1:8">
      <c r="A677">
        <v>5410</v>
      </c>
      <c r="B677" t="s">
        <v>628</v>
      </c>
      <c r="C677" t="s">
        <v>68</v>
      </c>
      <c r="D677" t="s">
        <v>75</v>
      </c>
      <c r="E677">
        <v>15.99</v>
      </c>
      <c r="F677" t="str">
        <f>C677&amp;D677</f>
        <v>AustraliaCryptocurrency</v>
      </c>
      <c r="G677">
        <v>447</v>
      </c>
      <c r="H677" t="s">
        <v>45</v>
      </c>
    </row>
    <row r="678" spans="1:8">
      <c r="A678">
        <v>2714</v>
      </c>
      <c r="B678" t="s">
        <v>629</v>
      </c>
      <c r="C678" t="s">
        <v>74</v>
      </c>
      <c r="D678" t="s">
        <v>56</v>
      </c>
      <c r="E678">
        <v>11.99</v>
      </c>
      <c r="F678" t="str">
        <f>C678&amp;D678</f>
        <v>GermanyCredit Card</v>
      </c>
      <c r="G678">
        <v>480</v>
      </c>
      <c r="H678" t="s">
        <v>78</v>
      </c>
    </row>
    <row r="679" spans="1:8">
      <c r="A679">
        <v>4700</v>
      </c>
      <c r="B679" t="s">
        <v>179</v>
      </c>
      <c r="C679" t="s">
        <v>49</v>
      </c>
      <c r="D679" t="s">
        <v>75</v>
      </c>
      <c r="E679">
        <v>7.99</v>
      </c>
      <c r="F679" t="str">
        <f>C679&amp;D679</f>
        <v>UKCryptocurrency</v>
      </c>
      <c r="G679">
        <v>438</v>
      </c>
      <c r="H679" t="s">
        <v>78</v>
      </c>
    </row>
    <row r="680" spans="1:8">
      <c r="A680">
        <v>7589</v>
      </c>
      <c r="B680" t="s">
        <v>280</v>
      </c>
      <c r="C680" t="s">
        <v>74</v>
      </c>
      <c r="D680" t="s">
        <v>28</v>
      </c>
      <c r="E680">
        <v>15.99</v>
      </c>
      <c r="F680" t="str">
        <f>C680&amp;D680</f>
        <v>GermanyPayPal</v>
      </c>
      <c r="G680">
        <v>295</v>
      </c>
      <c r="H680" t="s">
        <v>37</v>
      </c>
    </row>
    <row r="681" spans="1:8">
      <c r="A681">
        <v>6866</v>
      </c>
      <c r="B681" t="s">
        <v>199</v>
      </c>
      <c r="C681" t="s">
        <v>27</v>
      </c>
      <c r="D681" t="s">
        <v>56</v>
      </c>
      <c r="E681">
        <v>11.99</v>
      </c>
      <c r="F681" t="str">
        <f>C681&amp;D681</f>
        <v>USACredit Card</v>
      </c>
      <c r="G681">
        <v>479</v>
      </c>
      <c r="H681" t="s">
        <v>64</v>
      </c>
    </row>
    <row r="682" spans="1:8">
      <c r="A682">
        <v>6960</v>
      </c>
      <c r="B682" t="s">
        <v>630</v>
      </c>
      <c r="C682" t="s">
        <v>92</v>
      </c>
      <c r="D682" t="s">
        <v>28</v>
      </c>
      <c r="E682">
        <v>15.99</v>
      </c>
      <c r="F682" t="str">
        <f>C682&amp;D682</f>
        <v>FrancePayPal</v>
      </c>
      <c r="G682">
        <v>214</v>
      </c>
      <c r="H682" t="s">
        <v>78</v>
      </c>
    </row>
    <row r="683" spans="1:8">
      <c r="A683">
        <v>5808</v>
      </c>
      <c r="B683" t="s">
        <v>491</v>
      </c>
      <c r="C683" t="s">
        <v>27</v>
      </c>
      <c r="D683" t="s">
        <v>75</v>
      </c>
      <c r="E683">
        <v>15.99</v>
      </c>
      <c r="F683" t="str">
        <f>C683&amp;D683</f>
        <v>USACryptocurrency</v>
      </c>
      <c r="G683">
        <v>69</v>
      </c>
      <c r="H683" t="s">
        <v>45</v>
      </c>
    </row>
    <row r="684" spans="1:8">
      <c r="A684">
        <v>5525</v>
      </c>
      <c r="B684" t="s">
        <v>224</v>
      </c>
      <c r="C684" t="s">
        <v>74</v>
      </c>
      <c r="D684" t="s">
        <v>75</v>
      </c>
      <c r="E684">
        <v>15.99</v>
      </c>
      <c r="F684" t="str">
        <f>C684&amp;D684</f>
        <v>GermanyCryptocurrency</v>
      </c>
      <c r="G684">
        <v>344</v>
      </c>
      <c r="H684" t="s">
        <v>37</v>
      </c>
    </row>
    <row r="685" spans="1:8">
      <c r="A685">
        <v>1272</v>
      </c>
      <c r="B685" t="s">
        <v>272</v>
      </c>
      <c r="C685" t="s">
        <v>49</v>
      </c>
      <c r="D685" t="s">
        <v>75</v>
      </c>
      <c r="E685">
        <v>15.99</v>
      </c>
      <c r="F685" t="str">
        <f>C685&amp;D685</f>
        <v>UKCryptocurrency</v>
      </c>
      <c r="G685">
        <v>163</v>
      </c>
      <c r="H685" t="s">
        <v>45</v>
      </c>
    </row>
    <row r="686" spans="1:8">
      <c r="A686">
        <v>8063</v>
      </c>
      <c r="B686" t="s">
        <v>304</v>
      </c>
      <c r="C686" t="s">
        <v>43</v>
      </c>
      <c r="D686" t="s">
        <v>28</v>
      </c>
      <c r="E686">
        <v>7.99</v>
      </c>
      <c r="F686" t="str">
        <f>C686&amp;D686</f>
        <v>CanadaPayPal</v>
      </c>
      <c r="G686">
        <v>217</v>
      </c>
      <c r="H686" t="s">
        <v>57</v>
      </c>
    </row>
    <row r="687" spans="1:8">
      <c r="A687">
        <v>1856</v>
      </c>
      <c r="B687" t="s">
        <v>631</v>
      </c>
      <c r="C687" t="s">
        <v>74</v>
      </c>
      <c r="D687" t="s">
        <v>44</v>
      </c>
      <c r="E687">
        <v>15.99</v>
      </c>
      <c r="F687" t="str">
        <f>C687&amp;D687</f>
        <v>GermanyDebit Card</v>
      </c>
      <c r="G687">
        <v>177</v>
      </c>
      <c r="H687" t="s">
        <v>57</v>
      </c>
    </row>
    <row r="688" spans="1:8">
      <c r="A688">
        <v>2830</v>
      </c>
      <c r="B688" t="s">
        <v>579</v>
      </c>
      <c r="C688" t="s">
        <v>55</v>
      </c>
      <c r="D688" t="s">
        <v>75</v>
      </c>
      <c r="E688">
        <v>11.99</v>
      </c>
      <c r="F688" t="str">
        <f>C688&amp;D688</f>
        <v>IndiaCryptocurrency</v>
      </c>
      <c r="G688">
        <v>304</v>
      </c>
      <c r="H688" t="s">
        <v>78</v>
      </c>
    </row>
    <row r="689" spans="1:8">
      <c r="A689">
        <v>3287</v>
      </c>
      <c r="B689" t="s">
        <v>508</v>
      </c>
      <c r="C689" t="s">
        <v>92</v>
      </c>
      <c r="D689" t="s">
        <v>28</v>
      </c>
      <c r="E689">
        <v>15.99</v>
      </c>
      <c r="F689" t="str">
        <f>C689&amp;D689</f>
        <v>FrancePayPal</v>
      </c>
      <c r="G689">
        <v>90</v>
      </c>
      <c r="H689" t="s">
        <v>45</v>
      </c>
    </row>
    <row r="690" spans="1:8">
      <c r="A690">
        <v>5679</v>
      </c>
      <c r="B690" t="s">
        <v>444</v>
      </c>
      <c r="C690" t="s">
        <v>49</v>
      </c>
      <c r="D690" t="s">
        <v>75</v>
      </c>
      <c r="E690">
        <v>15.99</v>
      </c>
      <c r="F690" t="str">
        <f>C690&amp;D690</f>
        <v>UKCryptocurrency</v>
      </c>
      <c r="G690">
        <v>108</v>
      </c>
      <c r="H690" t="s">
        <v>45</v>
      </c>
    </row>
    <row r="691" spans="1:8">
      <c r="A691">
        <v>6399</v>
      </c>
      <c r="B691" t="s">
        <v>157</v>
      </c>
      <c r="C691" t="s">
        <v>27</v>
      </c>
      <c r="D691" t="s">
        <v>56</v>
      </c>
      <c r="E691">
        <v>11.99</v>
      </c>
      <c r="F691" t="str">
        <f>C691&amp;D691</f>
        <v>USACredit Card</v>
      </c>
      <c r="G691">
        <v>96</v>
      </c>
      <c r="H691" t="s">
        <v>78</v>
      </c>
    </row>
    <row r="692" spans="1:8">
      <c r="A692">
        <v>8753</v>
      </c>
      <c r="B692" t="s">
        <v>257</v>
      </c>
      <c r="C692" t="s">
        <v>74</v>
      </c>
      <c r="D692" t="s">
        <v>44</v>
      </c>
      <c r="E692">
        <v>11.99</v>
      </c>
      <c r="F692" t="str">
        <f>C692&amp;D692</f>
        <v>GermanyDebit Card</v>
      </c>
      <c r="G692">
        <v>247</v>
      </c>
      <c r="H692" t="s">
        <v>78</v>
      </c>
    </row>
    <row r="693" spans="1:8">
      <c r="A693">
        <v>9267</v>
      </c>
      <c r="B693" t="s">
        <v>284</v>
      </c>
      <c r="C693" t="s">
        <v>55</v>
      </c>
      <c r="D693" t="s">
        <v>44</v>
      </c>
      <c r="E693">
        <v>15.99</v>
      </c>
      <c r="F693" t="str">
        <f>C693&amp;D693</f>
        <v>IndiaDebit Card</v>
      </c>
      <c r="G693">
        <v>245</v>
      </c>
      <c r="H693" t="s">
        <v>45</v>
      </c>
    </row>
    <row r="694" spans="1:8">
      <c r="A694">
        <v>9846</v>
      </c>
      <c r="B694" t="s">
        <v>128</v>
      </c>
      <c r="C694" t="s">
        <v>92</v>
      </c>
      <c r="D694" t="s">
        <v>28</v>
      </c>
      <c r="E694">
        <v>7.99</v>
      </c>
      <c r="F694" t="str">
        <f>C694&amp;D694</f>
        <v>FrancePayPal</v>
      </c>
      <c r="G694">
        <v>366</v>
      </c>
      <c r="H694" t="s">
        <v>57</v>
      </c>
    </row>
    <row r="695" spans="1:8">
      <c r="A695">
        <v>2382</v>
      </c>
      <c r="B695" t="s">
        <v>584</v>
      </c>
      <c r="C695" t="s">
        <v>55</v>
      </c>
      <c r="D695" t="s">
        <v>75</v>
      </c>
      <c r="E695">
        <v>15.99</v>
      </c>
      <c r="F695" t="str">
        <f>C695&amp;D695</f>
        <v>IndiaCryptocurrency</v>
      </c>
      <c r="G695">
        <v>170</v>
      </c>
      <c r="H695" t="s">
        <v>29</v>
      </c>
    </row>
    <row r="696" spans="1:8">
      <c r="A696">
        <v>3593</v>
      </c>
      <c r="B696" t="s">
        <v>335</v>
      </c>
      <c r="C696" t="s">
        <v>55</v>
      </c>
      <c r="D696" t="s">
        <v>75</v>
      </c>
      <c r="E696">
        <v>7.99</v>
      </c>
      <c r="F696" t="str">
        <f>C696&amp;D696</f>
        <v>IndiaCryptocurrency</v>
      </c>
      <c r="G696">
        <v>447</v>
      </c>
      <c r="H696" t="s">
        <v>29</v>
      </c>
    </row>
    <row r="697" spans="1:8">
      <c r="A697">
        <v>4097</v>
      </c>
      <c r="B697" t="s">
        <v>280</v>
      </c>
      <c r="C697" t="s">
        <v>68</v>
      </c>
      <c r="D697" t="s">
        <v>28</v>
      </c>
      <c r="E697">
        <v>7.99</v>
      </c>
      <c r="F697" t="str">
        <f>C697&amp;D697</f>
        <v>AustraliaPayPal</v>
      </c>
      <c r="G697">
        <v>369</v>
      </c>
      <c r="H697" t="s">
        <v>29</v>
      </c>
    </row>
    <row r="698" spans="1:8">
      <c r="A698">
        <v>2886</v>
      </c>
      <c r="B698" t="s">
        <v>106</v>
      </c>
      <c r="C698" t="s">
        <v>74</v>
      </c>
      <c r="D698" t="s">
        <v>75</v>
      </c>
      <c r="E698">
        <v>15.99</v>
      </c>
      <c r="F698" t="str">
        <f>C698&amp;D698</f>
        <v>GermanyCryptocurrency</v>
      </c>
      <c r="G698">
        <v>62</v>
      </c>
      <c r="H698" t="s">
        <v>37</v>
      </c>
    </row>
    <row r="699" spans="1:8">
      <c r="A699">
        <v>3255</v>
      </c>
      <c r="B699" t="s">
        <v>547</v>
      </c>
      <c r="C699" t="s">
        <v>92</v>
      </c>
      <c r="D699" t="s">
        <v>44</v>
      </c>
      <c r="E699">
        <v>7.99</v>
      </c>
      <c r="F699" t="str">
        <f>C699&amp;D699</f>
        <v>FranceDebit Card</v>
      </c>
      <c r="G699">
        <v>294</v>
      </c>
      <c r="H699" t="s">
        <v>57</v>
      </c>
    </row>
    <row r="700" spans="1:8">
      <c r="A700">
        <v>6752</v>
      </c>
      <c r="B700" t="s">
        <v>194</v>
      </c>
      <c r="C700" t="s">
        <v>68</v>
      </c>
      <c r="D700" t="s">
        <v>56</v>
      </c>
      <c r="E700">
        <v>11.99</v>
      </c>
      <c r="F700" t="str">
        <f>C700&amp;D700</f>
        <v>AustraliaCredit Card</v>
      </c>
      <c r="G700">
        <v>10</v>
      </c>
      <c r="H700" t="s">
        <v>57</v>
      </c>
    </row>
    <row r="701" spans="1:8">
      <c r="A701">
        <v>7945</v>
      </c>
      <c r="B701" t="s">
        <v>631</v>
      </c>
      <c r="C701" t="s">
        <v>68</v>
      </c>
      <c r="D701" t="s">
        <v>44</v>
      </c>
      <c r="E701">
        <v>11.99</v>
      </c>
      <c r="F701" t="str">
        <f>C701&amp;D701</f>
        <v>AustraliaDebit Card</v>
      </c>
      <c r="G701">
        <v>389</v>
      </c>
      <c r="H701" t="s">
        <v>57</v>
      </c>
    </row>
    <row r="702" spans="1:8">
      <c r="A702">
        <v>6658</v>
      </c>
      <c r="B702" t="s">
        <v>157</v>
      </c>
      <c r="C702" t="s">
        <v>27</v>
      </c>
      <c r="D702" t="s">
        <v>44</v>
      </c>
      <c r="E702">
        <v>7.99</v>
      </c>
      <c r="F702" t="str">
        <f>C702&amp;D702</f>
        <v>USADebit Card</v>
      </c>
      <c r="G702">
        <v>55</v>
      </c>
      <c r="H702" t="s">
        <v>29</v>
      </c>
    </row>
    <row r="703" spans="1:8">
      <c r="A703">
        <v>5468</v>
      </c>
      <c r="B703" t="s">
        <v>635</v>
      </c>
      <c r="C703" t="s">
        <v>27</v>
      </c>
      <c r="D703" t="s">
        <v>28</v>
      </c>
      <c r="E703">
        <v>11.99</v>
      </c>
      <c r="F703" t="str">
        <f>C703&amp;D703</f>
        <v>USAPayPal</v>
      </c>
      <c r="G703">
        <v>208</v>
      </c>
      <c r="H703" t="s">
        <v>29</v>
      </c>
    </row>
    <row r="704" spans="1:8">
      <c r="A704">
        <v>7451</v>
      </c>
      <c r="B704" t="s">
        <v>244</v>
      </c>
      <c r="C704" t="s">
        <v>43</v>
      </c>
      <c r="D704" t="s">
        <v>44</v>
      </c>
      <c r="E704">
        <v>15.99</v>
      </c>
      <c r="F704" t="str">
        <f>C704&amp;D704</f>
        <v>CanadaDebit Card</v>
      </c>
      <c r="G704">
        <v>198</v>
      </c>
      <c r="H704" t="s">
        <v>78</v>
      </c>
    </row>
    <row r="705" spans="1:8">
      <c r="A705">
        <v>1253</v>
      </c>
      <c r="B705" t="s">
        <v>157</v>
      </c>
      <c r="C705" t="s">
        <v>92</v>
      </c>
      <c r="D705" t="s">
        <v>28</v>
      </c>
      <c r="E705">
        <v>11.99</v>
      </c>
      <c r="F705" t="str">
        <f>C705&amp;D705</f>
        <v>FrancePayPal</v>
      </c>
      <c r="G705">
        <v>280</v>
      </c>
      <c r="H705" t="s">
        <v>78</v>
      </c>
    </row>
    <row r="706" spans="1:8">
      <c r="A706">
        <v>6746</v>
      </c>
      <c r="B706" t="s">
        <v>558</v>
      </c>
      <c r="C706" t="s">
        <v>49</v>
      </c>
      <c r="D706" t="s">
        <v>75</v>
      </c>
      <c r="E706">
        <v>7.99</v>
      </c>
      <c r="F706" t="str">
        <f>C706&amp;D706</f>
        <v>UKCryptocurrency</v>
      </c>
      <c r="G706">
        <v>161</v>
      </c>
      <c r="H706" t="s">
        <v>64</v>
      </c>
    </row>
    <row r="707" spans="1:8">
      <c r="A707">
        <v>8089</v>
      </c>
      <c r="B707" t="s">
        <v>232</v>
      </c>
      <c r="C707" t="s">
        <v>55</v>
      </c>
      <c r="D707" t="s">
        <v>44</v>
      </c>
      <c r="E707">
        <v>7.99</v>
      </c>
      <c r="F707" t="str">
        <f>C707&amp;D707</f>
        <v>IndiaDebit Card</v>
      </c>
      <c r="G707">
        <v>439</v>
      </c>
      <c r="H707" t="s">
        <v>57</v>
      </c>
    </row>
    <row r="708" spans="1:8">
      <c r="A708">
        <v>8045</v>
      </c>
      <c r="B708" t="s">
        <v>304</v>
      </c>
      <c r="C708" t="s">
        <v>92</v>
      </c>
      <c r="D708" t="s">
        <v>75</v>
      </c>
      <c r="E708">
        <v>7.99</v>
      </c>
      <c r="F708" t="str">
        <f>C708&amp;D708</f>
        <v>FranceCryptocurrency</v>
      </c>
      <c r="G708">
        <v>339</v>
      </c>
      <c r="H708" t="s">
        <v>78</v>
      </c>
    </row>
    <row r="709" spans="1:8">
      <c r="A709">
        <v>9417</v>
      </c>
      <c r="B709" t="s">
        <v>126</v>
      </c>
      <c r="C709" t="s">
        <v>49</v>
      </c>
      <c r="D709" t="s">
        <v>56</v>
      </c>
      <c r="E709">
        <v>11.99</v>
      </c>
      <c r="F709" t="str">
        <f>C709&amp;D709</f>
        <v>UKCredit Card</v>
      </c>
      <c r="G709">
        <v>52</v>
      </c>
      <c r="H709" t="s">
        <v>57</v>
      </c>
    </row>
    <row r="710" spans="1:8">
      <c r="A710">
        <v>3217</v>
      </c>
      <c r="B710" t="s">
        <v>140</v>
      </c>
      <c r="C710" t="s">
        <v>92</v>
      </c>
      <c r="D710" t="s">
        <v>75</v>
      </c>
      <c r="E710">
        <v>15.99</v>
      </c>
      <c r="F710" t="str">
        <f>C710&amp;D710</f>
        <v>FranceCryptocurrency</v>
      </c>
      <c r="G710">
        <v>297</v>
      </c>
      <c r="H710" t="s">
        <v>78</v>
      </c>
    </row>
    <row r="711" spans="1:8">
      <c r="A711">
        <v>4234</v>
      </c>
      <c r="B711" t="s">
        <v>157</v>
      </c>
      <c r="C711" t="s">
        <v>68</v>
      </c>
      <c r="D711" t="s">
        <v>28</v>
      </c>
      <c r="E711">
        <v>15.99</v>
      </c>
      <c r="F711" t="str">
        <f>C711&amp;D711</f>
        <v>AustraliaPayPal</v>
      </c>
      <c r="G711">
        <v>40</v>
      </c>
      <c r="H711" t="s">
        <v>37</v>
      </c>
    </row>
    <row r="712" spans="1:8">
      <c r="A712">
        <v>1118</v>
      </c>
      <c r="B712" t="s">
        <v>240</v>
      </c>
      <c r="C712" t="s">
        <v>49</v>
      </c>
      <c r="D712" t="s">
        <v>44</v>
      </c>
      <c r="E712">
        <v>15.99</v>
      </c>
      <c r="F712" t="str">
        <f>C712&amp;D712</f>
        <v>UKDebit Card</v>
      </c>
      <c r="G712">
        <v>379</v>
      </c>
      <c r="H712" t="s">
        <v>57</v>
      </c>
    </row>
    <row r="713" spans="1:8">
      <c r="A713">
        <v>4027</v>
      </c>
      <c r="B713" t="s">
        <v>631</v>
      </c>
      <c r="C713" t="s">
        <v>92</v>
      </c>
      <c r="D713" t="s">
        <v>28</v>
      </c>
      <c r="E713">
        <v>15.99</v>
      </c>
      <c r="F713" t="str">
        <f>C713&amp;D713</f>
        <v>FrancePayPal</v>
      </c>
      <c r="G713">
        <v>82</v>
      </c>
      <c r="H713" t="s">
        <v>57</v>
      </c>
    </row>
    <row r="714" spans="1:8">
      <c r="A714">
        <v>8451</v>
      </c>
      <c r="B714" t="s">
        <v>637</v>
      </c>
      <c r="C714" t="s">
        <v>74</v>
      </c>
      <c r="D714" t="s">
        <v>75</v>
      </c>
      <c r="E714">
        <v>11.99</v>
      </c>
      <c r="F714" t="str">
        <f>C714&amp;D714</f>
        <v>GermanyCryptocurrency</v>
      </c>
      <c r="G714">
        <v>192</v>
      </c>
      <c r="H714" t="s">
        <v>29</v>
      </c>
    </row>
    <row r="715" spans="1:8">
      <c r="A715">
        <v>6647</v>
      </c>
      <c r="B715" t="s">
        <v>88</v>
      </c>
      <c r="C715" t="s">
        <v>43</v>
      </c>
      <c r="D715" t="s">
        <v>28</v>
      </c>
      <c r="E715">
        <v>15.99</v>
      </c>
      <c r="F715" t="str">
        <f>C715&amp;D715</f>
        <v>CanadaPayPal</v>
      </c>
      <c r="G715">
        <v>286</v>
      </c>
      <c r="H715" t="s">
        <v>37</v>
      </c>
    </row>
    <row r="716" spans="1:8">
      <c r="A716">
        <v>4002</v>
      </c>
      <c r="B716" t="s">
        <v>441</v>
      </c>
      <c r="C716" t="s">
        <v>92</v>
      </c>
      <c r="D716" t="s">
        <v>75</v>
      </c>
      <c r="E716">
        <v>11.99</v>
      </c>
      <c r="F716" t="str">
        <f>C716&amp;D716</f>
        <v>FranceCryptocurrency</v>
      </c>
      <c r="G716">
        <v>452</v>
      </c>
      <c r="H716" t="s">
        <v>57</v>
      </c>
    </row>
    <row r="717" spans="1:8">
      <c r="A717">
        <v>6910</v>
      </c>
      <c r="B717" t="s">
        <v>347</v>
      </c>
      <c r="C717" t="s">
        <v>92</v>
      </c>
      <c r="D717" t="s">
        <v>75</v>
      </c>
      <c r="E717">
        <v>7.99</v>
      </c>
      <c r="F717" t="str">
        <f>C717&amp;D717</f>
        <v>FranceCryptocurrency</v>
      </c>
      <c r="G717">
        <v>417</v>
      </c>
      <c r="H717" t="s">
        <v>64</v>
      </c>
    </row>
    <row r="718" spans="1:8">
      <c r="A718">
        <v>3164</v>
      </c>
      <c r="B718" t="s">
        <v>325</v>
      </c>
      <c r="C718" t="s">
        <v>43</v>
      </c>
      <c r="D718" t="s">
        <v>75</v>
      </c>
      <c r="E718">
        <v>15.99</v>
      </c>
      <c r="F718" t="str">
        <f>C718&amp;D718</f>
        <v>CanadaCryptocurrency</v>
      </c>
      <c r="G718">
        <v>371</v>
      </c>
      <c r="H718" t="s">
        <v>29</v>
      </c>
    </row>
    <row r="719" spans="1:8">
      <c r="A719">
        <v>2400</v>
      </c>
      <c r="B719" t="s">
        <v>138</v>
      </c>
      <c r="C719" t="s">
        <v>49</v>
      </c>
      <c r="D719" t="s">
        <v>28</v>
      </c>
      <c r="E719">
        <v>15.99</v>
      </c>
      <c r="F719" t="str">
        <f>C719&amp;D719</f>
        <v>UKPayPal</v>
      </c>
      <c r="G719">
        <v>110</v>
      </c>
      <c r="H719" t="s">
        <v>78</v>
      </c>
    </row>
    <row r="720" spans="1:8">
      <c r="A720">
        <v>5499</v>
      </c>
      <c r="B720" t="s">
        <v>404</v>
      </c>
      <c r="C720" t="s">
        <v>49</v>
      </c>
      <c r="D720" t="s">
        <v>44</v>
      </c>
      <c r="E720">
        <v>15.99</v>
      </c>
      <c r="F720" t="str">
        <f>C720&amp;D720</f>
        <v>UKDebit Card</v>
      </c>
      <c r="G720">
        <v>274</v>
      </c>
      <c r="H720" t="s">
        <v>37</v>
      </c>
    </row>
    <row r="721" spans="1:8">
      <c r="A721">
        <v>7221</v>
      </c>
      <c r="B721" t="s">
        <v>367</v>
      </c>
      <c r="C721" t="s">
        <v>68</v>
      </c>
      <c r="D721" t="s">
        <v>44</v>
      </c>
      <c r="E721">
        <v>15.99</v>
      </c>
      <c r="F721" t="str">
        <f>C721&amp;D721</f>
        <v>AustraliaDebit Card</v>
      </c>
      <c r="G721">
        <v>412</v>
      </c>
      <c r="H721" t="s">
        <v>29</v>
      </c>
    </row>
    <row r="722" spans="1:8">
      <c r="A722">
        <v>4556</v>
      </c>
      <c r="B722" t="s">
        <v>120</v>
      </c>
      <c r="C722" t="s">
        <v>68</v>
      </c>
      <c r="D722" t="s">
        <v>28</v>
      </c>
      <c r="E722">
        <v>11.99</v>
      </c>
      <c r="F722" t="str">
        <f>C722&amp;D722</f>
        <v>AustraliaPayPal</v>
      </c>
      <c r="G722">
        <v>341</v>
      </c>
      <c r="H722" t="s">
        <v>64</v>
      </c>
    </row>
    <row r="723" spans="1:8">
      <c r="A723">
        <v>7175</v>
      </c>
      <c r="B723" t="s">
        <v>517</v>
      </c>
      <c r="C723" t="s">
        <v>43</v>
      </c>
      <c r="D723" t="s">
        <v>44</v>
      </c>
      <c r="E723">
        <v>11.99</v>
      </c>
      <c r="F723" t="str">
        <f>C723&amp;D723</f>
        <v>CanadaDebit Card</v>
      </c>
      <c r="G723">
        <v>388</v>
      </c>
      <c r="H723" t="s">
        <v>37</v>
      </c>
    </row>
    <row r="724" spans="1:8">
      <c r="A724">
        <v>7072</v>
      </c>
      <c r="B724" t="s">
        <v>592</v>
      </c>
      <c r="C724" t="s">
        <v>74</v>
      </c>
      <c r="D724" t="s">
        <v>28</v>
      </c>
      <c r="E724">
        <v>15.99</v>
      </c>
      <c r="F724" t="str">
        <f>C724&amp;D724</f>
        <v>GermanyPayPal</v>
      </c>
      <c r="G724">
        <v>446</v>
      </c>
      <c r="H724" t="s">
        <v>64</v>
      </c>
    </row>
    <row r="725" spans="1:8">
      <c r="A725">
        <v>4320</v>
      </c>
      <c r="B725" t="s">
        <v>307</v>
      </c>
      <c r="C725" t="s">
        <v>43</v>
      </c>
      <c r="D725" t="s">
        <v>28</v>
      </c>
      <c r="E725">
        <v>15.99</v>
      </c>
      <c r="F725" t="str">
        <f>C725&amp;D725</f>
        <v>CanadaPayPal</v>
      </c>
      <c r="G725">
        <v>223</v>
      </c>
      <c r="H725" t="s">
        <v>37</v>
      </c>
    </row>
    <row r="726" spans="1:8">
      <c r="A726">
        <v>3558</v>
      </c>
      <c r="B726" t="s">
        <v>640</v>
      </c>
      <c r="C726" t="s">
        <v>43</v>
      </c>
      <c r="D726" t="s">
        <v>56</v>
      </c>
      <c r="E726">
        <v>15.99</v>
      </c>
      <c r="F726" t="str">
        <f>C726&amp;D726</f>
        <v>CanadaCredit Card</v>
      </c>
      <c r="G726">
        <v>417</v>
      </c>
      <c r="H726" t="s">
        <v>45</v>
      </c>
    </row>
    <row r="727" spans="1:8">
      <c r="A727">
        <v>8581</v>
      </c>
      <c r="B727" t="s">
        <v>196</v>
      </c>
      <c r="C727" t="s">
        <v>27</v>
      </c>
      <c r="D727" t="s">
        <v>28</v>
      </c>
      <c r="E727">
        <v>11.99</v>
      </c>
      <c r="F727" t="str">
        <f>C727&amp;D727</f>
        <v>USAPayPal</v>
      </c>
      <c r="G727">
        <v>390</v>
      </c>
      <c r="H727" t="s">
        <v>29</v>
      </c>
    </row>
    <row r="728" spans="1:8">
      <c r="A728">
        <v>5827</v>
      </c>
      <c r="B728" t="s">
        <v>224</v>
      </c>
      <c r="C728" t="s">
        <v>49</v>
      </c>
      <c r="D728" t="s">
        <v>56</v>
      </c>
      <c r="E728">
        <v>15.99</v>
      </c>
      <c r="F728" t="str">
        <f>C728&amp;D728</f>
        <v>UKCredit Card</v>
      </c>
      <c r="G728">
        <v>33</v>
      </c>
      <c r="H728" t="s">
        <v>37</v>
      </c>
    </row>
    <row r="729" spans="1:8">
      <c r="A729">
        <v>6929</v>
      </c>
      <c r="B729" t="s">
        <v>114</v>
      </c>
      <c r="C729" t="s">
        <v>55</v>
      </c>
      <c r="D729" t="s">
        <v>56</v>
      </c>
      <c r="E729">
        <v>11.99</v>
      </c>
      <c r="F729" t="str">
        <f>C729&amp;D729</f>
        <v>IndiaCredit Card</v>
      </c>
      <c r="G729">
        <v>302</v>
      </c>
      <c r="H729" t="s">
        <v>29</v>
      </c>
    </row>
    <row r="730" spans="1:8">
      <c r="A730">
        <v>9179</v>
      </c>
      <c r="B730" t="s">
        <v>643</v>
      </c>
      <c r="C730" t="s">
        <v>68</v>
      </c>
      <c r="D730" t="s">
        <v>28</v>
      </c>
      <c r="E730">
        <v>15.99</v>
      </c>
      <c r="F730" t="str">
        <f>C730&amp;D730</f>
        <v>AustraliaPayPal</v>
      </c>
      <c r="G730">
        <v>121</v>
      </c>
      <c r="H730" t="s">
        <v>29</v>
      </c>
    </row>
    <row r="731" spans="1:8">
      <c r="A731">
        <v>7580</v>
      </c>
      <c r="B731" t="s">
        <v>52</v>
      </c>
      <c r="C731" t="s">
        <v>49</v>
      </c>
      <c r="D731" t="s">
        <v>75</v>
      </c>
      <c r="E731">
        <v>7.99</v>
      </c>
      <c r="F731" t="str">
        <f>C731&amp;D731</f>
        <v>UKCryptocurrency</v>
      </c>
      <c r="G731">
        <v>112</v>
      </c>
      <c r="H731" t="s">
        <v>64</v>
      </c>
    </row>
    <row r="732" spans="1:8">
      <c r="A732">
        <v>3858</v>
      </c>
      <c r="B732" t="s">
        <v>179</v>
      </c>
      <c r="C732" t="s">
        <v>92</v>
      </c>
      <c r="D732" t="s">
        <v>28</v>
      </c>
      <c r="E732">
        <v>15.99</v>
      </c>
      <c r="F732" t="str">
        <f>C732&amp;D732</f>
        <v>FrancePayPal</v>
      </c>
      <c r="G732">
        <v>375</v>
      </c>
      <c r="H732" t="s">
        <v>29</v>
      </c>
    </row>
    <row r="733" spans="1:8">
      <c r="A733">
        <v>8627</v>
      </c>
      <c r="B733" t="s">
        <v>238</v>
      </c>
      <c r="C733" t="s">
        <v>92</v>
      </c>
      <c r="D733" t="s">
        <v>28</v>
      </c>
      <c r="E733">
        <v>11.99</v>
      </c>
      <c r="F733" t="str">
        <f>C733&amp;D733</f>
        <v>FrancePayPal</v>
      </c>
      <c r="G733">
        <v>97</v>
      </c>
      <c r="H733" t="s">
        <v>64</v>
      </c>
    </row>
    <row r="734" spans="1:8">
      <c r="A734">
        <v>7552</v>
      </c>
      <c r="B734" t="s">
        <v>645</v>
      </c>
      <c r="C734" t="s">
        <v>74</v>
      </c>
      <c r="D734" t="s">
        <v>75</v>
      </c>
      <c r="E734">
        <v>15.99</v>
      </c>
      <c r="F734" t="str">
        <f>C734&amp;D734</f>
        <v>GermanyCryptocurrency</v>
      </c>
      <c r="G734">
        <v>306</v>
      </c>
      <c r="H734" t="s">
        <v>45</v>
      </c>
    </row>
    <row r="735" spans="1:8">
      <c r="A735">
        <v>6020</v>
      </c>
      <c r="B735" t="s">
        <v>640</v>
      </c>
      <c r="C735" t="s">
        <v>92</v>
      </c>
      <c r="D735" t="s">
        <v>56</v>
      </c>
      <c r="E735">
        <v>11.99</v>
      </c>
      <c r="F735" t="str">
        <f>C735&amp;D735</f>
        <v>FranceCredit Card</v>
      </c>
      <c r="G735">
        <v>136</v>
      </c>
      <c r="H735" t="s">
        <v>37</v>
      </c>
    </row>
    <row r="736" spans="1:8">
      <c r="A736">
        <v>9408</v>
      </c>
      <c r="B736" t="s">
        <v>291</v>
      </c>
      <c r="C736" t="s">
        <v>68</v>
      </c>
      <c r="D736" t="s">
        <v>75</v>
      </c>
      <c r="E736">
        <v>7.99</v>
      </c>
      <c r="F736" t="str">
        <f>C736&amp;D736</f>
        <v>AustraliaCryptocurrency</v>
      </c>
      <c r="G736">
        <v>12</v>
      </c>
      <c r="H736" t="s">
        <v>29</v>
      </c>
    </row>
    <row r="737" spans="1:8">
      <c r="A737">
        <v>9990</v>
      </c>
      <c r="B737" t="s">
        <v>647</v>
      </c>
      <c r="C737" t="s">
        <v>74</v>
      </c>
      <c r="D737" t="s">
        <v>28</v>
      </c>
      <c r="E737">
        <v>15.99</v>
      </c>
      <c r="F737" t="str">
        <f>C737&amp;D737</f>
        <v>GermanyPayPal</v>
      </c>
      <c r="G737">
        <v>379</v>
      </c>
      <c r="H737" t="s">
        <v>45</v>
      </c>
    </row>
    <row r="738" spans="1:8">
      <c r="A738">
        <v>3687</v>
      </c>
      <c r="B738" t="s">
        <v>307</v>
      </c>
      <c r="C738" t="s">
        <v>92</v>
      </c>
      <c r="D738" t="s">
        <v>44</v>
      </c>
      <c r="E738">
        <v>15.99</v>
      </c>
      <c r="F738" t="str">
        <f>C738&amp;D738</f>
        <v>FranceDebit Card</v>
      </c>
      <c r="G738">
        <v>205</v>
      </c>
      <c r="H738" t="s">
        <v>57</v>
      </c>
    </row>
    <row r="739" spans="1:8">
      <c r="A739">
        <v>4540</v>
      </c>
      <c r="B739" t="s">
        <v>648</v>
      </c>
      <c r="C739" t="s">
        <v>49</v>
      </c>
      <c r="D739" t="s">
        <v>28</v>
      </c>
      <c r="E739">
        <v>15.99</v>
      </c>
      <c r="F739" t="str">
        <f>C739&amp;D739</f>
        <v>UKPayPal</v>
      </c>
      <c r="G739">
        <v>335</v>
      </c>
      <c r="H739" t="s">
        <v>29</v>
      </c>
    </row>
    <row r="740" spans="1:8">
      <c r="A740">
        <v>8264</v>
      </c>
      <c r="B740" t="s">
        <v>349</v>
      </c>
      <c r="C740" t="s">
        <v>74</v>
      </c>
      <c r="D740" t="s">
        <v>44</v>
      </c>
      <c r="E740">
        <v>15.99</v>
      </c>
      <c r="F740" t="str">
        <f>C740&amp;D740</f>
        <v>GermanyDebit Card</v>
      </c>
      <c r="G740">
        <v>449</v>
      </c>
      <c r="H740" t="s">
        <v>45</v>
      </c>
    </row>
    <row r="741" spans="1:8">
      <c r="A741">
        <v>7448</v>
      </c>
      <c r="B741" t="s">
        <v>88</v>
      </c>
      <c r="C741" t="s">
        <v>55</v>
      </c>
      <c r="D741" t="s">
        <v>75</v>
      </c>
      <c r="E741">
        <v>7.99</v>
      </c>
      <c r="F741" t="str">
        <f>C741&amp;D741</f>
        <v>IndiaCryptocurrency</v>
      </c>
      <c r="G741">
        <v>453</v>
      </c>
      <c r="H741" t="s">
        <v>45</v>
      </c>
    </row>
    <row r="742" spans="1:8">
      <c r="A742">
        <v>1123</v>
      </c>
      <c r="B742" t="s">
        <v>650</v>
      </c>
      <c r="C742" t="s">
        <v>55</v>
      </c>
      <c r="D742" t="s">
        <v>44</v>
      </c>
      <c r="E742">
        <v>7.99</v>
      </c>
      <c r="F742" t="str">
        <f>C742&amp;D742</f>
        <v>IndiaDebit Card</v>
      </c>
      <c r="G742">
        <v>252</v>
      </c>
      <c r="H742" t="s">
        <v>29</v>
      </c>
    </row>
    <row r="743" spans="1:8">
      <c r="A743">
        <v>4103</v>
      </c>
      <c r="B743" t="s">
        <v>257</v>
      </c>
      <c r="C743" t="s">
        <v>27</v>
      </c>
      <c r="D743" t="s">
        <v>56</v>
      </c>
      <c r="E743">
        <v>11.99</v>
      </c>
      <c r="F743" t="str">
        <f>C743&amp;D743</f>
        <v>USACredit Card</v>
      </c>
      <c r="G743">
        <v>379</v>
      </c>
      <c r="H743" t="s">
        <v>57</v>
      </c>
    </row>
    <row r="744" spans="1:8">
      <c r="A744">
        <v>2904</v>
      </c>
      <c r="B744" t="s">
        <v>458</v>
      </c>
      <c r="C744" t="s">
        <v>74</v>
      </c>
      <c r="D744" t="s">
        <v>75</v>
      </c>
      <c r="E744">
        <v>7.99</v>
      </c>
      <c r="F744" t="str">
        <f>C744&amp;D744</f>
        <v>GermanyCryptocurrency</v>
      </c>
      <c r="G744">
        <v>280</v>
      </c>
      <c r="H744" t="s">
        <v>64</v>
      </c>
    </row>
    <row r="745" spans="1:8">
      <c r="A745">
        <v>5634</v>
      </c>
      <c r="B745" t="s">
        <v>176</v>
      </c>
      <c r="C745" t="s">
        <v>68</v>
      </c>
      <c r="D745" t="s">
        <v>28</v>
      </c>
      <c r="E745">
        <v>7.99</v>
      </c>
      <c r="F745" t="str">
        <f>C745&amp;D745</f>
        <v>AustraliaPayPal</v>
      </c>
      <c r="G745">
        <v>187</v>
      </c>
      <c r="H745" t="s">
        <v>57</v>
      </c>
    </row>
    <row r="746" spans="1:8">
      <c r="A746">
        <v>5360</v>
      </c>
      <c r="B746" t="s">
        <v>147</v>
      </c>
      <c r="C746" t="s">
        <v>49</v>
      </c>
      <c r="D746" t="s">
        <v>28</v>
      </c>
      <c r="E746">
        <v>7.99</v>
      </c>
      <c r="F746" t="str">
        <f>C746&amp;D746</f>
        <v>UKPayPal</v>
      </c>
      <c r="G746">
        <v>373</v>
      </c>
      <c r="H746" t="s">
        <v>29</v>
      </c>
    </row>
    <row r="747" spans="1:8">
      <c r="A747">
        <v>8571</v>
      </c>
      <c r="B747" t="s">
        <v>345</v>
      </c>
      <c r="C747" t="s">
        <v>43</v>
      </c>
      <c r="D747" t="s">
        <v>44</v>
      </c>
      <c r="E747">
        <v>15.99</v>
      </c>
      <c r="F747" t="str">
        <f>C747&amp;D747</f>
        <v>CanadaDebit Card</v>
      </c>
      <c r="G747">
        <v>482</v>
      </c>
      <c r="H747" t="s">
        <v>78</v>
      </c>
    </row>
    <row r="748" spans="1:8">
      <c r="A748">
        <v>9439</v>
      </c>
      <c r="B748" t="s">
        <v>653</v>
      </c>
      <c r="C748" t="s">
        <v>43</v>
      </c>
      <c r="D748" t="s">
        <v>56</v>
      </c>
      <c r="E748">
        <v>11.99</v>
      </c>
      <c r="F748" t="str">
        <f>C748&amp;D748</f>
        <v>CanadaCredit Card</v>
      </c>
      <c r="G748">
        <v>360</v>
      </c>
      <c r="H748" t="s">
        <v>45</v>
      </c>
    </row>
    <row r="749" spans="1:8">
      <c r="A749">
        <v>8356</v>
      </c>
      <c r="B749" t="s">
        <v>546</v>
      </c>
      <c r="C749" t="s">
        <v>49</v>
      </c>
      <c r="D749" t="s">
        <v>75</v>
      </c>
      <c r="E749">
        <v>15.99</v>
      </c>
      <c r="F749" t="str">
        <f>C749&amp;D749</f>
        <v>UKCryptocurrency</v>
      </c>
      <c r="G749">
        <v>463</v>
      </c>
      <c r="H749" t="s">
        <v>64</v>
      </c>
    </row>
    <row r="750" spans="1:8">
      <c r="A750">
        <v>2039</v>
      </c>
      <c r="B750" t="s">
        <v>656</v>
      </c>
      <c r="C750" t="s">
        <v>55</v>
      </c>
      <c r="D750" t="s">
        <v>56</v>
      </c>
      <c r="E750">
        <v>15.99</v>
      </c>
      <c r="F750" t="str">
        <f>C750&amp;D750</f>
        <v>IndiaCredit Card</v>
      </c>
      <c r="G750">
        <v>13</v>
      </c>
      <c r="H750" t="s">
        <v>37</v>
      </c>
    </row>
    <row r="751" spans="1:8">
      <c r="A751">
        <v>2613</v>
      </c>
      <c r="B751" t="s">
        <v>657</v>
      </c>
      <c r="C751" t="s">
        <v>49</v>
      </c>
      <c r="D751" t="s">
        <v>56</v>
      </c>
      <c r="E751">
        <v>7.99</v>
      </c>
      <c r="F751" t="str">
        <f>C751&amp;D751</f>
        <v>UKCredit Card</v>
      </c>
      <c r="G751">
        <v>129</v>
      </c>
      <c r="H751" t="s">
        <v>78</v>
      </c>
    </row>
    <row r="752" spans="1:8">
      <c r="A752">
        <v>8226</v>
      </c>
      <c r="B752" t="s">
        <v>138</v>
      </c>
      <c r="C752" t="s">
        <v>43</v>
      </c>
      <c r="D752" t="s">
        <v>44</v>
      </c>
      <c r="E752">
        <v>7.99</v>
      </c>
      <c r="F752" t="str">
        <f>C752&amp;D752</f>
        <v>CanadaDebit Card</v>
      </c>
      <c r="G752">
        <v>290</v>
      </c>
      <c r="H752" t="s">
        <v>29</v>
      </c>
    </row>
    <row r="753" spans="1:8">
      <c r="A753">
        <v>1425</v>
      </c>
      <c r="B753" t="s">
        <v>658</v>
      </c>
      <c r="C753" t="s">
        <v>55</v>
      </c>
      <c r="D753" t="s">
        <v>44</v>
      </c>
      <c r="E753">
        <v>7.99</v>
      </c>
      <c r="F753" t="str">
        <f>C753&amp;D753</f>
        <v>IndiaDebit Card</v>
      </c>
      <c r="G753">
        <v>50</v>
      </c>
      <c r="H753" t="s">
        <v>29</v>
      </c>
    </row>
    <row r="754" spans="1:8">
      <c r="A754">
        <v>4479</v>
      </c>
      <c r="B754" t="s">
        <v>23</v>
      </c>
      <c r="C754" t="s">
        <v>55</v>
      </c>
      <c r="D754" t="s">
        <v>44</v>
      </c>
      <c r="E754">
        <v>15.99</v>
      </c>
      <c r="F754" t="str">
        <f>C754&amp;D754</f>
        <v>IndiaDebit Card</v>
      </c>
      <c r="G754">
        <v>241</v>
      </c>
      <c r="H754" t="s">
        <v>45</v>
      </c>
    </row>
    <row r="755" spans="1:8">
      <c r="A755">
        <v>3393</v>
      </c>
      <c r="B755" t="s">
        <v>101</v>
      </c>
      <c r="C755" t="s">
        <v>92</v>
      </c>
      <c r="D755" t="s">
        <v>56</v>
      </c>
      <c r="E755">
        <v>7.99</v>
      </c>
      <c r="F755" t="str">
        <f>C755&amp;D755</f>
        <v>FranceCredit Card</v>
      </c>
      <c r="G755">
        <v>383</v>
      </c>
      <c r="H755" t="s">
        <v>78</v>
      </c>
    </row>
    <row r="756" spans="1:8">
      <c r="A756">
        <v>8528</v>
      </c>
      <c r="B756" t="s">
        <v>283</v>
      </c>
      <c r="C756" t="s">
        <v>92</v>
      </c>
      <c r="D756" t="s">
        <v>56</v>
      </c>
      <c r="E756">
        <v>7.99</v>
      </c>
      <c r="F756" t="str">
        <f>C756&amp;D756</f>
        <v>FranceCredit Card</v>
      </c>
      <c r="G756">
        <v>384</v>
      </c>
      <c r="H756" t="s">
        <v>45</v>
      </c>
    </row>
    <row r="757" spans="1:8">
      <c r="A757">
        <v>9372</v>
      </c>
      <c r="B757" t="s">
        <v>138</v>
      </c>
      <c r="C757" t="s">
        <v>92</v>
      </c>
      <c r="D757" t="s">
        <v>75</v>
      </c>
      <c r="E757">
        <v>7.99</v>
      </c>
      <c r="F757" t="str">
        <f>C757&amp;D757</f>
        <v>FranceCryptocurrency</v>
      </c>
      <c r="G757">
        <v>302</v>
      </c>
      <c r="H757" t="s">
        <v>64</v>
      </c>
    </row>
    <row r="758" spans="1:8">
      <c r="A758">
        <v>5469</v>
      </c>
      <c r="B758" t="s">
        <v>196</v>
      </c>
      <c r="C758" t="s">
        <v>27</v>
      </c>
      <c r="D758" t="s">
        <v>56</v>
      </c>
      <c r="E758">
        <v>15.99</v>
      </c>
      <c r="F758" t="str">
        <f>C758&amp;D758</f>
        <v>USACredit Card</v>
      </c>
      <c r="G758">
        <v>24</v>
      </c>
      <c r="H758" t="s">
        <v>78</v>
      </c>
    </row>
    <row r="759" spans="1:8">
      <c r="A759">
        <v>2603</v>
      </c>
      <c r="B759" t="s">
        <v>659</v>
      </c>
      <c r="C759" t="s">
        <v>27</v>
      </c>
      <c r="D759" t="s">
        <v>56</v>
      </c>
      <c r="E759">
        <v>11.99</v>
      </c>
      <c r="F759" t="str">
        <f>C759&amp;D759</f>
        <v>USACredit Card</v>
      </c>
      <c r="G759">
        <v>416</v>
      </c>
      <c r="H759" t="s">
        <v>57</v>
      </c>
    </row>
    <row r="760" spans="1:8">
      <c r="A760">
        <v>5306</v>
      </c>
      <c r="B760" t="s">
        <v>369</v>
      </c>
      <c r="C760" t="s">
        <v>74</v>
      </c>
      <c r="D760" t="s">
        <v>56</v>
      </c>
      <c r="E760">
        <v>15.99</v>
      </c>
      <c r="F760" t="str">
        <f>C760&amp;D760</f>
        <v>GermanyCredit Card</v>
      </c>
      <c r="G760">
        <v>272</v>
      </c>
      <c r="H760" t="s">
        <v>64</v>
      </c>
    </row>
    <row r="761" spans="1:8">
      <c r="A761">
        <v>7869</v>
      </c>
      <c r="B761" t="s">
        <v>283</v>
      </c>
      <c r="C761" t="s">
        <v>74</v>
      </c>
      <c r="D761" t="s">
        <v>75</v>
      </c>
      <c r="E761">
        <v>15.99</v>
      </c>
      <c r="F761" t="str">
        <f>C761&amp;D761</f>
        <v>GermanyCryptocurrency</v>
      </c>
      <c r="G761">
        <v>294</v>
      </c>
      <c r="H761" t="s">
        <v>57</v>
      </c>
    </row>
    <row r="762" spans="1:8">
      <c r="A762">
        <v>1699</v>
      </c>
      <c r="B762" t="s">
        <v>224</v>
      </c>
      <c r="C762" t="s">
        <v>92</v>
      </c>
      <c r="D762" t="s">
        <v>56</v>
      </c>
      <c r="E762">
        <v>15.99</v>
      </c>
      <c r="F762" t="str">
        <f>C762&amp;D762</f>
        <v>FranceCredit Card</v>
      </c>
      <c r="G762">
        <v>18</v>
      </c>
      <c r="H762" t="s">
        <v>57</v>
      </c>
    </row>
    <row r="763" spans="1:8">
      <c r="A763">
        <v>3214</v>
      </c>
      <c r="B763" t="s">
        <v>114</v>
      </c>
      <c r="C763" t="s">
        <v>74</v>
      </c>
      <c r="D763" t="s">
        <v>75</v>
      </c>
      <c r="E763">
        <v>15.99</v>
      </c>
      <c r="F763" t="str">
        <f>C763&amp;D763</f>
        <v>GermanyCryptocurrency</v>
      </c>
      <c r="G763">
        <v>409</v>
      </c>
      <c r="H763" t="s">
        <v>78</v>
      </c>
    </row>
    <row r="764" spans="1:8">
      <c r="A764">
        <v>1050</v>
      </c>
      <c r="B764" t="s">
        <v>52</v>
      </c>
      <c r="C764" t="s">
        <v>27</v>
      </c>
      <c r="D764" t="s">
        <v>28</v>
      </c>
      <c r="E764">
        <v>11.99</v>
      </c>
      <c r="F764" t="str">
        <f>C764&amp;D764</f>
        <v>USAPayPal</v>
      </c>
      <c r="G764">
        <v>290</v>
      </c>
      <c r="H764" t="s">
        <v>57</v>
      </c>
    </row>
    <row r="765" spans="1:8">
      <c r="A765">
        <v>3325</v>
      </c>
      <c r="B765" t="s">
        <v>104</v>
      </c>
      <c r="C765" t="s">
        <v>74</v>
      </c>
      <c r="D765" t="s">
        <v>44</v>
      </c>
      <c r="E765">
        <v>15.99</v>
      </c>
      <c r="F765" t="str">
        <f>C765&amp;D765</f>
        <v>GermanyDebit Card</v>
      </c>
      <c r="G765">
        <v>102</v>
      </c>
      <c r="H765" t="s">
        <v>78</v>
      </c>
    </row>
    <row r="766" spans="1:8">
      <c r="A766">
        <v>1970</v>
      </c>
      <c r="B766" t="s">
        <v>157</v>
      </c>
      <c r="C766" t="s">
        <v>68</v>
      </c>
      <c r="D766" t="s">
        <v>75</v>
      </c>
      <c r="E766">
        <v>15.99</v>
      </c>
      <c r="F766" t="str">
        <f>C766&amp;D766</f>
        <v>AustraliaCryptocurrency</v>
      </c>
      <c r="G766">
        <v>119</v>
      </c>
      <c r="H766" t="s">
        <v>64</v>
      </c>
    </row>
    <row r="767" spans="1:8">
      <c r="A767">
        <v>6272</v>
      </c>
      <c r="B767" t="s">
        <v>558</v>
      </c>
      <c r="C767" t="s">
        <v>43</v>
      </c>
      <c r="D767" t="s">
        <v>44</v>
      </c>
      <c r="E767">
        <v>11.99</v>
      </c>
      <c r="F767" t="str">
        <f>C767&amp;D767</f>
        <v>CanadaDebit Card</v>
      </c>
      <c r="G767">
        <v>87</v>
      </c>
      <c r="H767" t="s">
        <v>45</v>
      </c>
    </row>
    <row r="768" spans="1:8">
      <c r="A768">
        <v>4745</v>
      </c>
      <c r="B768" t="s">
        <v>98</v>
      </c>
      <c r="C768" t="s">
        <v>27</v>
      </c>
      <c r="D768" t="s">
        <v>75</v>
      </c>
      <c r="E768">
        <v>7.99</v>
      </c>
      <c r="F768" t="str">
        <f>C768&amp;D768</f>
        <v>USACryptocurrency</v>
      </c>
      <c r="G768">
        <v>273</v>
      </c>
      <c r="H768" t="s">
        <v>78</v>
      </c>
    </row>
    <row r="769" spans="1:8">
      <c r="A769">
        <v>8867</v>
      </c>
      <c r="B769" t="s">
        <v>223</v>
      </c>
      <c r="C769" t="s">
        <v>92</v>
      </c>
      <c r="D769" t="s">
        <v>56</v>
      </c>
      <c r="E769">
        <v>15.99</v>
      </c>
      <c r="F769" t="str">
        <f>C769&amp;D769</f>
        <v>FranceCredit Card</v>
      </c>
      <c r="G769">
        <v>281</v>
      </c>
      <c r="H769" t="s">
        <v>37</v>
      </c>
    </row>
    <row r="770" spans="1:8">
      <c r="A770">
        <v>4901</v>
      </c>
      <c r="B770" t="s">
        <v>226</v>
      </c>
      <c r="C770" t="s">
        <v>92</v>
      </c>
      <c r="D770" t="s">
        <v>28</v>
      </c>
      <c r="E770">
        <v>7.99</v>
      </c>
      <c r="F770" t="str">
        <f>C770&amp;D770</f>
        <v>FrancePayPal</v>
      </c>
      <c r="G770">
        <v>115</v>
      </c>
      <c r="H770" t="s">
        <v>45</v>
      </c>
    </row>
    <row r="771" spans="1:8">
      <c r="A771">
        <v>9575</v>
      </c>
      <c r="B771" t="s">
        <v>224</v>
      </c>
      <c r="C771" t="s">
        <v>68</v>
      </c>
      <c r="D771" t="s">
        <v>28</v>
      </c>
      <c r="E771">
        <v>11.99</v>
      </c>
      <c r="F771" t="str">
        <f>C771&amp;D771</f>
        <v>AustraliaPayPal</v>
      </c>
      <c r="G771">
        <v>483</v>
      </c>
      <c r="H771" t="s">
        <v>78</v>
      </c>
    </row>
    <row r="772" spans="1:8">
      <c r="A772">
        <v>4471</v>
      </c>
      <c r="B772" t="s">
        <v>399</v>
      </c>
      <c r="C772" t="s">
        <v>55</v>
      </c>
      <c r="D772" t="s">
        <v>56</v>
      </c>
      <c r="E772">
        <v>11.99</v>
      </c>
      <c r="F772" t="str">
        <f>C772&amp;D772</f>
        <v>IndiaCredit Card</v>
      </c>
      <c r="G772">
        <v>129</v>
      </c>
      <c r="H772" t="s">
        <v>45</v>
      </c>
    </row>
    <row r="773" spans="1:8">
      <c r="A773">
        <v>1385</v>
      </c>
      <c r="B773" t="s">
        <v>664</v>
      </c>
      <c r="C773" t="s">
        <v>43</v>
      </c>
      <c r="D773" t="s">
        <v>56</v>
      </c>
      <c r="E773">
        <v>11.99</v>
      </c>
      <c r="F773" t="str">
        <f>C773&amp;D773</f>
        <v>CanadaCredit Card</v>
      </c>
      <c r="G773">
        <v>292</v>
      </c>
      <c r="H773" t="s">
        <v>64</v>
      </c>
    </row>
    <row r="774" spans="1:8">
      <c r="A774">
        <v>4302</v>
      </c>
      <c r="B774" t="s">
        <v>164</v>
      </c>
      <c r="C774" t="s">
        <v>55</v>
      </c>
      <c r="D774" t="s">
        <v>44</v>
      </c>
      <c r="E774">
        <v>11.99</v>
      </c>
      <c r="F774" t="str">
        <f>C774&amp;D774</f>
        <v>IndiaDebit Card</v>
      </c>
      <c r="G774">
        <v>307</v>
      </c>
      <c r="H774" t="s">
        <v>64</v>
      </c>
    </row>
    <row r="775" spans="1:8">
      <c r="A775">
        <v>4738</v>
      </c>
      <c r="B775" t="s">
        <v>666</v>
      </c>
      <c r="C775" t="s">
        <v>49</v>
      </c>
      <c r="D775" t="s">
        <v>44</v>
      </c>
      <c r="E775">
        <v>15.99</v>
      </c>
      <c r="F775" t="str">
        <f>C775&amp;D775</f>
        <v>UKDebit Card</v>
      </c>
      <c r="G775">
        <v>306</v>
      </c>
      <c r="H775" t="s">
        <v>29</v>
      </c>
    </row>
    <row r="776" spans="1:8">
      <c r="A776">
        <v>2441</v>
      </c>
      <c r="B776" t="s">
        <v>283</v>
      </c>
      <c r="C776" t="s">
        <v>68</v>
      </c>
      <c r="D776" t="s">
        <v>28</v>
      </c>
      <c r="E776">
        <v>11.99</v>
      </c>
      <c r="F776" t="str">
        <f>C776&amp;D776</f>
        <v>AustraliaPayPal</v>
      </c>
      <c r="G776">
        <v>71</v>
      </c>
      <c r="H776" t="s">
        <v>45</v>
      </c>
    </row>
    <row r="777" spans="1:8">
      <c r="A777">
        <v>6546</v>
      </c>
      <c r="B777" t="s">
        <v>667</v>
      </c>
      <c r="C777" t="s">
        <v>27</v>
      </c>
      <c r="D777" t="s">
        <v>28</v>
      </c>
      <c r="E777">
        <v>15.99</v>
      </c>
      <c r="F777" t="str">
        <f>C777&amp;D777</f>
        <v>USAPayPal</v>
      </c>
      <c r="G777">
        <v>253</v>
      </c>
      <c r="H777" t="s">
        <v>29</v>
      </c>
    </row>
    <row r="778" spans="1:8">
      <c r="A778">
        <v>5459</v>
      </c>
      <c r="B778" t="s">
        <v>344</v>
      </c>
      <c r="C778" t="s">
        <v>74</v>
      </c>
      <c r="D778" t="s">
        <v>75</v>
      </c>
      <c r="E778">
        <v>15.99</v>
      </c>
      <c r="F778" t="str">
        <f>C778&amp;D778</f>
        <v>GermanyCryptocurrency</v>
      </c>
      <c r="G778">
        <v>68</v>
      </c>
      <c r="H778" t="s">
        <v>78</v>
      </c>
    </row>
    <row r="779" spans="1:8">
      <c r="A779">
        <v>7051</v>
      </c>
      <c r="B779" t="s">
        <v>23</v>
      </c>
      <c r="C779" t="s">
        <v>74</v>
      </c>
      <c r="D779" t="s">
        <v>44</v>
      </c>
      <c r="E779">
        <v>7.99</v>
      </c>
      <c r="F779" t="str">
        <f>C779&amp;D779</f>
        <v>GermanyDebit Card</v>
      </c>
      <c r="G779">
        <v>366</v>
      </c>
      <c r="H779" t="s">
        <v>78</v>
      </c>
    </row>
    <row r="780" spans="1:8">
      <c r="A780">
        <v>6671</v>
      </c>
      <c r="B780" t="s">
        <v>41</v>
      </c>
      <c r="C780" t="s">
        <v>74</v>
      </c>
      <c r="D780" t="s">
        <v>28</v>
      </c>
      <c r="E780">
        <v>15.99</v>
      </c>
      <c r="F780" t="str">
        <f>C780&amp;D780</f>
        <v>GermanyPayPal</v>
      </c>
      <c r="G780">
        <v>166</v>
      </c>
      <c r="H780" t="s">
        <v>57</v>
      </c>
    </row>
    <row r="781" spans="1:8">
      <c r="A781">
        <v>6013</v>
      </c>
      <c r="B781" t="s">
        <v>116</v>
      </c>
      <c r="C781" t="s">
        <v>43</v>
      </c>
      <c r="D781" t="s">
        <v>44</v>
      </c>
      <c r="E781">
        <v>15.99</v>
      </c>
      <c r="F781" t="str">
        <f>C781&amp;D781</f>
        <v>CanadaDebit Card</v>
      </c>
      <c r="G781">
        <v>136</v>
      </c>
      <c r="H781" t="s">
        <v>45</v>
      </c>
    </row>
    <row r="782" spans="1:8">
      <c r="A782">
        <v>9996</v>
      </c>
      <c r="B782" t="s">
        <v>521</v>
      </c>
      <c r="C782" t="s">
        <v>49</v>
      </c>
      <c r="D782" t="s">
        <v>56</v>
      </c>
      <c r="E782">
        <v>7.99</v>
      </c>
      <c r="F782" t="str">
        <f>C782&amp;D782</f>
        <v>UKCredit Card</v>
      </c>
      <c r="G782">
        <v>358</v>
      </c>
      <c r="H782" t="s">
        <v>29</v>
      </c>
    </row>
    <row r="783" spans="1:8">
      <c r="A783">
        <v>4851</v>
      </c>
      <c r="B783" t="s">
        <v>186</v>
      </c>
      <c r="C783" t="s">
        <v>27</v>
      </c>
      <c r="D783" t="s">
        <v>56</v>
      </c>
      <c r="E783">
        <v>15.99</v>
      </c>
      <c r="F783" t="str">
        <f>C783&amp;D783</f>
        <v>USACredit Card</v>
      </c>
      <c r="G783">
        <v>399</v>
      </c>
      <c r="H783" t="s">
        <v>29</v>
      </c>
    </row>
    <row r="784" spans="1:8">
      <c r="A784">
        <v>2498</v>
      </c>
      <c r="B784" t="s">
        <v>441</v>
      </c>
      <c r="C784" t="s">
        <v>27</v>
      </c>
      <c r="D784" t="s">
        <v>75</v>
      </c>
      <c r="E784">
        <v>11.99</v>
      </c>
      <c r="F784" t="str">
        <f>C784&amp;D784</f>
        <v>USACryptocurrency</v>
      </c>
      <c r="G784">
        <v>285</v>
      </c>
      <c r="H784" t="s">
        <v>37</v>
      </c>
    </row>
    <row r="785" spans="1:8">
      <c r="A785">
        <v>6208</v>
      </c>
      <c r="B785" t="s">
        <v>253</v>
      </c>
      <c r="C785" t="s">
        <v>74</v>
      </c>
      <c r="D785" t="s">
        <v>28</v>
      </c>
      <c r="E785">
        <v>7.99</v>
      </c>
      <c r="F785" t="str">
        <f>C785&amp;D785</f>
        <v>GermanyPayPal</v>
      </c>
      <c r="G785">
        <v>424</v>
      </c>
      <c r="H785" t="s">
        <v>64</v>
      </c>
    </row>
    <row r="786" spans="1:8">
      <c r="A786">
        <v>7171</v>
      </c>
      <c r="B786" t="s">
        <v>70</v>
      </c>
      <c r="C786" t="s">
        <v>74</v>
      </c>
      <c r="D786" t="s">
        <v>44</v>
      </c>
      <c r="E786">
        <v>11.99</v>
      </c>
      <c r="F786" t="str">
        <f>C786&amp;D786</f>
        <v>GermanyDebit Card</v>
      </c>
      <c r="G786">
        <v>467</v>
      </c>
      <c r="H786" t="s">
        <v>64</v>
      </c>
    </row>
    <row r="787" spans="1:8">
      <c r="A787">
        <v>7667</v>
      </c>
      <c r="B787" t="s">
        <v>666</v>
      </c>
      <c r="C787" t="s">
        <v>74</v>
      </c>
      <c r="D787" t="s">
        <v>28</v>
      </c>
      <c r="E787">
        <v>15.99</v>
      </c>
      <c r="F787" t="str">
        <f>C787&amp;D787</f>
        <v>GermanyPayPal</v>
      </c>
      <c r="G787">
        <v>443</v>
      </c>
      <c r="H787" t="s">
        <v>29</v>
      </c>
    </row>
    <row r="788" spans="1:8">
      <c r="A788">
        <v>4912</v>
      </c>
      <c r="B788" t="s">
        <v>364</v>
      </c>
      <c r="C788" t="s">
        <v>49</v>
      </c>
      <c r="D788" t="s">
        <v>75</v>
      </c>
      <c r="E788">
        <v>15.99</v>
      </c>
      <c r="F788" t="str">
        <f>C788&amp;D788</f>
        <v>UKCryptocurrency</v>
      </c>
      <c r="G788">
        <v>214</v>
      </c>
      <c r="H788" t="s">
        <v>37</v>
      </c>
    </row>
    <row r="789" spans="1:8">
      <c r="A789">
        <v>7975</v>
      </c>
      <c r="B789" t="s">
        <v>671</v>
      </c>
      <c r="C789" t="s">
        <v>92</v>
      </c>
      <c r="D789" t="s">
        <v>44</v>
      </c>
      <c r="E789">
        <v>15.99</v>
      </c>
      <c r="F789" t="str">
        <f>C789&amp;D789</f>
        <v>FranceDebit Card</v>
      </c>
      <c r="G789">
        <v>437</v>
      </c>
      <c r="H789" t="s">
        <v>64</v>
      </c>
    </row>
    <row r="790" spans="1:8">
      <c r="A790">
        <v>6804</v>
      </c>
      <c r="B790" t="s">
        <v>657</v>
      </c>
      <c r="C790" t="s">
        <v>68</v>
      </c>
      <c r="D790" t="s">
        <v>28</v>
      </c>
      <c r="E790">
        <v>15.99</v>
      </c>
      <c r="F790" t="str">
        <f>C790&amp;D790</f>
        <v>AustraliaPayPal</v>
      </c>
      <c r="G790">
        <v>419</v>
      </c>
      <c r="H790" t="s">
        <v>37</v>
      </c>
    </row>
    <row r="791" spans="1:8">
      <c r="A791">
        <v>3877</v>
      </c>
      <c r="B791" t="s">
        <v>667</v>
      </c>
      <c r="C791" t="s">
        <v>68</v>
      </c>
      <c r="D791" t="s">
        <v>28</v>
      </c>
      <c r="E791">
        <v>11.99</v>
      </c>
      <c r="F791" t="str">
        <f>C791&amp;D791</f>
        <v>AustraliaPayPal</v>
      </c>
      <c r="G791">
        <v>129</v>
      </c>
      <c r="H791" t="s">
        <v>37</v>
      </c>
    </row>
    <row r="792" spans="1:8">
      <c r="A792">
        <v>8768</v>
      </c>
      <c r="B792" t="s">
        <v>281</v>
      </c>
      <c r="C792" t="s">
        <v>68</v>
      </c>
      <c r="D792" t="s">
        <v>44</v>
      </c>
      <c r="E792">
        <v>15.99</v>
      </c>
      <c r="F792" t="str">
        <f>C792&amp;D792</f>
        <v>AustraliaDebit Card</v>
      </c>
      <c r="G792">
        <v>75</v>
      </c>
      <c r="H792" t="s">
        <v>29</v>
      </c>
    </row>
    <row r="793" spans="1:8">
      <c r="A793">
        <v>1420</v>
      </c>
      <c r="B793" t="s">
        <v>197</v>
      </c>
      <c r="C793" t="s">
        <v>92</v>
      </c>
      <c r="D793" t="s">
        <v>28</v>
      </c>
      <c r="E793">
        <v>7.99</v>
      </c>
      <c r="F793" t="str">
        <f>C793&amp;D793</f>
        <v>FrancePayPal</v>
      </c>
      <c r="G793">
        <v>346</v>
      </c>
      <c r="H793" t="s">
        <v>78</v>
      </c>
    </row>
    <row r="794" spans="1:8">
      <c r="A794">
        <v>2306</v>
      </c>
      <c r="B794" t="s">
        <v>257</v>
      </c>
      <c r="C794" t="s">
        <v>43</v>
      </c>
      <c r="D794" t="s">
        <v>56</v>
      </c>
      <c r="E794">
        <v>11.99</v>
      </c>
      <c r="F794" t="str">
        <f>C794&amp;D794</f>
        <v>CanadaCredit Card</v>
      </c>
      <c r="G794">
        <v>480</v>
      </c>
      <c r="H794" t="s">
        <v>64</v>
      </c>
    </row>
    <row r="795" spans="1:8">
      <c r="A795">
        <v>2079</v>
      </c>
      <c r="B795" t="s">
        <v>387</v>
      </c>
      <c r="C795" t="s">
        <v>27</v>
      </c>
      <c r="D795" t="s">
        <v>28</v>
      </c>
      <c r="E795">
        <v>11.99</v>
      </c>
      <c r="F795" t="str">
        <f>C795&amp;D795</f>
        <v>USAPayPal</v>
      </c>
      <c r="G795">
        <v>188</v>
      </c>
      <c r="H795" t="s">
        <v>64</v>
      </c>
    </row>
    <row r="796" spans="1:8">
      <c r="A796">
        <v>3554</v>
      </c>
      <c r="B796" t="s">
        <v>391</v>
      </c>
      <c r="C796" t="s">
        <v>27</v>
      </c>
      <c r="D796" t="s">
        <v>44</v>
      </c>
      <c r="E796">
        <v>7.99</v>
      </c>
      <c r="F796" t="str">
        <f>C796&amp;D796</f>
        <v>USADebit Card</v>
      </c>
      <c r="G796">
        <v>420</v>
      </c>
      <c r="H796" t="s">
        <v>78</v>
      </c>
    </row>
    <row r="797" spans="1:8">
      <c r="A797">
        <v>7616</v>
      </c>
      <c r="B797" t="s">
        <v>280</v>
      </c>
      <c r="C797" t="s">
        <v>74</v>
      </c>
      <c r="D797" t="s">
        <v>44</v>
      </c>
      <c r="E797">
        <v>15.99</v>
      </c>
      <c r="F797" t="str">
        <f>C797&amp;D797</f>
        <v>GermanyDebit Card</v>
      </c>
      <c r="G797">
        <v>204</v>
      </c>
      <c r="H797" t="s">
        <v>64</v>
      </c>
    </row>
    <row r="798" spans="1:8">
      <c r="A798">
        <v>5650</v>
      </c>
      <c r="B798" t="s">
        <v>441</v>
      </c>
      <c r="C798" t="s">
        <v>43</v>
      </c>
      <c r="D798" t="s">
        <v>75</v>
      </c>
      <c r="E798">
        <v>15.99</v>
      </c>
      <c r="F798" t="str">
        <f>C798&amp;D798</f>
        <v>CanadaCryptocurrency</v>
      </c>
      <c r="G798">
        <v>355</v>
      </c>
      <c r="H798" t="s">
        <v>29</v>
      </c>
    </row>
    <row r="799" spans="1:8">
      <c r="A799">
        <v>9385</v>
      </c>
      <c r="B799" t="s">
        <v>202</v>
      </c>
      <c r="C799" t="s">
        <v>43</v>
      </c>
      <c r="D799" t="s">
        <v>28</v>
      </c>
      <c r="E799">
        <v>7.99</v>
      </c>
      <c r="F799" t="str">
        <f>C799&amp;D799</f>
        <v>CanadaPayPal</v>
      </c>
      <c r="G799">
        <v>200</v>
      </c>
      <c r="H799" t="s">
        <v>64</v>
      </c>
    </row>
    <row r="800" spans="1:8">
      <c r="A800">
        <v>2482</v>
      </c>
      <c r="B800" t="s">
        <v>197</v>
      </c>
      <c r="C800" t="s">
        <v>55</v>
      </c>
      <c r="D800" t="s">
        <v>56</v>
      </c>
      <c r="E800">
        <v>7.99</v>
      </c>
      <c r="F800" t="str">
        <f>C800&amp;D800</f>
        <v>IndiaCredit Card</v>
      </c>
      <c r="G800">
        <v>178</v>
      </c>
      <c r="H800" t="s">
        <v>29</v>
      </c>
    </row>
    <row r="801" spans="1:8">
      <c r="A801">
        <v>9017</v>
      </c>
      <c r="B801" t="s">
        <v>510</v>
      </c>
      <c r="C801" t="s">
        <v>55</v>
      </c>
      <c r="D801" t="s">
        <v>56</v>
      </c>
      <c r="E801">
        <v>11.99</v>
      </c>
      <c r="F801" t="str">
        <f>C801&amp;D801</f>
        <v>IndiaCredit Card</v>
      </c>
      <c r="G801">
        <v>337</v>
      </c>
      <c r="H801" t="s">
        <v>64</v>
      </c>
    </row>
    <row r="802" spans="1:8">
      <c r="A802">
        <v>7001</v>
      </c>
      <c r="B802" t="s">
        <v>164</v>
      </c>
      <c r="C802" t="s">
        <v>49</v>
      </c>
      <c r="D802" t="s">
        <v>75</v>
      </c>
      <c r="E802">
        <v>11.99</v>
      </c>
      <c r="F802" t="str">
        <f>C802&amp;D802</f>
        <v>UKCryptocurrency</v>
      </c>
      <c r="G802">
        <v>24</v>
      </c>
      <c r="H802" t="s">
        <v>29</v>
      </c>
    </row>
    <row r="803" spans="1:8">
      <c r="A803">
        <v>2942</v>
      </c>
      <c r="B803" t="s">
        <v>675</v>
      </c>
      <c r="C803" t="s">
        <v>49</v>
      </c>
      <c r="D803" t="s">
        <v>56</v>
      </c>
      <c r="E803">
        <v>11.99</v>
      </c>
      <c r="F803" t="str">
        <f>C803&amp;D803</f>
        <v>UKCredit Card</v>
      </c>
      <c r="G803">
        <v>167</v>
      </c>
      <c r="H803" t="s">
        <v>45</v>
      </c>
    </row>
    <row r="804" spans="1:8">
      <c r="A804">
        <v>8833</v>
      </c>
      <c r="B804" t="s">
        <v>91</v>
      </c>
      <c r="C804" t="s">
        <v>92</v>
      </c>
      <c r="D804" t="s">
        <v>28</v>
      </c>
      <c r="E804">
        <v>7.99</v>
      </c>
      <c r="F804" t="str">
        <f>C804&amp;D804</f>
        <v>FrancePayPal</v>
      </c>
      <c r="G804">
        <v>289</v>
      </c>
      <c r="H804" t="s">
        <v>29</v>
      </c>
    </row>
    <row r="805" spans="1:8">
      <c r="A805">
        <v>8079</v>
      </c>
      <c r="B805" t="s">
        <v>88</v>
      </c>
      <c r="C805" t="s">
        <v>43</v>
      </c>
      <c r="D805" t="s">
        <v>44</v>
      </c>
      <c r="E805">
        <v>7.99</v>
      </c>
      <c r="F805" t="str">
        <f>C805&amp;D805</f>
        <v>CanadaDebit Card</v>
      </c>
      <c r="G805">
        <v>450</v>
      </c>
      <c r="H805" t="s">
        <v>29</v>
      </c>
    </row>
    <row r="806" spans="1:8">
      <c r="A806">
        <v>3797</v>
      </c>
      <c r="B806" t="s">
        <v>88</v>
      </c>
      <c r="C806" t="s">
        <v>27</v>
      </c>
      <c r="D806" t="s">
        <v>75</v>
      </c>
      <c r="E806">
        <v>11.99</v>
      </c>
      <c r="F806" t="str">
        <f>C806&amp;D806</f>
        <v>USACryptocurrency</v>
      </c>
      <c r="G806">
        <v>165</v>
      </c>
      <c r="H806" t="s">
        <v>64</v>
      </c>
    </row>
    <row r="807" spans="1:8">
      <c r="A807">
        <v>7268</v>
      </c>
      <c r="B807" t="s">
        <v>676</v>
      </c>
      <c r="C807" t="s">
        <v>27</v>
      </c>
      <c r="D807" t="s">
        <v>28</v>
      </c>
      <c r="E807">
        <v>15.99</v>
      </c>
      <c r="F807" t="str">
        <f>C807&amp;D807</f>
        <v>USAPayPal</v>
      </c>
      <c r="G807">
        <v>391</v>
      </c>
      <c r="H807" t="s">
        <v>37</v>
      </c>
    </row>
    <row r="808" spans="1:8">
      <c r="A808">
        <v>9803</v>
      </c>
      <c r="B808" t="s">
        <v>405</v>
      </c>
      <c r="C808" t="s">
        <v>27</v>
      </c>
      <c r="D808" t="s">
        <v>75</v>
      </c>
      <c r="E808">
        <v>11.99</v>
      </c>
      <c r="F808" t="str">
        <f>C808&amp;D808</f>
        <v>USACryptocurrency</v>
      </c>
      <c r="G808">
        <v>318</v>
      </c>
      <c r="H808" t="s">
        <v>45</v>
      </c>
    </row>
    <row r="809" spans="1:8">
      <c r="A809">
        <v>2165</v>
      </c>
      <c r="B809" t="s">
        <v>677</v>
      </c>
      <c r="C809" t="s">
        <v>68</v>
      </c>
      <c r="D809" t="s">
        <v>28</v>
      </c>
      <c r="E809">
        <v>15.99</v>
      </c>
      <c r="F809" t="str">
        <f>C809&amp;D809</f>
        <v>AustraliaPayPal</v>
      </c>
      <c r="G809">
        <v>157</v>
      </c>
      <c r="H809" t="s">
        <v>64</v>
      </c>
    </row>
    <row r="810" spans="1:8">
      <c r="A810">
        <v>1528</v>
      </c>
      <c r="B810" t="s">
        <v>365</v>
      </c>
      <c r="C810" t="s">
        <v>49</v>
      </c>
      <c r="D810" t="s">
        <v>44</v>
      </c>
      <c r="E810">
        <v>11.99</v>
      </c>
      <c r="F810" t="str">
        <f>C810&amp;D810</f>
        <v>UKDebit Card</v>
      </c>
      <c r="G810">
        <v>25</v>
      </c>
      <c r="H810" t="s">
        <v>57</v>
      </c>
    </row>
    <row r="811" spans="1:8">
      <c r="A811">
        <v>5978</v>
      </c>
      <c r="B811" t="s">
        <v>393</v>
      </c>
      <c r="C811" t="s">
        <v>49</v>
      </c>
      <c r="D811" t="s">
        <v>28</v>
      </c>
      <c r="E811">
        <v>11.99</v>
      </c>
      <c r="F811" t="str">
        <f>C811&amp;D811</f>
        <v>UKPayPal</v>
      </c>
      <c r="G811">
        <v>112</v>
      </c>
      <c r="H811" t="s">
        <v>64</v>
      </c>
    </row>
    <row r="812" spans="1:8">
      <c r="A812">
        <v>5967</v>
      </c>
      <c r="B812" t="s">
        <v>382</v>
      </c>
      <c r="C812" t="s">
        <v>68</v>
      </c>
      <c r="D812" t="s">
        <v>75</v>
      </c>
      <c r="E812">
        <v>11.99</v>
      </c>
      <c r="F812" t="str">
        <f>C812&amp;D812</f>
        <v>AustraliaCryptocurrency</v>
      </c>
      <c r="G812">
        <v>479</v>
      </c>
      <c r="H812" t="s">
        <v>45</v>
      </c>
    </row>
    <row r="813" spans="1:8">
      <c r="A813">
        <v>4254</v>
      </c>
      <c r="B813" t="s">
        <v>153</v>
      </c>
      <c r="C813" t="s">
        <v>55</v>
      </c>
      <c r="D813" t="s">
        <v>28</v>
      </c>
      <c r="E813">
        <v>11.99</v>
      </c>
      <c r="F813" t="str">
        <f>C813&amp;D813</f>
        <v>IndiaPayPal</v>
      </c>
      <c r="G813">
        <v>233</v>
      </c>
      <c r="H813" t="s">
        <v>29</v>
      </c>
    </row>
    <row r="814" spans="1:8">
      <c r="A814">
        <v>2186</v>
      </c>
      <c r="B814" t="s">
        <v>473</v>
      </c>
      <c r="C814" t="s">
        <v>55</v>
      </c>
      <c r="D814" t="s">
        <v>44</v>
      </c>
      <c r="E814">
        <v>7.99</v>
      </c>
      <c r="F814" t="str">
        <f>C814&amp;D814</f>
        <v>IndiaDebit Card</v>
      </c>
      <c r="G814">
        <v>44</v>
      </c>
      <c r="H814" t="s">
        <v>78</v>
      </c>
    </row>
    <row r="815" spans="1:8">
      <c r="A815">
        <v>7644</v>
      </c>
      <c r="B815" t="s">
        <v>678</v>
      </c>
      <c r="C815" t="s">
        <v>43</v>
      </c>
      <c r="D815" t="s">
        <v>56</v>
      </c>
      <c r="E815">
        <v>15.99</v>
      </c>
      <c r="F815" t="str">
        <f>C815&amp;D815</f>
        <v>CanadaCredit Card</v>
      </c>
      <c r="G815">
        <v>456</v>
      </c>
      <c r="H815" t="s">
        <v>29</v>
      </c>
    </row>
    <row r="816" spans="1:8">
      <c r="A816">
        <v>5897</v>
      </c>
      <c r="B816" t="s">
        <v>296</v>
      </c>
      <c r="C816" t="s">
        <v>74</v>
      </c>
      <c r="D816" t="s">
        <v>56</v>
      </c>
      <c r="E816">
        <v>7.99</v>
      </c>
      <c r="F816" t="str">
        <f>C816&amp;D816</f>
        <v>GermanyCredit Card</v>
      </c>
      <c r="G816">
        <v>486</v>
      </c>
      <c r="H816" t="s">
        <v>37</v>
      </c>
    </row>
    <row r="817" spans="1:8">
      <c r="A817">
        <v>7465</v>
      </c>
      <c r="B817" t="s">
        <v>618</v>
      </c>
      <c r="C817" t="s">
        <v>68</v>
      </c>
      <c r="D817" t="s">
        <v>56</v>
      </c>
      <c r="E817">
        <v>11.99</v>
      </c>
      <c r="F817" t="str">
        <f>C817&amp;D817</f>
        <v>AustraliaCredit Card</v>
      </c>
      <c r="G817">
        <v>308</v>
      </c>
      <c r="H817" t="s">
        <v>57</v>
      </c>
    </row>
    <row r="818" spans="1:8">
      <c r="A818">
        <v>3724</v>
      </c>
      <c r="B818" t="s">
        <v>118</v>
      </c>
      <c r="C818" t="s">
        <v>43</v>
      </c>
      <c r="D818" t="s">
        <v>28</v>
      </c>
      <c r="E818">
        <v>7.99</v>
      </c>
      <c r="F818" t="str">
        <f>C818&amp;D818</f>
        <v>CanadaPayPal</v>
      </c>
      <c r="G818">
        <v>161</v>
      </c>
      <c r="H818" t="s">
        <v>57</v>
      </c>
    </row>
    <row r="819" spans="1:8">
      <c r="A819">
        <v>2914</v>
      </c>
      <c r="B819" t="s">
        <v>579</v>
      </c>
      <c r="C819" t="s">
        <v>43</v>
      </c>
      <c r="D819" t="s">
        <v>56</v>
      </c>
      <c r="E819">
        <v>15.99</v>
      </c>
      <c r="F819" t="str">
        <f>C819&amp;D819</f>
        <v>CanadaCredit Card</v>
      </c>
      <c r="G819">
        <v>316</v>
      </c>
      <c r="H819" t="s">
        <v>29</v>
      </c>
    </row>
    <row r="820" spans="1:8">
      <c r="A820">
        <v>4110</v>
      </c>
      <c r="B820" t="s">
        <v>212</v>
      </c>
      <c r="C820" t="s">
        <v>49</v>
      </c>
      <c r="D820" t="s">
        <v>28</v>
      </c>
      <c r="E820">
        <v>11.99</v>
      </c>
      <c r="F820" t="str">
        <f>C820&amp;D820</f>
        <v>UKPayPal</v>
      </c>
      <c r="G820">
        <v>133</v>
      </c>
      <c r="H820" t="s">
        <v>37</v>
      </c>
    </row>
    <row r="821" spans="1:8">
      <c r="A821">
        <v>6944</v>
      </c>
      <c r="B821" t="s">
        <v>244</v>
      </c>
      <c r="C821" t="s">
        <v>49</v>
      </c>
      <c r="D821" t="s">
        <v>56</v>
      </c>
      <c r="E821">
        <v>15.99</v>
      </c>
      <c r="F821" t="str">
        <f>C821&amp;D821</f>
        <v>UKCredit Card</v>
      </c>
      <c r="G821">
        <v>270</v>
      </c>
      <c r="H821" t="s">
        <v>57</v>
      </c>
    </row>
    <row r="822" spans="1:8">
      <c r="A822">
        <v>3639</v>
      </c>
      <c r="B822" t="s">
        <v>682</v>
      </c>
      <c r="C822" t="s">
        <v>27</v>
      </c>
      <c r="D822" t="s">
        <v>75</v>
      </c>
      <c r="E822">
        <v>11.99</v>
      </c>
      <c r="F822" t="str">
        <f>C822&amp;D822</f>
        <v>USACryptocurrency</v>
      </c>
      <c r="G822">
        <v>85</v>
      </c>
      <c r="H822" t="s">
        <v>78</v>
      </c>
    </row>
    <row r="823" spans="1:8">
      <c r="A823">
        <v>8416</v>
      </c>
      <c r="B823" t="s">
        <v>404</v>
      </c>
      <c r="C823" t="s">
        <v>49</v>
      </c>
      <c r="D823" t="s">
        <v>28</v>
      </c>
      <c r="E823">
        <v>11.99</v>
      </c>
      <c r="F823" t="str">
        <f>C823&amp;D823</f>
        <v>UKPayPal</v>
      </c>
      <c r="G823">
        <v>65</v>
      </c>
      <c r="H823" t="s">
        <v>29</v>
      </c>
    </row>
    <row r="824" spans="1:8">
      <c r="A824">
        <v>7753</v>
      </c>
      <c r="B824" t="s">
        <v>179</v>
      </c>
      <c r="C824" t="s">
        <v>27</v>
      </c>
      <c r="D824" t="s">
        <v>56</v>
      </c>
      <c r="E824">
        <v>7.99</v>
      </c>
      <c r="F824" t="str">
        <f>C824&amp;D824</f>
        <v>USACredit Card</v>
      </c>
      <c r="G824">
        <v>393</v>
      </c>
      <c r="H824" t="s">
        <v>29</v>
      </c>
    </row>
    <row r="825" spans="1:8">
      <c r="A825">
        <v>9528</v>
      </c>
      <c r="B825" t="s">
        <v>684</v>
      </c>
      <c r="C825" t="s">
        <v>27</v>
      </c>
      <c r="D825" t="s">
        <v>44</v>
      </c>
      <c r="E825">
        <v>11.99</v>
      </c>
      <c r="F825" t="str">
        <f>C825&amp;D825</f>
        <v>USADebit Card</v>
      </c>
      <c r="G825">
        <v>181</v>
      </c>
      <c r="H825" t="s">
        <v>45</v>
      </c>
    </row>
    <row r="826" spans="1:8">
      <c r="A826">
        <v>2960</v>
      </c>
      <c r="B826" t="s">
        <v>153</v>
      </c>
      <c r="C826" t="s">
        <v>27</v>
      </c>
      <c r="D826" t="s">
        <v>75</v>
      </c>
      <c r="E826">
        <v>11.99</v>
      </c>
      <c r="F826" t="str">
        <f>C826&amp;D826</f>
        <v>USACryptocurrency</v>
      </c>
      <c r="G826">
        <v>416</v>
      </c>
      <c r="H826" t="s">
        <v>78</v>
      </c>
    </row>
    <row r="827" spans="1:8">
      <c r="A827">
        <v>1090</v>
      </c>
      <c r="B827" t="s">
        <v>628</v>
      </c>
      <c r="C827" t="s">
        <v>43</v>
      </c>
      <c r="D827" t="s">
        <v>75</v>
      </c>
      <c r="E827">
        <v>15.99</v>
      </c>
      <c r="F827" t="str">
        <f>C827&amp;D827</f>
        <v>CanadaCryptocurrency</v>
      </c>
      <c r="G827">
        <v>243</v>
      </c>
      <c r="H827" t="s">
        <v>64</v>
      </c>
    </row>
    <row r="828" spans="1:8">
      <c r="A828">
        <v>2410</v>
      </c>
      <c r="B828" t="s">
        <v>88</v>
      </c>
      <c r="C828" t="s">
        <v>74</v>
      </c>
      <c r="D828" t="s">
        <v>44</v>
      </c>
      <c r="E828">
        <v>11.99</v>
      </c>
      <c r="F828" t="str">
        <f>C828&amp;D828</f>
        <v>GermanyDebit Card</v>
      </c>
      <c r="G828">
        <v>381</v>
      </c>
      <c r="H828" t="s">
        <v>45</v>
      </c>
    </row>
    <row r="829" spans="1:8">
      <c r="A829">
        <v>1575</v>
      </c>
      <c r="B829" t="s">
        <v>153</v>
      </c>
      <c r="C829" t="s">
        <v>68</v>
      </c>
      <c r="D829" t="s">
        <v>56</v>
      </c>
      <c r="E829">
        <v>11.99</v>
      </c>
      <c r="F829" t="str">
        <f>C829&amp;D829</f>
        <v>AustraliaCredit Card</v>
      </c>
      <c r="G829">
        <v>71</v>
      </c>
      <c r="H829" t="s">
        <v>45</v>
      </c>
    </row>
    <row r="830" spans="1:8">
      <c r="A830">
        <v>9259</v>
      </c>
      <c r="B830" t="s">
        <v>241</v>
      </c>
      <c r="C830" t="s">
        <v>92</v>
      </c>
      <c r="D830" t="s">
        <v>75</v>
      </c>
      <c r="E830">
        <v>11.99</v>
      </c>
      <c r="F830" t="str">
        <f>C830&amp;D830</f>
        <v>FranceCryptocurrency</v>
      </c>
      <c r="G830">
        <v>219</v>
      </c>
      <c r="H830" t="s">
        <v>57</v>
      </c>
    </row>
    <row r="831" spans="1:8">
      <c r="A831">
        <v>2170</v>
      </c>
      <c r="B831" t="s">
        <v>148</v>
      </c>
      <c r="C831" t="s">
        <v>43</v>
      </c>
      <c r="D831" t="s">
        <v>28</v>
      </c>
      <c r="E831">
        <v>15.99</v>
      </c>
      <c r="F831" t="str">
        <f>C831&amp;D831</f>
        <v>CanadaPayPal</v>
      </c>
      <c r="G831">
        <v>335</v>
      </c>
      <c r="H831" t="s">
        <v>29</v>
      </c>
    </row>
    <row r="832" spans="1:8">
      <c r="A832">
        <v>2237</v>
      </c>
      <c r="B832" t="s">
        <v>248</v>
      </c>
      <c r="C832" t="s">
        <v>55</v>
      </c>
      <c r="D832" t="s">
        <v>28</v>
      </c>
      <c r="E832">
        <v>7.99</v>
      </c>
      <c r="F832" t="str">
        <f>C832&amp;D832</f>
        <v>IndiaPayPal</v>
      </c>
      <c r="G832">
        <v>435</v>
      </c>
      <c r="H832" t="s">
        <v>37</v>
      </c>
    </row>
    <row r="833" spans="1:8">
      <c r="A833">
        <v>2697</v>
      </c>
      <c r="B833" t="s">
        <v>174</v>
      </c>
      <c r="C833" t="s">
        <v>27</v>
      </c>
      <c r="D833" t="s">
        <v>44</v>
      </c>
      <c r="E833">
        <v>15.99</v>
      </c>
      <c r="F833" t="str">
        <f>C833&amp;D833</f>
        <v>USADebit Card</v>
      </c>
      <c r="G833">
        <v>423</v>
      </c>
      <c r="H833" t="s">
        <v>57</v>
      </c>
    </row>
    <row r="834" spans="1:8">
      <c r="A834">
        <v>4488</v>
      </c>
      <c r="B834" t="s">
        <v>281</v>
      </c>
      <c r="C834" t="s">
        <v>43</v>
      </c>
      <c r="D834" t="s">
        <v>28</v>
      </c>
      <c r="E834">
        <v>7.99</v>
      </c>
      <c r="F834" t="str">
        <f>C834&amp;D834</f>
        <v>CanadaPayPal</v>
      </c>
      <c r="G834">
        <v>304</v>
      </c>
      <c r="H834" t="s">
        <v>64</v>
      </c>
    </row>
    <row r="835" spans="1:8">
      <c r="A835">
        <v>5291</v>
      </c>
      <c r="B835" t="s">
        <v>686</v>
      </c>
      <c r="C835" t="s">
        <v>74</v>
      </c>
      <c r="D835" t="s">
        <v>44</v>
      </c>
      <c r="E835">
        <v>11.99</v>
      </c>
      <c r="F835" t="str">
        <f>C835&amp;D835</f>
        <v>GermanyDebit Card</v>
      </c>
      <c r="G835">
        <v>455</v>
      </c>
      <c r="H835" t="s">
        <v>64</v>
      </c>
    </row>
    <row r="836" spans="1:8">
      <c r="A836">
        <v>6287</v>
      </c>
      <c r="B836" t="s">
        <v>491</v>
      </c>
      <c r="C836" t="s">
        <v>43</v>
      </c>
      <c r="D836" t="s">
        <v>44</v>
      </c>
      <c r="E836">
        <v>11.99</v>
      </c>
      <c r="F836" t="str">
        <f>C836&amp;D836</f>
        <v>CanadaDebit Card</v>
      </c>
      <c r="G836">
        <v>449</v>
      </c>
      <c r="H836" t="s">
        <v>64</v>
      </c>
    </row>
    <row r="837" spans="1:8">
      <c r="A837">
        <v>1953</v>
      </c>
      <c r="B837" t="s">
        <v>667</v>
      </c>
      <c r="C837" t="s">
        <v>74</v>
      </c>
      <c r="D837" t="s">
        <v>56</v>
      </c>
      <c r="E837">
        <v>15.99</v>
      </c>
      <c r="F837" t="str">
        <f>C837&amp;D837</f>
        <v>GermanyCredit Card</v>
      </c>
      <c r="G837">
        <v>39</v>
      </c>
      <c r="H837" t="s">
        <v>57</v>
      </c>
    </row>
    <row r="838" spans="1:8">
      <c r="A838">
        <v>3457</v>
      </c>
      <c r="B838" t="s">
        <v>286</v>
      </c>
      <c r="C838" t="s">
        <v>68</v>
      </c>
      <c r="D838" t="s">
        <v>44</v>
      </c>
      <c r="E838">
        <v>15.99</v>
      </c>
      <c r="F838" t="str">
        <f>C838&amp;D838</f>
        <v>AustraliaDebit Card</v>
      </c>
      <c r="G838">
        <v>139</v>
      </c>
      <c r="H838" t="s">
        <v>64</v>
      </c>
    </row>
    <row r="839" spans="1:8">
      <c r="A839">
        <v>6504</v>
      </c>
      <c r="B839" t="s">
        <v>318</v>
      </c>
      <c r="C839" t="s">
        <v>43</v>
      </c>
      <c r="D839" t="s">
        <v>44</v>
      </c>
      <c r="E839">
        <v>7.99</v>
      </c>
      <c r="F839" t="str">
        <f>C839&amp;D839</f>
        <v>CanadaDebit Card</v>
      </c>
      <c r="G839">
        <v>345</v>
      </c>
      <c r="H839" t="s">
        <v>45</v>
      </c>
    </row>
    <row r="840" spans="1:8">
      <c r="A840">
        <v>7463</v>
      </c>
      <c r="B840" t="s">
        <v>389</v>
      </c>
      <c r="C840" t="s">
        <v>92</v>
      </c>
      <c r="D840" t="s">
        <v>44</v>
      </c>
      <c r="E840">
        <v>11.99</v>
      </c>
      <c r="F840" t="str">
        <f>C840&amp;D840</f>
        <v>FranceDebit Card</v>
      </c>
      <c r="G840">
        <v>500</v>
      </c>
      <c r="H840" t="s">
        <v>29</v>
      </c>
    </row>
    <row r="841" spans="1:8">
      <c r="A841">
        <v>3898</v>
      </c>
      <c r="B841" t="s">
        <v>98</v>
      </c>
      <c r="C841" t="s">
        <v>49</v>
      </c>
      <c r="D841" t="s">
        <v>28</v>
      </c>
      <c r="E841">
        <v>11.99</v>
      </c>
      <c r="F841" t="str">
        <f>C841&amp;D841</f>
        <v>UKPayPal</v>
      </c>
      <c r="G841">
        <v>365</v>
      </c>
      <c r="H841" t="s">
        <v>37</v>
      </c>
    </row>
    <row r="842" spans="1:8">
      <c r="A842">
        <v>8481</v>
      </c>
      <c r="B842" t="s">
        <v>130</v>
      </c>
      <c r="C842" t="s">
        <v>43</v>
      </c>
      <c r="D842" t="s">
        <v>75</v>
      </c>
      <c r="E842">
        <v>7.99</v>
      </c>
      <c r="F842" t="str">
        <f>C842&amp;D842</f>
        <v>CanadaCryptocurrency</v>
      </c>
      <c r="G842">
        <v>479</v>
      </c>
      <c r="H842" t="s">
        <v>37</v>
      </c>
    </row>
    <row r="843" spans="1:8">
      <c r="A843">
        <v>7810</v>
      </c>
      <c r="B843" t="s">
        <v>41</v>
      </c>
      <c r="C843" t="s">
        <v>92</v>
      </c>
      <c r="D843" t="s">
        <v>75</v>
      </c>
      <c r="E843">
        <v>7.99</v>
      </c>
      <c r="F843" t="str">
        <f>C843&amp;D843</f>
        <v>FranceCryptocurrency</v>
      </c>
      <c r="G843">
        <v>63</v>
      </c>
      <c r="H843" t="s">
        <v>45</v>
      </c>
    </row>
    <row r="844" spans="1:8">
      <c r="A844">
        <v>6534</v>
      </c>
      <c r="B844" t="s">
        <v>434</v>
      </c>
      <c r="C844" t="s">
        <v>49</v>
      </c>
      <c r="D844" t="s">
        <v>28</v>
      </c>
      <c r="E844">
        <v>11.99</v>
      </c>
      <c r="F844" t="str">
        <f>C844&amp;D844</f>
        <v>UKPayPal</v>
      </c>
      <c r="G844">
        <v>104</v>
      </c>
      <c r="H844" t="s">
        <v>37</v>
      </c>
    </row>
    <row r="845" spans="1:8">
      <c r="A845">
        <v>6025</v>
      </c>
      <c r="B845" t="s">
        <v>290</v>
      </c>
      <c r="C845" t="s">
        <v>68</v>
      </c>
      <c r="D845" t="s">
        <v>75</v>
      </c>
      <c r="E845">
        <v>15.99</v>
      </c>
      <c r="F845" t="str">
        <f>C845&amp;D845</f>
        <v>AustraliaCryptocurrency</v>
      </c>
      <c r="G845">
        <v>380</v>
      </c>
      <c r="H845" t="s">
        <v>45</v>
      </c>
    </row>
    <row r="846" spans="1:8">
      <c r="A846">
        <v>5825</v>
      </c>
      <c r="B846" t="s">
        <v>689</v>
      </c>
      <c r="C846" t="s">
        <v>74</v>
      </c>
      <c r="D846" t="s">
        <v>75</v>
      </c>
      <c r="E846">
        <v>7.99</v>
      </c>
      <c r="F846" t="str">
        <f>C846&amp;D846</f>
        <v>GermanyCryptocurrency</v>
      </c>
      <c r="G846">
        <v>500</v>
      </c>
      <c r="H846" t="s">
        <v>78</v>
      </c>
    </row>
    <row r="847" spans="1:8">
      <c r="A847">
        <v>1185</v>
      </c>
      <c r="B847" t="s">
        <v>355</v>
      </c>
      <c r="C847" t="s">
        <v>49</v>
      </c>
      <c r="D847" t="s">
        <v>28</v>
      </c>
      <c r="E847">
        <v>15.99</v>
      </c>
      <c r="F847" t="str">
        <f>C847&amp;D847</f>
        <v>UKPayPal</v>
      </c>
      <c r="G847">
        <v>247</v>
      </c>
      <c r="H847" t="s">
        <v>57</v>
      </c>
    </row>
    <row r="848" spans="1:8">
      <c r="A848">
        <v>4392</v>
      </c>
      <c r="B848" t="s">
        <v>395</v>
      </c>
      <c r="C848" t="s">
        <v>27</v>
      </c>
      <c r="D848" t="s">
        <v>56</v>
      </c>
      <c r="E848">
        <v>11.99</v>
      </c>
      <c r="F848" t="str">
        <f>C848&amp;D848</f>
        <v>USACredit Card</v>
      </c>
      <c r="G848">
        <v>486</v>
      </c>
      <c r="H848" t="s">
        <v>37</v>
      </c>
    </row>
    <row r="849" spans="1:8">
      <c r="A849">
        <v>5785</v>
      </c>
      <c r="B849" t="s">
        <v>101</v>
      </c>
      <c r="C849" t="s">
        <v>55</v>
      </c>
      <c r="D849" t="s">
        <v>44</v>
      </c>
      <c r="E849">
        <v>7.99</v>
      </c>
      <c r="F849" t="str">
        <f>C849&amp;D849</f>
        <v>IndiaDebit Card</v>
      </c>
      <c r="G849">
        <v>220</v>
      </c>
      <c r="H849" t="s">
        <v>64</v>
      </c>
    </row>
    <row r="850" spans="1:8">
      <c r="A850">
        <v>4718</v>
      </c>
      <c r="B850" t="s">
        <v>130</v>
      </c>
      <c r="C850" t="s">
        <v>55</v>
      </c>
      <c r="D850" t="s">
        <v>56</v>
      </c>
      <c r="E850">
        <v>15.99</v>
      </c>
      <c r="F850" t="str">
        <f>C850&amp;D850</f>
        <v>IndiaCredit Card</v>
      </c>
      <c r="G850">
        <v>21</v>
      </c>
      <c r="H850" t="s">
        <v>29</v>
      </c>
    </row>
    <row r="851" spans="1:8">
      <c r="A851">
        <v>3992</v>
      </c>
      <c r="B851" t="s">
        <v>224</v>
      </c>
      <c r="C851" t="s">
        <v>74</v>
      </c>
      <c r="D851" t="s">
        <v>44</v>
      </c>
      <c r="E851">
        <v>11.99</v>
      </c>
      <c r="F851" t="str">
        <f>C851&amp;D851</f>
        <v>GermanyDebit Card</v>
      </c>
      <c r="G851">
        <v>417</v>
      </c>
      <c r="H851" t="s">
        <v>57</v>
      </c>
    </row>
    <row r="852" spans="1:8">
      <c r="A852">
        <v>6100</v>
      </c>
      <c r="B852" t="s">
        <v>517</v>
      </c>
      <c r="C852" t="s">
        <v>74</v>
      </c>
      <c r="D852" t="s">
        <v>75</v>
      </c>
      <c r="E852">
        <v>11.99</v>
      </c>
      <c r="F852" t="str">
        <f>C852&amp;D852</f>
        <v>GermanyCryptocurrency</v>
      </c>
      <c r="G852">
        <v>191</v>
      </c>
      <c r="H852" t="s">
        <v>29</v>
      </c>
    </row>
    <row r="853" spans="1:8">
      <c r="A853">
        <v>8495</v>
      </c>
      <c r="B853" t="s">
        <v>691</v>
      </c>
      <c r="C853" t="s">
        <v>92</v>
      </c>
      <c r="D853" t="s">
        <v>56</v>
      </c>
      <c r="E853">
        <v>7.99</v>
      </c>
      <c r="F853" t="str">
        <f>C853&amp;D853</f>
        <v>FranceCredit Card</v>
      </c>
      <c r="G853">
        <v>460</v>
      </c>
      <c r="H853" t="s">
        <v>37</v>
      </c>
    </row>
    <row r="854" spans="1:8">
      <c r="A854">
        <v>3083</v>
      </c>
      <c r="B854" t="s">
        <v>631</v>
      </c>
      <c r="C854" t="s">
        <v>27</v>
      </c>
      <c r="D854" t="s">
        <v>56</v>
      </c>
      <c r="E854">
        <v>7.99</v>
      </c>
      <c r="F854" t="str">
        <f>C854&amp;D854</f>
        <v>USACredit Card</v>
      </c>
      <c r="G854">
        <v>413</v>
      </c>
      <c r="H854" t="s">
        <v>37</v>
      </c>
    </row>
    <row r="855" spans="1:8">
      <c r="A855">
        <v>9936</v>
      </c>
      <c r="B855" t="s">
        <v>147</v>
      </c>
      <c r="C855" t="s">
        <v>74</v>
      </c>
      <c r="D855" t="s">
        <v>56</v>
      </c>
      <c r="E855">
        <v>7.99</v>
      </c>
      <c r="F855" t="str">
        <f>C855&amp;D855</f>
        <v>GermanyCredit Card</v>
      </c>
      <c r="G855">
        <v>484</v>
      </c>
      <c r="H855" t="s">
        <v>29</v>
      </c>
    </row>
    <row r="856" spans="1:8">
      <c r="A856">
        <v>2418</v>
      </c>
      <c r="B856" t="s">
        <v>186</v>
      </c>
      <c r="C856" t="s">
        <v>27</v>
      </c>
      <c r="D856" t="s">
        <v>56</v>
      </c>
      <c r="E856">
        <v>15.99</v>
      </c>
      <c r="F856" t="str">
        <f>C856&amp;D856</f>
        <v>USACredit Card</v>
      </c>
      <c r="G856">
        <v>227</v>
      </c>
      <c r="H856" t="s">
        <v>78</v>
      </c>
    </row>
    <row r="857" spans="1:8">
      <c r="A857">
        <v>4089</v>
      </c>
      <c r="B857" t="s">
        <v>120</v>
      </c>
      <c r="C857" t="s">
        <v>43</v>
      </c>
      <c r="D857" t="s">
        <v>44</v>
      </c>
      <c r="E857">
        <v>11.99</v>
      </c>
      <c r="F857" t="str">
        <f>C857&amp;D857</f>
        <v>CanadaDebit Card</v>
      </c>
      <c r="G857">
        <v>313</v>
      </c>
      <c r="H857" t="s">
        <v>78</v>
      </c>
    </row>
    <row r="858" spans="1:8">
      <c r="A858">
        <v>8876</v>
      </c>
      <c r="B858" t="s">
        <v>692</v>
      </c>
      <c r="C858" t="s">
        <v>55</v>
      </c>
      <c r="D858" t="s">
        <v>28</v>
      </c>
      <c r="E858">
        <v>11.99</v>
      </c>
      <c r="F858" t="str">
        <f>C858&amp;D858</f>
        <v>IndiaPayPal</v>
      </c>
      <c r="G858">
        <v>491</v>
      </c>
      <c r="H858" t="s">
        <v>78</v>
      </c>
    </row>
    <row r="859" spans="1:8">
      <c r="A859">
        <v>3959</v>
      </c>
      <c r="B859" t="s">
        <v>373</v>
      </c>
      <c r="C859" t="s">
        <v>27</v>
      </c>
      <c r="D859" t="s">
        <v>44</v>
      </c>
      <c r="E859">
        <v>15.99</v>
      </c>
      <c r="F859" t="str">
        <f>C859&amp;D859</f>
        <v>USADebit Card</v>
      </c>
      <c r="G859">
        <v>50</v>
      </c>
      <c r="H859" t="s">
        <v>37</v>
      </c>
    </row>
    <row r="860" spans="1:8">
      <c r="A860">
        <v>2011</v>
      </c>
      <c r="B860" t="s">
        <v>693</v>
      </c>
      <c r="C860" t="s">
        <v>55</v>
      </c>
      <c r="D860" t="s">
        <v>75</v>
      </c>
      <c r="E860">
        <v>7.99</v>
      </c>
      <c r="F860" t="str">
        <f>C860&amp;D860</f>
        <v>IndiaCryptocurrency</v>
      </c>
      <c r="G860">
        <v>73</v>
      </c>
      <c r="H860" t="s">
        <v>64</v>
      </c>
    </row>
    <row r="861" spans="1:8">
      <c r="A861">
        <v>7896</v>
      </c>
      <c r="B861" t="s">
        <v>157</v>
      </c>
      <c r="C861" t="s">
        <v>43</v>
      </c>
      <c r="D861" t="s">
        <v>44</v>
      </c>
      <c r="E861">
        <v>11.99</v>
      </c>
      <c r="F861" t="str">
        <f>C861&amp;D861</f>
        <v>CanadaDebit Card</v>
      </c>
      <c r="G861">
        <v>139</v>
      </c>
      <c r="H861" t="s">
        <v>37</v>
      </c>
    </row>
    <row r="862" spans="1:8">
      <c r="A862">
        <v>5495</v>
      </c>
      <c r="B862" t="s">
        <v>695</v>
      </c>
      <c r="C862" t="s">
        <v>27</v>
      </c>
      <c r="D862" t="s">
        <v>44</v>
      </c>
      <c r="E862">
        <v>11.99</v>
      </c>
      <c r="F862" t="str">
        <f>C862&amp;D862</f>
        <v>USADebit Card</v>
      </c>
      <c r="G862">
        <v>327</v>
      </c>
      <c r="H862" t="s">
        <v>78</v>
      </c>
    </row>
    <row r="863" spans="1:8">
      <c r="A863">
        <v>6219</v>
      </c>
      <c r="B863" t="s">
        <v>318</v>
      </c>
      <c r="C863" t="s">
        <v>49</v>
      </c>
      <c r="D863" t="s">
        <v>28</v>
      </c>
      <c r="E863">
        <v>11.99</v>
      </c>
      <c r="F863" t="str">
        <f>C863&amp;D863</f>
        <v>UKPayPal</v>
      </c>
      <c r="G863">
        <v>206</v>
      </c>
      <c r="H863" t="s">
        <v>64</v>
      </c>
    </row>
    <row r="864" spans="1:8">
      <c r="A864">
        <v>4458</v>
      </c>
      <c r="B864" t="s">
        <v>696</v>
      </c>
      <c r="C864" t="s">
        <v>55</v>
      </c>
      <c r="D864" t="s">
        <v>44</v>
      </c>
      <c r="E864">
        <v>15.99</v>
      </c>
      <c r="F864" t="str">
        <f>C864&amp;D864</f>
        <v>IndiaDebit Card</v>
      </c>
      <c r="G864">
        <v>23</v>
      </c>
      <c r="H864" t="s">
        <v>45</v>
      </c>
    </row>
    <row r="865" spans="1:8">
      <c r="A865">
        <v>4115</v>
      </c>
      <c r="B865" t="s">
        <v>698</v>
      </c>
      <c r="C865" t="s">
        <v>55</v>
      </c>
      <c r="D865" t="s">
        <v>56</v>
      </c>
      <c r="E865">
        <v>15.99</v>
      </c>
      <c r="F865" t="str">
        <f>C865&amp;D865</f>
        <v>IndiaCredit Card</v>
      </c>
      <c r="G865">
        <v>158</v>
      </c>
      <c r="H865" t="s">
        <v>29</v>
      </c>
    </row>
    <row r="866" spans="1:8">
      <c r="A866">
        <v>6586</v>
      </c>
      <c r="B866" t="s">
        <v>677</v>
      </c>
      <c r="C866" t="s">
        <v>92</v>
      </c>
      <c r="D866" t="s">
        <v>28</v>
      </c>
      <c r="E866">
        <v>15.99</v>
      </c>
      <c r="F866" t="str">
        <f>C866&amp;D866</f>
        <v>FrancePayPal</v>
      </c>
      <c r="G866">
        <v>459</v>
      </c>
      <c r="H866" t="s">
        <v>29</v>
      </c>
    </row>
    <row r="867" spans="1:8">
      <c r="A867">
        <v>3985</v>
      </c>
      <c r="B867" t="s">
        <v>290</v>
      </c>
      <c r="C867" t="s">
        <v>74</v>
      </c>
      <c r="D867" t="s">
        <v>75</v>
      </c>
      <c r="E867">
        <v>15.99</v>
      </c>
      <c r="F867" t="str">
        <f>C867&amp;D867</f>
        <v>GermanyCryptocurrency</v>
      </c>
      <c r="G867">
        <v>30</v>
      </c>
      <c r="H867" t="s">
        <v>57</v>
      </c>
    </row>
    <row r="868" spans="1:8">
      <c r="A868">
        <v>8501</v>
      </c>
      <c r="B868" t="s">
        <v>106</v>
      </c>
      <c r="C868" t="s">
        <v>27</v>
      </c>
      <c r="D868" t="s">
        <v>75</v>
      </c>
      <c r="E868">
        <v>11.99</v>
      </c>
      <c r="F868" t="str">
        <f>C868&amp;D868</f>
        <v>USACryptocurrency</v>
      </c>
      <c r="G868">
        <v>42</v>
      </c>
      <c r="H868" t="s">
        <v>64</v>
      </c>
    </row>
    <row r="869" spans="1:8">
      <c r="A869">
        <v>4048</v>
      </c>
      <c r="B869" t="s">
        <v>186</v>
      </c>
      <c r="C869" t="s">
        <v>74</v>
      </c>
      <c r="D869" t="s">
        <v>56</v>
      </c>
      <c r="E869">
        <v>11.99</v>
      </c>
      <c r="F869" t="str">
        <f>C869&amp;D869</f>
        <v>GermanyCredit Card</v>
      </c>
      <c r="G869">
        <v>242</v>
      </c>
      <c r="H869" t="s">
        <v>78</v>
      </c>
    </row>
    <row r="870" spans="1:8">
      <c r="A870">
        <v>4466</v>
      </c>
      <c r="B870" t="s">
        <v>138</v>
      </c>
      <c r="C870" t="s">
        <v>74</v>
      </c>
      <c r="D870" t="s">
        <v>44</v>
      </c>
      <c r="E870">
        <v>11.99</v>
      </c>
      <c r="F870" t="str">
        <f>C870&amp;D870</f>
        <v>GermanyDebit Card</v>
      </c>
      <c r="G870">
        <v>25</v>
      </c>
      <c r="H870" t="s">
        <v>64</v>
      </c>
    </row>
    <row r="871" spans="1:8">
      <c r="A871">
        <v>5479</v>
      </c>
      <c r="B871" t="s">
        <v>179</v>
      </c>
      <c r="C871" t="s">
        <v>55</v>
      </c>
      <c r="D871" t="s">
        <v>28</v>
      </c>
      <c r="E871">
        <v>7.99</v>
      </c>
      <c r="F871" t="str">
        <f>C871&amp;D871</f>
        <v>IndiaPayPal</v>
      </c>
      <c r="G871">
        <v>140</v>
      </c>
      <c r="H871" t="s">
        <v>78</v>
      </c>
    </row>
    <row r="872" spans="1:8">
      <c r="A872">
        <v>2480</v>
      </c>
      <c r="B872" t="s">
        <v>618</v>
      </c>
      <c r="C872" t="s">
        <v>49</v>
      </c>
      <c r="D872" t="s">
        <v>75</v>
      </c>
      <c r="E872">
        <v>15.99</v>
      </c>
      <c r="F872" t="str">
        <f>C872&amp;D872</f>
        <v>UKCryptocurrency</v>
      </c>
      <c r="G872">
        <v>192</v>
      </c>
      <c r="H872" t="s">
        <v>37</v>
      </c>
    </row>
    <row r="873" spans="1:8">
      <c r="A873">
        <v>6288</v>
      </c>
      <c r="B873" t="s">
        <v>271</v>
      </c>
      <c r="C873" t="s">
        <v>68</v>
      </c>
      <c r="D873" t="s">
        <v>28</v>
      </c>
      <c r="E873">
        <v>15.99</v>
      </c>
      <c r="F873" t="str">
        <f>C873&amp;D873</f>
        <v>AustraliaPayPal</v>
      </c>
      <c r="G873">
        <v>267</v>
      </c>
      <c r="H873" t="s">
        <v>78</v>
      </c>
    </row>
    <row r="874" spans="1:8">
      <c r="A874">
        <v>9973</v>
      </c>
      <c r="B874" t="s">
        <v>224</v>
      </c>
      <c r="C874" t="s">
        <v>43</v>
      </c>
      <c r="D874" t="s">
        <v>44</v>
      </c>
      <c r="E874">
        <v>11.99</v>
      </c>
      <c r="F874" t="str">
        <f>C874&amp;D874</f>
        <v>CanadaDebit Card</v>
      </c>
      <c r="G874">
        <v>410</v>
      </c>
      <c r="H874" t="s">
        <v>78</v>
      </c>
    </row>
    <row r="875" spans="1:8">
      <c r="A875">
        <v>6078</v>
      </c>
      <c r="B875" t="s">
        <v>606</v>
      </c>
      <c r="C875" t="s">
        <v>74</v>
      </c>
      <c r="D875" t="s">
        <v>75</v>
      </c>
      <c r="E875">
        <v>7.99</v>
      </c>
      <c r="F875" t="str">
        <f>C875&amp;D875</f>
        <v>GermanyCryptocurrency</v>
      </c>
      <c r="G875">
        <v>281</v>
      </c>
      <c r="H875" t="s">
        <v>37</v>
      </c>
    </row>
    <row r="876" spans="1:8">
      <c r="A876">
        <v>5362</v>
      </c>
      <c r="B876" t="s">
        <v>332</v>
      </c>
      <c r="C876" t="s">
        <v>49</v>
      </c>
      <c r="D876" t="s">
        <v>75</v>
      </c>
      <c r="E876">
        <v>15.99</v>
      </c>
      <c r="F876" t="str">
        <f>C876&amp;D876</f>
        <v>UKCryptocurrency</v>
      </c>
      <c r="G876">
        <v>478</v>
      </c>
      <c r="H876" t="s">
        <v>57</v>
      </c>
    </row>
    <row r="877" spans="1:8">
      <c r="A877">
        <v>1687</v>
      </c>
      <c r="B877" t="s">
        <v>126</v>
      </c>
      <c r="C877" t="s">
        <v>92</v>
      </c>
      <c r="D877" t="s">
        <v>28</v>
      </c>
      <c r="E877">
        <v>7.99</v>
      </c>
      <c r="F877" t="str">
        <f>C877&amp;D877</f>
        <v>FrancePayPal</v>
      </c>
      <c r="G877">
        <v>44</v>
      </c>
      <c r="H877" t="s">
        <v>29</v>
      </c>
    </row>
    <row r="878" spans="1:8">
      <c r="A878">
        <v>8986</v>
      </c>
      <c r="B878" t="s">
        <v>409</v>
      </c>
      <c r="C878" t="s">
        <v>43</v>
      </c>
      <c r="D878" t="s">
        <v>56</v>
      </c>
      <c r="E878">
        <v>15.99</v>
      </c>
      <c r="F878" t="str">
        <f>C878&amp;D878</f>
        <v>CanadaCredit Card</v>
      </c>
      <c r="G878">
        <v>250</v>
      </c>
      <c r="H878" t="s">
        <v>37</v>
      </c>
    </row>
    <row r="879" spans="1:8">
      <c r="A879">
        <v>5994</v>
      </c>
      <c r="B879" t="s">
        <v>492</v>
      </c>
      <c r="C879" t="s">
        <v>49</v>
      </c>
      <c r="D879" t="s">
        <v>56</v>
      </c>
      <c r="E879">
        <v>7.99</v>
      </c>
      <c r="F879" t="str">
        <f>C879&amp;D879</f>
        <v>UKCredit Card</v>
      </c>
      <c r="G879">
        <v>225</v>
      </c>
      <c r="H879" t="s">
        <v>37</v>
      </c>
    </row>
    <row r="880" spans="1:8">
      <c r="A880">
        <v>6293</v>
      </c>
      <c r="B880" t="s">
        <v>224</v>
      </c>
      <c r="C880" t="s">
        <v>74</v>
      </c>
      <c r="D880" t="s">
        <v>44</v>
      </c>
      <c r="E880">
        <v>15.99</v>
      </c>
      <c r="F880" t="str">
        <f>C880&amp;D880</f>
        <v>GermanyDebit Card</v>
      </c>
      <c r="G880">
        <v>473</v>
      </c>
      <c r="H880" t="s">
        <v>45</v>
      </c>
    </row>
    <row r="881" spans="1:8">
      <c r="A881">
        <v>7558</v>
      </c>
      <c r="B881" t="s">
        <v>369</v>
      </c>
      <c r="C881" t="s">
        <v>74</v>
      </c>
      <c r="D881" t="s">
        <v>44</v>
      </c>
      <c r="E881">
        <v>11.99</v>
      </c>
      <c r="F881" t="str">
        <f>C881&amp;D881</f>
        <v>GermanyDebit Card</v>
      </c>
      <c r="G881">
        <v>236</v>
      </c>
      <c r="H881" t="s">
        <v>64</v>
      </c>
    </row>
    <row r="882" spans="1:8">
      <c r="A882">
        <v>1805</v>
      </c>
      <c r="B882" t="s">
        <v>88</v>
      </c>
      <c r="C882" t="s">
        <v>27</v>
      </c>
      <c r="D882" t="s">
        <v>75</v>
      </c>
      <c r="E882">
        <v>11.99</v>
      </c>
      <c r="F882" t="str">
        <f>C882&amp;D882</f>
        <v>USACryptocurrency</v>
      </c>
      <c r="G882">
        <v>349</v>
      </c>
      <c r="H882" t="s">
        <v>37</v>
      </c>
    </row>
    <row r="883" spans="1:8">
      <c r="A883">
        <v>1661</v>
      </c>
      <c r="B883" t="s">
        <v>374</v>
      </c>
      <c r="C883" t="s">
        <v>43</v>
      </c>
      <c r="D883" t="s">
        <v>56</v>
      </c>
      <c r="E883">
        <v>15.99</v>
      </c>
      <c r="F883" t="str">
        <f>C883&amp;D883</f>
        <v>CanadaCredit Card</v>
      </c>
      <c r="G883">
        <v>139</v>
      </c>
      <c r="H883" t="s">
        <v>29</v>
      </c>
    </row>
    <row r="884" spans="1:8">
      <c r="A884">
        <v>8960</v>
      </c>
      <c r="B884" t="s">
        <v>631</v>
      </c>
      <c r="C884" t="s">
        <v>49</v>
      </c>
      <c r="D884" t="s">
        <v>28</v>
      </c>
      <c r="E884">
        <v>15.99</v>
      </c>
      <c r="F884" t="str">
        <f>C884&amp;D884</f>
        <v>UKPayPal</v>
      </c>
      <c r="G884">
        <v>278</v>
      </c>
      <c r="H884" t="s">
        <v>78</v>
      </c>
    </row>
    <row r="885" spans="1:8">
      <c r="A885">
        <v>6131</v>
      </c>
      <c r="B885" t="s">
        <v>80</v>
      </c>
      <c r="C885" t="s">
        <v>92</v>
      </c>
      <c r="D885" t="s">
        <v>75</v>
      </c>
      <c r="E885">
        <v>7.99</v>
      </c>
      <c r="F885" t="str">
        <f>C885&amp;D885</f>
        <v>FranceCryptocurrency</v>
      </c>
      <c r="G885">
        <v>242</v>
      </c>
      <c r="H885" t="s">
        <v>29</v>
      </c>
    </row>
    <row r="886" spans="1:8">
      <c r="A886">
        <v>4114</v>
      </c>
      <c r="B886" t="s">
        <v>344</v>
      </c>
      <c r="C886" t="s">
        <v>55</v>
      </c>
      <c r="D886" t="s">
        <v>44</v>
      </c>
      <c r="E886">
        <v>11.99</v>
      </c>
      <c r="F886" t="str">
        <f>C886&amp;D886</f>
        <v>IndiaDebit Card</v>
      </c>
      <c r="G886">
        <v>251</v>
      </c>
      <c r="H886" t="s">
        <v>64</v>
      </c>
    </row>
    <row r="887" spans="1:8">
      <c r="A887">
        <v>4833</v>
      </c>
      <c r="B887" t="s">
        <v>137</v>
      </c>
      <c r="C887" t="s">
        <v>43</v>
      </c>
      <c r="D887" t="s">
        <v>56</v>
      </c>
      <c r="E887">
        <v>7.99</v>
      </c>
      <c r="F887" t="str">
        <f>C887&amp;D887</f>
        <v>CanadaCredit Card</v>
      </c>
      <c r="G887">
        <v>268</v>
      </c>
      <c r="H887" t="s">
        <v>29</v>
      </c>
    </row>
    <row r="888" spans="1:8">
      <c r="A888">
        <v>2401</v>
      </c>
      <c r="B888" t="s">
        <v>404</v>
      </c>
      <c r="C888" t="s">
        <v>74</v>
      </c>
      <c r="D888" t="s">
        <v>28</v>
      </c>
      <c r="E888">
        <v>7.99</v>
      </c>
      <c r="F888" t="str">
        <f>C888&amp;D888</f>
        <v>GermanyPayPal</v>
      </c>
      <c r="G888">
        <v>322</v>
      </c>
      <c r="H888" t="s">
        <v>57</v>
      </c>
    </row>
    <row r="889" spans="1:8">
      <c r="A889">
        <v>1037</v>
      </c>
      <c r="B889" t="s">
        <v>150</v>
      </c>
      <c r="C889" t="s">
        <v>43</v>
      </c>
      <c r="D889" t="s">
        <v>56</v>
      </c>
      <c r="E889">
        <v>7.99</v>
      </c>
      <c r="F889" t="str">
        <f>C889&amp;D889</f>
        <v>CanadaCredit Card</v>
      </c>
      <c r="G889">
        <v>356</v>
      </c>
      <c r="H889" t="s">
        <v>45</v>
      </c>
    </row>
    <row r="890" spans="1:8">
      <c r="A890">
        <v>2675</v>
      </c>
      <c r="B890" t="s">
        <v>701</v>
      </c>
      <c r="C890" t="s">
        <v>92</v>
      </c>
      <c r="D890" t="s">
        <v>28</v>
      </c>
      <c r="E890">
        <v>15.99</v>
      </c>
      <c r="F890" t="str">
        <f>C890&amp;D890</f>
        <v>FrancePayPal</v>
      </c>
      <c r="G890">
        <v>28</v>
      </c>
      <c r="H890" t="s">
        <v>37</v>
      </c>
    </row>
    <row r="891" spans="1:8">
      <c r="A891">
        <v>1665</v>
      </c>
      <c r="B891" t="s">
        <v>128</v>
      </c>
      <c r="C891" t="s">
        <v>68</v>
      </c>
      <c r="D891" t="s">
        <v>75</v>
      </c>
      <c r="E891">
        <v>11.99</v>
      </c>
      <c r="F891" t="str">
        <f>C891&amp;D891</f>
        <v>AustraliaCryptocurrency</v>
      </c>
      <c r="G891">
        <v>43</v>
      </c>
      <c r="H891" t="s">
        <v>37</v>
      </c>
    </row>
    <row r="892" spans="1:8">
      <c r="A892">
        <v>5671</v>
      </c>
      <c r="B892" t="s">
        <v>274</v>
      </c>
      <c r="C892" t="s">
        <v>27</v>
      </c>
      <c r="D892" t="s">
        <v>28</v>
      </c>
      <c r="E892">
        <v>11.99</v>
      </c>
      <c r="F892" t="str">
        <f>C892&amp;D892</f>
        <v>USAPayPal</v>
      </c>
      <c r="G892">
        <v>391</v>
      </c>
      <c r="H892" t="s">
        <v>78</v>
      </c>
    </row>
    <row r="893" spans="1:8">
      <c r="A893">
        <v>5153</v>
      </c>
      <c r="B893" t="s">
        <v>254</v>
      </c>
      <c r="C893" t="s">
        <v>43</v>
      </c>
      <c r="D893" t="s">
        <v>28</v>
      </c>
      <c r="E893">
        <v>7.99</v>
      </c>
      <c r="F893" t="str">
        <f>C893&amp;D893</f>
        <v>CanadaPayPal</v>
      </c>
      <c r="G893">
        <v>300</v>
      </c>
      <c r="H893" t="s">
        <v>78</v>
      </c>
    </row>
    <row r="894" spans="1:8">
      <c r="A894">
        <v>1114</v>
      </c>
      <c r="B894" t="s">
        <v>325</v>
      </c>
      <c r="C894" t="s">
        <v>27</v>
      </c>
      <c r="D894" t="s">
        <v>44</v>
      </c>
      <c r="E894">
        <v>11.99</v>
      </c>
      <c r="F894" t="str">
        <f>C894&amp;D894</f>
        <v>USADebit Card</v>
      </c>
      <c r="G894">
        <v>75</v>
      </c>
      <c r="H894" t="s">
        <v>37</v>
      </c>
    </row>
    <row r="895" spans="1:8">
      <c r="A895">
        <v>6180</v>
      </c>
      <c r="B895" t="s">
        <v>701</v>
      </c>
      <c r="C895" t="s">
        <v>74</v>
      </c>
      <c r="D895" t="s">
        <v>56</v>
      </c>
      <c r="E895">
        <v>11.99</v>
      </c>
      <c r="F895" t="str">
        <f>C895&amp;D895</f>
        <v>GermanyCredit Card</v>
      </c>
      <c r="G895">
        <v>154</v>
      </c>
      <c r="H895" t="s">
        <v>37</v>
      </c>
    </row>
    <row r="896" spans="1:8">
      <c r="A896">
        <v>8237</v>
      </c>
      <c r="B896" t="s">
        <v>52</v>
      </c>
      <c r="C896" t="s">
        <v>27</v>
      </c>
      <c r="D896" t="s">
        <v>56</v>
      </c>
      <c r="E896">
        <v>7.99</v>
      </c>
      <c r="F896" t="str">
        <f>C896&amp;D896</f>
        <v>USACredit Card</v>
      </c>
      <c r="G896">
        <v>179</v>
      </c>
      <c r="H896" t="s">
        <v>64</v>
      </c>
    </row>
    <row r="897" spans="1:8">
      <c r="A897">
        <v>9500</v>
      </c>
      <c r="B897" t="s">
        <v>703</v>
      </c>
      <c r="C897" t="s">
        <v>27</v>
      </c>
      <c r="D897" t="s">
        <v>56</v>
      </c>
      <c r="E897">
        <v>11.99</v>
      </c>
      <c r="F897" t="str">
        <f>C897&amp;D897</f>
        <v>USACredit Card</v>
      </c>
      <c r="G897">
        <v>147</v>
      </c>
      <c r="H897" t="s">
        <v>45</v>
      </c>
    </row>
    <row r="898" spans="1:8">
      <c r="A898">
        <v>7476</v>
      </c>
      <c r="B898" t="s">
        <v>34</v>
      </c>
      <c r="C898" t="s">
        <v>92</v>
      </c>
      <c r="D898" t="s">
        <v>44</v>
      </c>
      <c r="E898">
        <v>11.99</v>
      </c>
      <c r="F898" t="str">
        <f>C898&amp;D898</f>
        <v>FranceDebit Card</v>
      </c>
      <c r="G898">
        <v>235</v>
      </c>
      <c r="H898" t="s">
        <v>78</v>
      </c>
    </row>
    <row r="899" spans="1:8">
      <c r="A899">
        <v>9908</v>
      </c>
      <c r="B899" t="s">
        <v>624</v>
      </c>
      <c r="C899" t="s">
        <v>74</v>
      </c>
      <c r="D899" t="s">
        <v>56</v>
      </c>
      <c r="E899">
        <v>11.99</v>
      </c>
      <c r="F899" t="str">
        <f>C899&amp;D899</f>
        <v>GermanyCredit Card</v>
      </c>
      <c r="G899">
        <v>390</v>
      </c>
      <c r="H899" t="s">
        <v>37</v>
      </c>
    </row>
    <row r="900" spans="1:8">
      <c r="A900">
        <v>1534</v>
      </c>
      <c r="B900" t="s">
        <v>52</v>
      </c>
      <c r="C900" t="s">
        <v>27</v>
      </c>
      <c r="D900" t="s">
        <v>56</v>
      </c>
      <c r="E900">
        <v>7.99</v>
      </c>
      <c r="F900" t="str">
        <f>C900&amp;D900</f>
        <v>USACredit Card</v>
      </c>
      <c r="G900">
        <v>116</v>
      </c>
      <c r="H900" t="s">
        <v>45</v>
      </c>
    </row>
    <row r="901" spans="1:8">
      <c r="A901">
        <v>4613</v>
      </c>
      <c r="B901" t="s">
        <v>114</v>
      </c>
      <c r="C901" t="s">
        <v>68</v>
      </c>
      <c r="D901" t="s">
        <v>75</v>
      </c>
      <c r="E901">
        <v>15.99</v>
      </c>
      <c r="F901" t="str">
        <f>C901&amp;D901</f>
        <v>AustraliaCryptocurrency</v>
      </c>
      <c r="G901">
        <v>492</v>
      </c>
      <c r="H901" t="s">
        <v>45</v>
      </c>
    </row>
    <row r="902" spans="1:8">
      <c r="A902">
        <v>5063</v>
      </c>
      <c r="B902" t="s">
        <v>491</v>
      </c>
      <c r="C902" t="s">
        <v>74</v>
      </c>
      <c r="D902" t="s">
        <v>44</v>
      </c>
      <c r="E902">
        <v>7.99</v>
      </c>
      <c r="F902" t="str">
        <f>C902&amp;D902</f>
        <v>GermanyDebit Card</v>
      </c>
      <c r="G902">
        <v>159</v>
      </c>
      <c r="H902" t="s">
        <v>29</v>
      </c>
    </row>
    <row r="903" spans="1:8">
      <c r="A903">
        <v>4548</v>
      </c>
      <c r="B903" t="s">
        <v>244</v>
      </c>
      <c r="C903" t="s">
        <v>92</v>
      </c>
      <c r="D903" t="s">
        <v>75</v>
      </c>
      <c r="E903">
        <v>7.99</v>
      </c>
      <c r="F903" t="str">
        <f>C903&amp;D903</f>
        <v>FranceCryptocurrency</v>
      </c>
      <c r="G903">
        <v>279</v>
      </c>
      <c r="H903" t="s">
        <v>78</v>
      </c>
    </row>
    <row r="904" spans="1:8">
      <c r="A904">
        <v>7556</v>
      </c>
      <c r="B904" t="s">
        <v>598</v>
      </c>
      <c r="C904" t="s">
        <v>27</v>
      </c>
      <c r="D904" t="s">
        <v>75</v>
      </c>
      <c r="E904">
        <v>15.99</v>
      </c>
      <c r="F904" t="str">
        <f>C904&amp;D904</f>
        <v>USACryptocurrency</v>
      </c>
      <c r="G904">
        <v>386</v>
      </c>
      <c r="H904" t="s">
        <v>29</v>
      </c>
    </row>
    <row r="905" spans="1:8">
      <c r="A905">
        <v>1846</v>
      </c>
      <c r="B905" t="s">
        <v>705</v>
      </c>
      <c r="C905" t="s">
        <v>68</v>
      </c>
      <c r="D905" t="s">
        <v>56</v>
      </c>
      <c r="E905">
        <v>15.99</v>
      </c>
      <c r="F905" t="str">
        <f>C905&amp;D905</f>
        <v>AustraliaCredit Card</v>
      </c>
      <c r="G905">
        <v>332</v>
      </c>
      <c r="H905" t="s">
        <v>64</v>
      </c>
    </row>
    <row r="906" spans="1:8">
      <c r="A906">
        <v>7088</v>
      </c>
      <c r="B906" t="s">
        <v>120</v>
      </c>
      <c r="C906" t="s">
        <v>68</v>
      </c>
      <c r="D906" t="s">
        <v>28</v>
      </c>
      <c r="E906">
        <v>11.99</v>
      </c>
      <c r="F906" t="str">
        <f>C906&amp;D906</f>
        <v>AustraliaPayPal</v>
      </c>
      <c r="G906">
        <v>176</v>
      </c>
      <c r="H906" t="s">
        <v>57</v>
      </c>
    </row>
    <row r="907" spans="1:8">
      <c r="A907">
        <v>1179</v>
      </c>
      <c r="B907" t="s">
        <v>395</v>
      </c>
      <c r="C907" t="s">
        <v>74</v>
      </c>
      <c r="D907" t="s">
        <v>75</v>
      </c>
      <c r="E907">
        <v>11.99</v>
      </c>
      <c r="F907" t="str">
        <f>C907&amp;D907</f>
        <v>GermanyCryptocurrency</v>
      </c>
      <c r="G907">
        <v>221</v>
      </c>
      <c r="H907" t="s">
        <v>29</v>
      </c>
    </row>
    <row r="908" spans="1:8">
      <c r="A908">
        <v>2190</v>
      </c>
      <c r="B908" t="s">
        <v>682</v>
      </c>
      <c r="C908" t="s">
        <v>27</v>
      </c>
      <c r="D908" t="s">
        <v>56</v>
      </c>
      <c r="E908">
        <v>7.99</v>
      </c>
      <c r="F908" t="str">
        <f>C908&amp;D908</f>
        <v>USACredit Card</v>
      </c>
      <c r="G908">
        <v>263</v>
      </c>
      <c r="H908" t="s">
        <v>45</v>
      </c>
    </row>
    <row r="909" spans="1:8">
      <c r="A909">
        <v>2847</v>
      </c>
      <c r="B909" t="s">
        <v>98</v>
      </c>
      <c r="C909" t="s">
        <v>92</v>
      </c>
      <c r="D909" t="s">
        <v>56</v>
      </c>
      <c r="E909">
        <v>15.99</v>
      </c>
      <c r="F909" t="str">
        <f>C909&amp;D909</f>
        <v>FranceCredit Card</v>
      </c>
      <c r="G909">
        <v>222</v>
      </c>
      <c r="H909" t="s">
        <v>45</v>
      </c>
    </row>
    <row r="910" spans="1:8">
      <c r="A910">
        <v>6570</v>
      </c>
      <c r="B910" t="s">
        <v>304</v>
      </c>
      <c r="C910" t="s">
        <v>43</v>
      </c>
      <c r="D910" t="s">
        <v>56</v>
      </c>
      <c r="E910">
        <v>11.99</v>
      </c>
      <c r="F910" t="str">
        <f>C910&amp;D910</f>
        <v>CanadaCredit Card</v>
      </c>
      <c r="G910">
        <v>39</v>
      </c>
      <c r="H910" t="s">
        <v>78</v>
      </c>
    </row>
    <row r="911" spans="1:8">
      <c r="A911">
        <v>1149</v>
      </c>
      <c r="B911" t="s">
        <v>157</v>
      </c>
      <c r="C911" t="s">
        <v>27</v>
      </c>
      <c r="D911" t="s">
        <v>44</v>
      </c>
      <c r="E911">
        <v>11.99</v>
      </c>
      <c r="F911" t="str">
        <f>C911&amp;D911</f>
        <v>USADebit Card</v>
      </c>
      <c r="G911">
        <v>445</v>
      </c>
      <c r="H911" t="s">
        <v>78</v>
      </c>
    </row>
    <row r="912" spans="1:8">
      <c r="A912">
        <v>1336</v>
      </c>
      <c r="B912" t="s">
        <v>153</v>
      </c>
      <c r="C912" t="s">
        <v>43</v>
      </c>
      <c r="D912" t="s">
        <v>28</v>
      </c>
      <c r="E912">
        <v>11.99</v>
      </c>
      <c r="F912" t="str">
        <f>C912&amp;D912</f>
        <v>CanadaPayPal</v>
      </c>
      <c r="G912">
        <v>164</v>
      </c>
      <c r="H912" t="s">
        <v>78</v>
      </c>
    </row>
    <row r="913" spans="1:8">
      <c r="A913">
        <v>6956</v>
      </c>
      <c r="B913" t="s">
        <v>291</v>
      </c>
      <c r="C913" t="s">
        <v>55</v>
      </c>
      <c r="D913" t="s">
        <v>44</v>
      </c>
      <c r="E913">
        <v>15.99</v>
      </c>
      <c r="F913" t="str">
        <f>C913&amp;D913</f>
        <v>IndiaDebit Card</v>
      </c>
      <c r="G913">
        <v>101</v>
      </c>
      <c r="H913" t="s">
        <v>45</v>
      </c>
    </row>
    <row r="914" spans="1:8">
      <c r="A914">
        <v>7015</v>
      </c>
      <c r="B914" t="s">
        <v>675</v>
      </c>
      <c r="C914" t="s">
        <v>74</v>
      </c>
      <c r="D914" t="s">
        <v>75</v>
      </c>
      <c r="E914">
        <v>11.99</v>
      </c>
      <c r="F914" t="str">
        <f>C914&amp;D914</f>
        <v>GermanyCryptocurrency</v>
      </c>
      <c r="G914">
        <v>424</v>
      </c>
      <c r="H914" t="s">
        <v>45</v>
      </c>
    </row>
    <row r="915" spans="1:8">
      <c r="A915">
        <v>4104</v>
      </c>
      <c r="B915" t="s">
        <v>706</v>
      </c>
      <c r="C915" t="s">
        <v>27</v>
      </c>
      <c r="D915" t="s">
        <v>75</v>
      </c>
      <c r="E915">
        <v>15.99</v>
      </c>
      <c r="F915" t="str">
        <f>C915&amp;D915</f>
        <v>USACryptocurrency</v>
      </c>
      <c r="G915">
        <v>182</v>
      </c>
      <c r="H915" t="s">
        <v>78</v>
      </c>
    </row>
    <row r="916" spans="1:8">
      <c r="A916">
        <v>9413</v>
      </c>
      <c r="B916" t="s">
        <v>128</v>
      </c>
      <c r="C916" t="s">
        <v>27</v>
      </c>
      <c r="D916" t="s">
        <v>75</v>
      </c>
      <c r="E916">
        <v>15.99</v>
      </c>
      <c r="F916" t="str">
        <f>C916&amp;D916</f>
        <v>USACryptocurrency</v>
      </c>
      <c r="G916">
        <v>115</v>
      </c>
      <c r="H916" t="s">
        <v>29</v>
      </c>
    </row>
    <row r="917" spans="1:8">
      <c r="A917">
        <v>8300</v>
      </c>
      <c r="B917" t="s">
        <v>260</v>
      </c>
      <c r="C917" t="s">
        <v>43</v>
      </c>
      <c r="D917" t="s">
        <v>56</v>
      </c>
      <c r="E917">
        <v>15.99</v>
      </c>
      <c r="F917" t="str">
        <f>C917&amp;D917</f>
        <v>CanadaCredit Card</v>
      </c>
      <c r="G917">
        <v>33</v>
      </c>
      <c r="H917" t="s">
        <v>64</v>
      </c>
    </row>
    <row r="918" spans="1:8">
      <c r="A918">
        <v>5126</v>
      </c>
      <c r="B918" t="s">
        <v>272</v>
      </c>
      <c r="C918" t="s">
        <v>49</v>
      </c>
      <c r="D918" t="s">
        <v>28</v>
      </c>
      <c r="E918">
        <v>7.99</v>
      </c>
      <c r="F918" t="str">
        <f>C918&amp;D918</f>
        <v>UKPayPal</v>
      </c>
      <c r="G918">
        <v>259</v>
      </c>
      <c r="H918" t="s">
        <v>78</v>
      </c>
    </row>
    <row r="919" spans="1:8">
      <c r="A919">
        <v>1754</v>
      </c>
      <c r="B919" t="s">
        <v>70</v>
      </c>
      <c r="C919" t="s">
        <v>92</v>
      </c>
      <c r="D919" t="s">
        <v>56</v>
      </c>
      <c r="E919">
        <v>15.99</v>
      </c>
      <c r="F919" t="str">
        <f>C919&amp;D919</f>
        <v>FranceCredit Card</v>
      </c>
      <c r="G919">
        <v>309</v>
      </c>
      <c r="H919" t="s">
        <v>78</v>
      </c>
    </row>
    <row r="920" spans="1:8">
      <c r="A920">
        <v>7089</v>
      </c>
      <c r="B920" t="s">
        <v>357</v>
      </c>
      <c r="C920" t="s">
        <v>27</v>
      </c>
      <c r="D920" t="s">
        <v>28</v>
      </c>
      <c r="E920">
        <v>7.99</v>
      </c>
      <c r="F920" t="str">
        <f>C920&amp;D920</f>
        <v>USAPayPal</v>
      </c>
      <c r="G920">
        <v>367</v>
      </c>
      <c r="H920" t="s">
        <v>45</v>
      </c>
    </row>
    <row r="921" spans="1:8">
      <c r="A921">
        <v>1697</v>
      </c>
      <c r="B921" t="s">
        <v>104</v>
      </c>
      <c r="C921" t="s">
        <v>27</v>
      </c>
      <c r="D921" t="s">
        <v>44</v>
      </c>
      <c r="E921">
        <v>7.99</v>
      </c>
      <c r="F921" t="str">
        <f>C921&amp;D921</f>
        <v>USADebit Card</v>
      </c>
      <c r="G921">
        <v>472</v>
      </c>
      <c r="H921" t="s">
        <v>78</v>
      </c>
    </row>
    <row r="922" spans="1:8">
      <c r="A922">
        <v>4768</v>
      </c>
      <c r="B922" t="s">
        <v>542</v>
      </c>
      <c r="C922" t="s">
        <v>74</v>
      </c>
      <c r="D922" t="s">
        <v>44</v>
      </c>
      <c r="E922">
        <v>15.99</v>
      </c>
      <c r="F922" t="str">
        <f>C922&amp;D922</f>
        <v>GermanyDebit Card</v>
      </c>
      <c r="G922">
        <v>449</v>
      </c>
      <c r="H922" t="s">
        <v>78</v>
      </c>
    </row>
    <row r="923" spans="1:8">
      <c r="A923">
        <v>4205</v>
      </c>
      <c r="B923" t="s">
        <v>257</v>
      </c>
      <c r="C923" t="s">
        <v>27</v>
      </c>
      <c r="D923" t="s">
        <v>75</v>
      </c>
      <c r="E923">
        <v>15.99</v>
      </c>
      <c r="F923" t="str">
        <f>C923&amp;D923</f>
        <v>USACryptocurrency</v>
      </c>
      <c r="G923">
        <v>302</v>
      </c>
      <c r="H923" t="s">
        <v>64</v>
      </c>
    </row>
    <row r="924" spans="1:8">
      <c r="A924">
        <v>8844</v>
      </c>
      <c r="B924" t="s">
        <v>140</v>
      </c>
      <c r="C924" t="s">
        <v>27</v>
      </c>
      <c r="D924" t="s">
        <v>44</v>
      </c>
      <c r="E924">
        <v>7.99</v>
      </c>
      <c r="F924" t="str">
        <f>C924&amp;D924</f>
        <v>USADebit Card</v>
      </c>
      <c r="G924">
        <v>70</v>
      </c>
      <c r="H924" t="s">
        <v>37</v>
      </c>
    </row>
    <row r="925" spans="1:8">
      <c r="A925">
        <v>1103</v>
      </c>
      <c r="B925" t="s">
        <v>411</v>
      </c>
      <c r="C925" t="s">
        <v>43</v>
      </c>
      <c r="D925" t="s">
        <v>56</v>
      </c>
      <c r="E925">
        <v>7.99</v>
      </c>
      <c r="F925" t="str">
        <f>C925&amp;D925</f>
        <v>CanadaCredit Card</v>
      </c>
      <c r="G925">
        <v>157</v>
      </c>
      <c r="H925" t="s">
        <v>57</v>
      </c>
    </row>
    <row r="926" spans="1:8">
      <c r="A926">
        <v>2180</v>
      </c>
      <c r="B926" t="s">
        <v>709</v>
      </c>
      <c r="C926" t="s">
        <v>49</v>
      </c>
      <c r="D926" t="s">
        <v>28</v>
      </c>
      <c r="E926">
        <v>7.99</v>
      </c>
      <c r="F926" t="str">
        <f>C926&amp;D926</f>
        <v>UKPayPal</v>
      </c>
      <c r="G926">
        <v>17</v>
      </c>
      <c r="H926" t="s">
        <v>45</v>
      </c>
    </row>
    <row r="927" spans="1:8">
      <c r="A927">
        <v>6607</v>
      </c>
      <c r="B927" t="s">
        <v>710</v>
      </c>
      <c r="C927" t="s">
        <v>92</v>
      </c>
      <c r="D927" t="s">
        <v>44</v>
      </c>
      <c r="E927">
        <v>15.99</v>
      </c>
      <c r="F927" t="str">
        <f>C927&amp;D927</f>
        <v>FranceDebit Card</v>
      </c>
      <c r="G927">
        <v>173</v>
      </c>
      <c r="H927" t="s">
        <v>78</v>
      </c>
    </row>
    <row r="928" spans="1:8">
      <c r="A928">
        <v>7949</v>
      </c>
      <c r="B928" t="s">
        <v>391</v>
      </c>
      <c r="C928" t="s">
        <v>68</v>
      </c>
      <c r="D928" t="s">
        <v>56</v>
      </c>
      <c r="E928">
        <v>11.99</v>
      </c>
      <c r="F928" t="str">
        <f>C928&amp;D928</f>
        <v>AustraliaCredit Card</v>
      </c>
      <c r="G928">
        <v>301</v>
      </c>
      <c r="H928" t="s">
        <v>29</v>
      </c>
    </row>
    <row r="929" spans="1:8">
      <c r="A929">
        <v>5337</v>
      </c>
      <c r="B929" t="s">
        <v>508</v>
      </c>
      <c r="C929" t="s">
        <v>92</v>
      </c>
      <c r="D929" t="s">
        <v>75</v>
      </c>
      <c r="E929">
        <v>7.99</v>
      </c>
      <c r="F929" t="str">
        <f>C929&amp;D929</f>
        <v>FranceCryptocurrency</v>
      </c>
      <c r="G929">
        <v>357</v>
      </c>
      <c r="H929" t="s">
        <v>45</v>
      </c>
    </row>
    <row r="930" spans="1:8">
      <c r="A930">
        <v>8477</v>
      </c>
      <c r="B930" t="s">
        <v>236</v>
      </c>
      <c r="C930" t="s">
        <v>27</v>
      </c>
      <c r="D930" t="s">
        <v>28</v>
      </c>
      <c r="E930">
        <v>7.99</v>
      </c>
      <c r="F930" t="str">
        <f>C930&amp;D930</f>
        <v>USAPayPal</v>
      </c>
      <c r="G930">
        <v>48</v>
      </c>
      <c r="H930" t="s">
        <v>37</v>
      </c>
    </row>
    <row r="931" spans="1:8">
      <c r="A931">
        <v>7673</v>
      </c>
      <c r="B931" t="s">
        <v>712</v>
      </c>
      <c r="C931" t="s">
        <v>74</v>
      </c>
      <c r="D931" t="s">
        <v>75</v>
      </c>
      <c r="E931">
        <v>7.99</v>
      </c>
      <c r="F931" t="str">
        <f>C931&amp;D931</f>
        <v>GermanyCryptocurrency</v>
      </c>
      <c r="G931">
        <v>351</v>
      </c>
      <c r="H931" t="s">
        <v>57</v>
      </c>
    </row>
    <row r="932" spans="1:8">
      <c r="A932">
        <v>6113</v>
      </c>
      <c r="B932" t="s">
        <v>713</v>
      </c>
      <c r="C932" t="s">
        <v>49</v>
      </c>
      <c r="D932" t="s">
        <v>75</v>
      </c>
      <c r="E932">
        <v>11.99</v>
      </c>
      <c r="F932" t="str">
        <f>C932&amp;D932</f>
        <v>UKCryptocurrency</v>
      </c>
      <c r="G932">
        <v>491</v>
      </c>
      <c r="H932" t="s">
        <v>29</v>
      </c>
    </row>
    <row r="933" spans="1:8">
      <c r="A933">
        <v>7457</v>
      </c>
      <c r="B933" t="s">
        <v>498</v>
      </c>
      <c r="C933" t="s">
        <v>49</v>
      </c>
      <c r="D933" t="s">
        <v>44</v>
      </c>
      <c r="E933">
        <v>11.99</v>
      </c>
      <c r="F933" t="str">
        <f>C933&amp;D933</f>
        <v>UKDebit Card</v>
      </c>
      <c r="G933">
        <v>164</v>
      </c>
      <c r="H933" t="s">
        <v>45</v>
      </c>
    </row>
    <row r="934" spans="1:8">
      <c r="A934">
        <v>6639</v>
      </c>
      <c r="B934" t="s">
        <v>401</v>
      </c>
      <c r="C934" t="s">
        <v>74</v>
      </c>
      <c r="D934" t="s">
        <v>28</v>
      </c>
      <c r="E934">
        <v>7.99</v>
      </c>
      <c r="F934" t="str">
        <f>C934&amp;D934</f>
        <v>GermanyPayPal</v>
      </c>
      <c r="G934">
        <v>304</v>
      </c>
      <c r="H934" t="s">
        <v>45</v>
      </c>
    </row>
    <row r="935" spans="1:8">
      <c r="A935">
        <v>5220</v>
      </c>
      <c r="B935" t="s">
        <v>212</v>
      </c>
      <c r="C935" t="s">
        <v>27</v>
      </c>
      <c r="D935" t="s">
        <v>28</v>
      </c>
      <c r="E935">
        <v>7.99</v>
      </c>
      <c r="F935" t="str">
        <f>C935&amp;D935</f>
        <v>USAPayPal</v>
      </c>
      <c r="G935">
        <v>166</v>
      </c>
      <c r="H935" t="s">
        <v>64</v>
      </c>
    </row>
    <row r="936" spans="1:8">
      <c r="A936">
        <v>6970</v>
      </c>
      <c r="B936" t="s">
        <v>367</v>
      </c>
      <c r="C936" t="s">
        <v>43</v>
      </c>
      <c r="D936" t="s">
        <v>56</v>
      </c>
      <c r="E936">
        <v>7.99</v>
      </c>
      <c r="F936" t="str">
        <f>C936&amp;D936</f>
        <v>CanadaCredit Card</v>
      </c>
      <c r="G936">
        <v>225</v>
      </c>
      <c r="H936" t="s">
        <v>29</v>
      </c>
    </row>
    <row r="937" spans="1:8">
      <c r="A937">
        <v>6705</v>
      </c>
      <c r="B937" t="s">
        <v>126</v>
      </c>
      <c r="C937" t="s">
        <v>74</v>
      </c>
      <c r="D937" t="s">
        <v>44</v>
      </c>
      <c r="E937">
        <v>7.99</v>
      </c>
      <c r="F937" t="str">
        <f>C937&amp;D937</f>
        <v>GermanyDebit Card</v>
      </c>
      <c r="G937">
        <v>163</v>
      </c>
      <c r="H937" t="s">
        <v>29</v>
      </c>
    </row>
    <row r="938" spans="1:8">
      <c r="A938">
        <v>2477</v>
      </c>
      <c r="B938" t="s">
        <v>365</v>
      </c>
      <c r="C938" t="s">
        <v>27</v>
      </c>
      <c r="D938" t="s">
        <v>44</v>
      </c>
      <c r="E938">
        <v>15.99</v>
      </c>
      <c r="F938" t="str">
        <f>C938&amp;D938</f>
        <v>USADebit Card</v>
      </c>
      <c r="G938">
        <v>419</v>
      </c>
      <c r="H938" t="s">
        <v>29</v>
      </c>
    </row>
    <row r="939" spans="1:8">
      <c r="A939">
        <v>6236</v>
      </c>
      <c r="B939" t="s">
        <v>657</v>
      </c>
      <c r="C939" t="s">
        <v>55</v>
      </c>
      <c r="D939" t="s">
        <v>56</v>
      </c>
      <c r="E939">
        <v>11.99</v>
      </c>
      <c r="F939" t="str">
        <f>C939&amp;D939</f>
        <v>IndiaCredit Card</v>
      </c>
      <c r="G939">
        <v>293</v>
      </c>
      <c r="H939" t="s">
        <v>45</v>
      </c>
    </row>
    <row r="940" spans="1:8">
      <c r="A940">
        <v>4079</v>
      </c>
      <c r="B940" t="s">
        <v>716</v>
      </c>
      <c r="C940" t="s">
        <v>74</v>
      </c>
      <c r="D940" t="s">
        <v>44</v>
      </c>
      <c r="E940">
        <v>7.99</v>
      </c>
      <c r="F940" t="str">
        <f>C940&amp;D940</f>
        <v>GermanyDebit Card</v>
      </c>
      <c r="G940">
        <v>171</v>
      </c>
      <c r="H940" t="s">
        <v>37</v>
      </c>
    </row>
    <row r="941" spans="1:8">
      <c r="A941">
        <v>7927</v>
      </c>
      <c r="B941" t="s">
        <v>592</v>
      </c>
      <c r="C941" t="s">
        <v>74</v>
      </c>
      <c r="D941" t="s">
        <v>56</v>
      </c>
      <c r="E941">
        <v>7.99</v>
      </c>
      <c r="F941" t="str">
        <f>C941&amp;D941</f>
        <v>GermanyCredit Card</v>
      </c>
      <c r="G941">
        <v>438</v>
      </c>
      <c r="H941" t="s">
        <v>57</v>
      </c>
    </row>
    <row r="942" spans="1:8">
      <c r="A942">
        <v>5059</v>
      </c>
      <c r="B942" t="s">
        <v>41</v>
      </c>
      <c r="C942" t="s">
        <v>68</v>
      </c>
      <c r="D942" t="s">
        <v>44</v>
      </c>
      <c r="E942">
        <v>11.99</v>
      </c>
      <c r="F942" t="str">
        <f>C942&amp;D942</f>
        <v>AustraliaDebit Card</v>
      </c>
      <c r="G942">
        <v>247</v>
      </c>
      <c r="H942" t="s">
        <v>45</v>
      </c>
    </row>
    <row r="943" spans="1:8">
      <c r="A943">
        <v>4210</v>
      </c>
      <c r="B943" t="s">
        <v>284</v>
      </c>
      <c r="C943" t="s">
        <v>49</v>
      </c>
      <c r="D943" t="s">
        <v>44</v>
      </c>
      <c r="E943">
        <v>11.99</v>
      </c>
      <c r="F943" t="str">
        <f>C943&amp;D943</f>
        <v>UKDebit Card</v>
      </c>
      <c r="G943">
        <v>85</v>
      </c>
      <c r="H943" t="s">
        <v>57</v>
      </c>
    </row>
    <row r="944" spans="1:8">
      <c r="A944">
        <v>5054</v>
      </c>
      <c r="B944" t="s">
        <v>41</v>
      </c>
      <c r="C944" t="s">
        <v>43</v>
      </c>
      <c r="D944" t="s">
        <v>56</v>
      </c>
      <c r="E944">
        <v>11.99</v>
      </c>
      <c r="F944" t="str">
        <f>C944&amp;D944</f>
        <v>CanadaCredit Card</v>
      </c>
      <c r="G944">
        <v>203</v>
      </c>
      <c r="H944" t="s">
        <v>29</v>
      </c>
    </row>
    <row r="945" spans="1:8">
      <c r="A945">
        <v>5836</v>
      </c>
      <c r="B945" t="s">
        <v>504</v>
      </c>
      <c r="C945" t="s">
        <v>92</v>
      </c>
      <c r="D945" t="s">
        <v>75</v>
      </c>
      <c r="E945">
        <v>15.99</v>
      </c>
      <c r="F945" t="str">
        <f>C945&amp;D945</f>
        <v>FranceCryptocurrency</v>
      </c>
      <c r="G945">
        <v>219</v>
      </c>
      <c r="H945" t="s">
        <v>45</v>
      </c>
    </row>
    <row r="946" spans="1:8">
      <c r="A946">
        <v>8612</v>
      </c>
      <c r="B946" t="s">
        <v>304</v>
      </c>
      <c r="C946" t="s">
        <v>74</v>
      </c>
      <c r="D946" t="s">
        <v>75</v>
      </c>
      <c r="E946">
        <v>7.99</v>
      </c>
      <c r="F946" t="str">
        <f>C946&amp;D946</f>
        <v>GermanyCryptocurrency</v>
      </c>
      <c r="G946">
        <v>285</v>
      </c>
      <c r="H946" t="s">
        <v>45</v>
      </c>
    </row>
    <row r="947" spans="1:8">
      <c r="A947">
        <v>7445</v>
      </c>
      <c r="B947" t="s">
        <v>125</v>
      </c>
      <c r="C947" t="s">
        <v>27</v>
      </c>
      <c r="D947" t="s">
        <v>56</v>
      </c>
      <c r="E947">
        <v>15.99</v>
      </c>
      <c r="F947" t="str">
        <f>C947&amp;D947</f>
        <v>USACredit Card</v>
      </c>
      <c r="G947">
        <v>115</v>
      </c>
      <c r="H947" t="s">
        <v>64</v>
      </c>
    </row>
    <row r="948" spans="1:8">
      <c r="A948">
        <v>6135</v>
      </c>
      <c r="B948" t="s">
        <v>112</v>
      </c>
      <c r="C948" t="s">
        <v>68</v>
      </c>
      <c r="D948" t="s">
        <v>56</v>
      </c>
      <c r="E948">
        <v>7.99</v>
      </c>
      <c r="F948" t="str">
        <f>C948&amp;D948</f>
        <v>AustraliaCredit Card</v>
      </c>
      <c r="G948">
        <v>322</v>
      </c>
      <c r="H948" t="s">
        <v>64</v>
      </c>
    </row>
    <row r="949" spans="1:8">
      <c r="A949">
        <v>3168</v>
      </c>
      <c r="B949" t="s">
        <v>373</v>
      </c>
      <c r="C949" t="s">
        <v>68</v>
      </c>
      <c r="D949" t="s">
        <v>28</v>
      </c>
      <c r="E949">
        <v>7.99</v>
      </c>
      <c r="F949" t="str">
        <f>C949&amp;D949</f>
        <v>AustraliaPayPal</v>
      </c>
      <c r="G949">
        <v>348</v>
      </c>
      <c r="H949" t="s">
        <v>57</v>
      </c>
    </row>
    <row r="950" spans="1:8">
      <c r="A950">
        <v>2981</v>
      </c>
      <c r="B950" t="s">
        <v>718</v>
      </c>
      <c r="C950" t="s">
        <v>92</v>
      </c>
      <c r="D950" t="s">
        <v>44</v>
      </c>
      <c r="E950">
        <v>11.99</v>
      </c>
      <c r="F950" t="str">
        <f>C950&amp;D950</f>
        <v>FranceDebit Card</v>
      </c>
      <c r="G950">
        <v>482</v>
      </c>
      <c r="H950" t="s">
        <v>57</v>
      </c>
    </row>
    <row r="951" spans="1:8">
      <c r="A951">
        <v>7739</v>
      </c>
      <c r="B951" t="s">
        <v>254</v>
      </c>
      <c r="C951" t="s">
        <v>92</v>
      </c>
      <c r="D951" t="s">
        <v>75</v>
      </c>
      <c r="E951">
        <v>7.99</v>
      </c>
      <c r="F951" t="str">
        <f>C951&amp;D951</f>
        <v>FranceCryptocurrency</v>
      </c>
      <c r="G951">
        <v>384</v>
      </c>
      <c r="H951" t="s">
        <v>78</v>
      </c>
    </row>
    <row r="952" spans="1:8">
      <c r="A952">
        <v>5905</v>
      </c>
      <c r="B952" t="s">
        <v>345</v>
      </c>
      <c r="C952" t="s">
        <v>55</v>
      </c>
      <c r="D952" t="s">
        <v>28</v>
      </c>
      <c r="E952">
        <v>15.99</v>
      </c>
      <c r="F952" t="str">
        <f>C952&amp;D952</f>
        <v>IndiaPayPal</v>
      </c>
      <c r="G952">
        <v>178</v>
      </c>
      <c r="H952" t="s">
        <v>57</v>
      </c>
    </row>
    <row r="953" spans="1:8">
      <c r="A953">
        <v>1443</v>
      </c>
      <c r="B953" t="s">
        <v>369</v>
      </c>
      <c r="C953" t="s">
        <v>27</v>
      </c>
      <c r="D953" t="s">
        <v>56</v>
      </c>
      <c r="E953">
        <v>11.99</v>
      </c>
      <c r="F953" t="str">
        <f>C953&amp;D953</f>
        <v>USACredit Card</v>
      </c>
      <c r="G953">
        <v>91</v>
      </c>
      <c r="H953" t="s">
        <v>37</v>
      </c>
    </row>
    <row r="954" spans="1:8">
      <c r="A954">
        <v>6181</v>
      </c>
      <c r="B954" t="s">
        <v>608</v>
      </c>
      <c r="C954" t="s">
        <v>49</v>
      </c>
      <c r="D954" t="s">
        <v>56</v>
      </c>
      <c r="E954">
        <v>11.99</v>
      </c>
      <c r="F954" t="str">
        <f>C954&amp;D954</f>
        <v>UKCredit Card</v>
      </c>
      <c r="G954">
        <v>175</v>
      </c>
      <c r="H954" t="s">
        <v>78</v>
      </c>
    </row>
    <row r="955" spans="1:8">
      <c r="A955">
        <v>8406</v>
      </c>
      <c r="B955" t="s">
        <v>720</v>
      </c>
      <c r="C955" t="s">
        <v>49</v>
      </c>
      <c r="D955" t="s">
        <v>28</v>
      </c>
      <c r="E955">
        <v>11.99</v>
      </c>
      <c r="F955" t="str">
        <f>C955&amp;D955</f>
        <v>UKPayPal</v>
      </c>
      <c r="G955">
        <v>187</v>
      </c>
      <c r="H955" t="s">
        <v>78</v>
      </c>
    </row>
    <row r="956" spans="1:8">
      <c r="A956">
        <v>5389</v>
      </c>
      <c r="B956" t="s">
        <v>721</v>
      </c>
      <c r="C956" t="s">
        <v>74</v>
      </c>
      <c r="D956" t="s">
        <v>75</v>
      </c>
      <c r="E956">
        <v>11.99</v>
      </c>
      <c r="F956" t="str">
        <f>C956&amp;D956</f>
        <v>GermanyCryptocurrency</v>
      </c>
      <c r="G956">
        <v>352</v>
      </c>
      <c r="H956" t="s">
        <v>64</v>
      </c>
    </row>
    <row r="957" spans="1:8">
      <c r="A957">
        <v>4586</v>
      </c>
      <c r="B957" t="s">
        <v>723</v>
      </c>
      <c r="C957" t="s">
        <v>74</v>
      </c>
      <c r="D957" t="s">
        <v>44</v>
      </c>
      <c r="E957">
        <v>7.99</v>
      </c>
      <c r="F957" t="str">
        <f>C957&amp;D957</f>
        <v>GermanyDebit Card</v>
      </c>
      <c r="G957">
        <v>448</v>
      </c>
      <c r="H957" t="s">
        <v>57</v>
      </c>
    </row>
    <row r="958" spans="1:8">
      <c r="A958">
        <v>4020</v>
      </c>
      <c r="B958" t="s">
        <v>691</v>
      </c>
      <c r="C958" t="s">
        <v>49</v>
      </c>
      <c r="D958" t="s">
        <v>44</v>
      </c>
      <c r="E958">
        <v>15.99</v>
      </c>
      <c r="F958" t="str">
        <f>C958&amp;D958</f>
        <v>UKDebit Card</v>
      </c>
      <c r="G958">
        <v>81</v>
      </c>
      <c r="H958" t="s">
        <v>45</v>
      </c>
    </row>
    <row r="959" spans="1:8">
      <c r="A959">
        <v>1635</v>
      </c>
      <c r="B959" t="s">
        <v>434</v>
      </c>
      <c r="C959" t="s">
        <v>68</v>
      </c>
      <c r="D959" t="s">
        <v>75</v>
      </c>
      <c r="E959">
        <v>15.99</v>
      </c>
      <c r="F959" t="str">
        <f>C959&amp;D959</f>
        <v>AustraliaCryptocurrency</v>
      </c>
      <c r="G959">
        <v>321</v>
      </c>
      <c r="H959" t="s">
        <v>45</v>
      </c>
    </row>
    <row r="960" spans="1:8">
      <c r="A960">
        <v>9257</v>
      </c>
      <c r="B960" t="s">
        <v>177</v>
      </c>
      <c r="C960" t="s">
        <v>68</v>
      </c>
      <c r="D960" t="s">
        <v>44</v>
      </c>
      <c r="E960">
        <v>7.99</v>
      </c>
      <c r="F960" t="str">
        <f>C960&amp;D960</f>
        <v>AustraliaDebit Card</v>
      </c>
      <c r="G960">
        <v>114</v>
      </c>
      <c r="H960" t="s">
        <v>45</v>
      </c>
    </row>
    <row r="961" spans="1:8">
      <c r="A961">
        <v>6380</v>
      </c>
      <c r="B961" t="s">
        <v>88</v>
      </c>
      <c r="C961" t="s">
        <v>55</v>
      </c>
      <c r="D961" t="s">
        <v>75</v>
      </c>
      <c r="E961">
        <v>7.99</v>
      </c>
      <c r="F961" t="str">
        <f>C961&amp;D961</f>
        <v>IndiaCryptocurrency</v>
      </c>
      <c r="G961">
        <v>493</v>
      </c>
      <c r="H961" t="s">
        <v>29</v>
      </c>
    </row>
    <row r="962" spans="1:8">
      <c r="A962">
        <v>6385</v>
      </c>
      <c r="B962" t="s">
        <v>508</v>
      </c>
      <c r="C962" t="s">
        <v>74</v>
      </c>
      <c r="D962" t="s">
        <v>75</v>
      </c>
      <c r="E962">
        <v>11.99</v>
      </c>
      <c r="F962" t="str">
        <f>C962&amp;D962</f>
        <v>GermanyCryptocurrency</v>
      </c>
      <c r="G962">
        <v>475</v>
      </c>
      <c r="H962" t="s">
        <v>37</v>
      </c>
    </row>
    <row r="963" spans="1:8">
      <c r="A963">
        <v>6858</v>
      </c>
      <c r="B963" t="s">
        <v>318</v>
      </c>
      <c r="C963" t="s">
        <v>55</v>
      </c>
      <c r="D963" t="s">
        <v>44</v>
      </c>
      <c r="E963">
        <v>11.99</v>
      </c>
      <c r="F963" t="str">
        <f>C963&amp;D963</f>
        <v>IndiaDebit Card</v>
      </c>
      <c r="G963">
        <v>287</v>
      </c>
      <c r="H963" t="s">
        <v>37</v>
      </c>
    </row>
    <row r="964" spans="1:8">
      <c r="A964">
        <v>8875</v>
      </c>
      <c r="B964" t="s">
        <v>434</v>
      </c>
      <c r="C964" t="s">
        <v>49</v>
      </c>
      <c r="D964" t="s">
        <v>75</v>
      </c>
      <c r="E964">
        <v>15.99</v>
      </c>
      <c r="F964" t="str">
        <f>C964&amp;D964</f>
        <v>UKCryptocurrency</v>
      </c>
      <c r="G964">
        <v>138</v>
      </c>
      <c r="H964" t="s">
        <v>78</v>
      </c>
    </row>
    <row r="965" spans="1:8">
      <c r="A965">
        <v>3334</v>
      </c>
      <c r="B965" t="s">
        <v>286</v>
      </c>
      <c r="C965" t="s">
        <v>92</v>
      </c>
      <c r="D965" t="s">
        <v>28</v>
      </c>
      <c r="E965">
        <v>15.99</v>
      </c>
      <c r="F965" t="str">
        <f>C965&amp;D965</f>
        <v>FrancePayPal</v>
      </c>
      <c r="G965">
        <v>198</v>
      </c>
      <c r="H965" t="s">
        <v>57</v>
      </c>
    </row>
    <row r="966" spans="1:8">
      <c r="A966">
        <v>5850</v>
      </c>
      <c r="B966" t="s">
        <v>126</v>
      </c>
      <c r="C966" t="s">
        <v>92</v>
      </c>
      <c r="D966" t="s">
        <v>75</v>
      </c>
      <c r="E966">
        <v>15.99</v>
      </c>
      <c r="F966" t="str">
        <f>C966&amp;D966</f>
        <v>FranceCryptocurrency</v>
      </c>
      <c r="G966">
        <v>164</v>
      </c>
      <c r="H966" t="s">
        <v>57</v>
      </c>
    </row>
    <row r="967" spans="1:8">
      <c r="A967">
        <v>8593</v>
      </c>
      <c r="B967" t="s">
        <v>153</v>
      </c>
      <c r="C967" t="s">
        <v>92</v>
      </c>
      <c r="D967" t="s">
        <v>75</v>
      </c>
      <c r="E967">
        <v>15.99</v>
      </c>
      <c r="F967" t="str">
        <f>C967&amp;D967</f>
        <v>FranceCryptocurrency</v>
      </c>
      <c r="G967">
        <v>65</v>
      </c>
      <c r="H967" t="s">
        <v>37</v>
      </c>
    </row>
    <row r="968" spans="1:8">
      <c r="A968">
        <v>6278</v>
      </c>
      <c r="B968" t="s">
        <v>357</v>
      </c>
      <c r="C968" t="s">
        <v>27</v>
      </c>
      <c r="D968" t="s">
        <v>44</v>
      </c>
      <c r="E968">
        <v>7.99</v>
      </c>
      <c r="F968" t="str">
        <f>C968&amp;D968</f>
        <v>USADebit Card</v>
      </c>
      <c r="G968">
        <v>388</v>
      </c>
      <c r="H968" t="s">
        <v>29</v>
      </c>
    </row>
    <row r="969" spans="1:8">
      <c r="A969">
        <v>1388</v>
      </c>
      <c r="B969" t="s">
        <v>157</v>
      </c>
      <c r="C969" t="s">
        <v>27</v>
      </c>
      <c r="D969" t="s">
        <v>75</v>
      </c>
      <c r="E969">
        <v>15.99</v>
      </c>
      <c r="F969" t="str">
        <f>C969&amp;D969</f>
        <v>USACryptocurrency</v>
      </c>
      <c r="G969">
        <v>412</v>
      </c>
      <c r="H969" t="s">
        <v>29</v>
      </c>
    </row>
    <row r="970" spans="1:8">
      <c r="A970">
        <v>2521</v>
      </c>
      <c r="B970" t="s">
        <v>143</v>
      </c>
      <c r="C970" t="s">
        <v>27</v>
      </c>
      <c r="D970" t="s">
        <v>75</v>
      </c>
      <c r="E970">
        <v>15.99</v>
      </c>
      <c r="F970" t="str">
        <f>C970&amp;D970</f>
        <v>USACryptocurrency</v>
      </c>
      <c r="G970">
        <v>267</v>
      </c>
      <c r="H970" t="s">
        <v>64</v>
      </c>
    </row>
    <row r="971" spans="1:8">
      <c r="A971">
        <v>1269</v>
      </c>
      <c r="B971" t="s">
        <v>726</v>
      </c>
      <c r="C971" t="s">
        <v>27</v>
      </c>
      <c r="D971" t="s">
        <v>75</v>
      </c>
      <c r="E971">
        <v>15.99</v>
      </c>
      <c r="F971" t="str">
        <f>C971&amp;D971</f>
        <v>USACryptocurrency</v>
      </c>
      <c r="G971">
        <v>29</v>
      </c>
      <c r="H971" t="s">
        <v>57</v>
      </c>
    </row>
    <row r="972" spans="1:8">
      <c r="A972">
        <v>9959</v>
      </c>
      <c r="B972" t="s">
        <v>266</v>
      </c>
      <c r="C972" t="s">
        <v>74</v>
      </c>
      <c r="D972" t="s">
        <v>44</v>
      </c>
      <c r="E972">
        <v>15.99</v>
      </c>
      <c r="F972" t="str">
        <f>C972&amp;D972</f>
        <v>GermanyDebit Card</v>
      </c>
      <c r="G972">
        <v>454</v>
      </c>
      <c r="H972" t="s">
        <v>37</v>
      </c>
    </row>
    <row r="973" spans="1:8">
      <c r="A973">
        <v>7549</v>
      </c>
      <c r="B973" t="s">
        <v>720</v>
      </c>
      <c r="C973" t="s">
        <v>92</v>
      </c>
      <c r="D973" t="s">
        <v>56</v>
      </c>
      <c r="E973">
        <v>15.99</v>
      </c>
      <c r="F973" t="str">
        <f>C973&amp;D973</f>
        <v>FranceCredit Card</v>
      </c>
      <c r="G973">
        <v>119</v>
      </c>
      <c r="H973" t="s">
        <v>37</v>
      </c>
    </row>
    <row r="974" spans="1:8">
      <c r="A974">
        <v>4747</v>
      </c>
      <c r="B974" t="s">
        <v>224</v>
      </c>
      <c r="C974" t="s">
        <v>49</v>
      </c>
      <c r="D974" t="s">
        <v>56</v>
      </c>
      <c r="E974">
        <v>11.99</v>
      </c>
      <c r="F974" t="str">
        <f>C974&amp;D974</f>
        <v>UKCredit Card</v>
      </c>
      <c r="G974">
        <v>311</v>
      </c>
      <c r="H974" t="s">
        <v>78</v>
      </c>
    </row>
    <row r="975" spans="1:8">
      <c r="A975">
        <v>8320</v>
      </c>
      <c r="B975" t="s">
        <v>549</v>
      </c>
      <c r="C975" t="s">
        <v>27</v>
      </c>
      <c r="D975" t="s">
        <v>28</v>
      </c>
      <c r="E975">
        <v>15.99</v>
      </c>
      <c r="F975" t="str">
        <f>C975&amp;D975</f>
        <v>USAPayPal</v>
      </c>
      <c r="G975">
        <v>122</v>
      </c>
      <c r="H975" t="s">
        <v>45</v>
      </c>
    </row>
    <row r="976" spans="1:8">
      <c r="A976">
        <v>1333</v>
      </c>
      <c r="B976" t="s">
        <v>106</v>
      </c>
      <c r="C976" t="s">
        <v>43</v>
      </c>
      <c r="D976" t="s">
        <v>56</v>
      </c>
      <c r="E976">
        <v>15.99</v>
      </c>
      <c r="F976" t="str">
        <f>C976&amp;D976</f>
        <v>CanadaCredit Card</v>
      </c>
      <c r="G976">
        <v>300</v>
      </c>
      <c r="H976" t="s">
        <v>37</v>
      </c>
    </row>
    <row r="977" spans="1:8">
      <c r="A977">
        <v>5254</v>
      </c>
      <c r="B977" t="s">
        <v>542</v>
      </c>
      <c r="C977" t="s">
        <v>43</v>
      </c>
      <c r="D977" t="s">
        <v>44</v>
      </c>
      <c r="E977">
        <v>15.99</v>
      </c>
      <c r="F977" t="str">
        <f>C977&amp;D977</f>
        <v>CanadaDebit Card</v>
      </c>
      <c r="G977">
        <v>59</v>
      </c>
      <c r="H977" t="s">
        <v>37</v>
      </c>
    </row>
    <row r="978" spans="1:8">
      <c r="A978">
        <v>6842</v>
      </c>
      <c r="B978" t="s">
        <v>648</v>
      </c>
      <c r="C978" t="s">
        <v>43</v>
      </c>
      <c r="D978" t="s">
        <v>44</v>
      </c>
      <c r="E978">
        <v>15.99</v>
      </c>
      <c r="F978" t="str">
        <f>C978&amp;D978</f>
        <v>CanadaDebit Card</v>
      </c>
      <c r="G978">
        <v>34</v>
      </c>
      <c r="H978" t="s">
        <v>29</v>
      </c>
    </row>
    <row r="979" spans="1:8">
      <c r="A979">
        <v>9333</v>
      </c>
      <c r="B979" t="s">
        <v>635</v>
      </c>
      <c r="C979" t="s">
        <v>55</v>
      </c>
      <c r="D979" t="s">
        <v>75</v>
      </c>
      <c r="E979">
        <v>11.99</v>
      </c>
      <c r="F979" t="str">
        <f>C979&amp;D979</f>
        <v>IndiaCryptocurrency</v>
      </c>
      <c r="G979">
        <v>23</v>
      </c>
      <c r="H979" t="s">
        <v>37</v>
      </c>
    </row>
    <row r="980" spans="1:8">
      <c r="A980">
        <v>9122</v>
      </c>
      <c r="B980" t="s">
        <v>729</v>
      </c>
      <c r="C980" t="s">
        <v>92</v>
      </c>
      <c r="D980" t="s">
        <v>28</v>
      </c>
      <c r="E980">
        <v>15.99</v>
      </c>
      <c r="F980" t="str">
        <f>C980&amp;D980</f>
        <v>FrancePayPal</v>
      </c>
      <c r="G980">
        <v>168</v>
      </c>
      <c r="H980" t="s">
        <v>29</v>
      </c>
    </row>
    <row r="981" spans="1:8">
      <c r="A981">
        <v>6221</v>
      </c>
      <c r="B981" t="s">
        <v>143</v>
      </c>
      <c r="C981" t="s">
        <v>27</v>
      </c>
      <c r="D981" t="s">
        <v>56</v>
      </c>
      <c r="E981">
        <v>11.99</v>
      </c>
      <c r="F981" t="str">
        <f>C981&amp;D981</f>
        <v>USACredit Card</v>
      </c>
      <c r="G981">
        <v>306</v>
      </c>
      <c r="H981" t="s">
        <v>57</v>
      </c>
    </row>
    <row r="982" spans="1:8">
      <c r="A982">
        <v>9957</v>
      </c>
      <c r="B982" t="s">
        <v>357</v>
      </c>
      <c r="C982" t="s">
        <v>92</v>
      </c>
      <c r="D982" t="s">
        <v>44</v>
      </c>
      <c r="E982">
        <v>15.99</v>
      </c>
      <c r="F982" t="str">
        <f>C982&amp;D982</f>
        <v>FranceDebit Card</v>
      </c>
      <c r="G982">
        <v>433</v>
      </c>
      <c r="H982" t="s">
        <v>57</v>
      </c>
    </row>
    <row r="983" spans="1:8">
      <c r="A983">
        <v>4680</v>
      </c>
      <c r="B983" t="s">
        <v>730</v>
      </c>
      <c r="C983" t="s">
        <v>27</v>
      </c>
      <c r="D983" t="s">
        <v>75</v>
      </c>
      <c r="E983">
        <v>11.99</v>
      </c>
      <c r="F983" t="str">
        <f>C983&amp;D983</f>
        <v>USACryptocurrency</v>
      </c>
      <c r="G983">
        <v>221</v>
      </c>
      <c r="H983" t="s">
        <v>37</v>
      </c>
    </row>
    <row r="984" spans="1:8">
      <c r="A984">
        <v>5974</v>
      </c>
      <c r="B984" t="s">
        <v>731</v>
      </c>
      <c r="C984" t="s">
        <v>49</v>
      </c>
      <c r="D984" t="s">
        <v>75</v>
      </c>
      <c r="E984">
        <v>15.99</v>
      </c>
      <c r="F984" t="str">
        <f>C984&amp;D984</f>
        <v>UKCryptocurrency</v>
      </c>
      <c r="G984">
        <v>236</v>
      </c>
      <c r="H984" t="s">
        <v>37</v>
      </c>
    </row>
    <row r="985" spans="1:8">
      <c r="A985">
        <v>6938</v>
      </c>
      <c r="B985" t="s">
        <v>382</v>
      </c>
      <c r="C985" t="s">
        <v>74</v>
      </c>
      <c r="D985" t="s">
        <v>56</v>
      </c>
      <c r="E985">
        <v>11.99</v>
      </c>
      <c r="F985" t="str">
        <f>C985&amp;D985</f>
        <v>GermanyCredit Card</v>
      </c>
      <c r="G985">
        <v>75</v>
      </c>
      <c r="H985" t="s">
        <v>29</v>
      </c>
    </row>
    <row r="986" spans="1:8">
      <c r="A986">
        <v>1175</v>
      </c>
      <c r="B986" t="s">
        <v>584</v>
      </c>
      <c r="C986" t="s">
        <v>74</v>
      </c>
      <c r="D986" t="s">
        <v>56</v>
      </c>
      <c r="E986">
        <v>15.99</v>
      </c>
      <c r="F986" t="str">
        <f>C986&amp;D986</f>
        <v>GermanyCredit Card</v>
      </c>
      <c r="G986">
        <v>325</v>
      </c>
      <c r="H986" t="s">
        <v>29</v>
      </c>
    </row>
    <row r="987" spans="1:8">
      <c r="A987">
        <v>1260</v>
      </c>
      <c r="B987" t="s">
        <v>453</v>
      </c>
      <c r="C987" t="s">
        <v>74</v>
      </c>
      <c r="D987" t="s">
        <v>44</v>
      </c>
      <c r="E987">
        <v>7.99</v>
      </c>
      <c r="F987" t="str">
        <f>C987&amp;D987</f>
        <v>GermanyDebit Card</v>
      </c>
      <c r="G987">
        <v>217</v>
      </c>
      <c r="H987" t="s">
        <v>45</v>
      </c>
    </row>
    <row r="988" spans="1:8">
      <c r="A988">
        <v>4645</v>
      </c>
      <c r="B988" t="s">
        <v>130</v>
      </c>
      <c r="C988" t="s">
        <v>74</v>
      </c>
      <c r="D988" t="s">
        <v>75</v>
      </c>
      <c r="E988">
        <v>7.99</v>
      </c>
      <c r="F988" t="str">
        <f>C988&amp;D988</f>
        <v>GermanyCryptocurrency</v>
      </c>
      <c r="G988">
        <v>178</v>
      </c>
      <c r="H988" t="s">
        <v>78</v>
      </c>
    </row>
    <row r="989" spans="1:8">
      <c r="A989">
        <v>1637</v>
      </c>
      <c r="B989" t="s">
        <v>122</v>
      </c>
      <c r="C989" t="s">
        <v>49</v>
      </c>
      <c r="D989" t="s">
        <v>75</v>
      </c>
      <c r="E989">
        <v>15.99</v>
      </c>
      <c r="F989" t="str">
        <f>C989&amp;D989</f>
        <v>UKCryptocurrency</v>
      </c>
      <c r="G989">
        <v>74</v>
      </c>
      <c r="H989" t="s">
        <v>29</v>
      </c>
    </row>
    <row r="990" spans="1:8">
      <c r="A990">
        <v>7960</v>
      </c>
      <c r="B990" t="s">
        <v>521</v>
      </c>
      <c r="C990" t="s">
        <v>43</v>
      </c>
      <c r="D990" t="s">
        <v>56</v>
      </c>
      <c r="E990">
        <v>15.99</v>
      </c>
      <c r="F990" t="str">
        <f>C990&amp;D990</f>
        <v>CanadaCredit Card</v>
      </c>
      <c r="G990">
        <v>373</v>
      </c>
      <c r="H990" t="s">
        <v>64</v>
      </c>
    </row>
    <row r="991" spans="1:8">
      <c r="A991">
        <v>9693</v>
      </c>
      <c r="B991" t="s">
        <v>733</v>
      </c>
      <c r="C991" t="s">
        <v>49</v>
      </c>
      <c r="D991" t="s">
        <v>28</v>
      </c>
      <c r="E991">
        <v>15.99</v>
      </c>
      <c r="F991" t="str">
        <f>C991&amp;D991</f>
        <v>UKPayPal</v>
      </c>
      <c r="G991">
        <v>64</v>
      </c>
      <c r="H991" t="s">
        <v>45</v>
      </c>
    </row>
    <row r="992" spans="1:8">
      <c r="A992">
        <v>8743</v>
      </c>
      <c r="B992" t="s">
        <v>201</v>
      </c>
      <c r="C992" t="s">
        <v>55</v>
      </c>
      <c r="D992" t="s">
        <v>28</v>
      </c>
      <c r="E992">
        <v>11.99</v>
      </c>
      <c r="F992" t="str">
        <f>C992&amp;D992</f>
        <v>IndiaPayPal</v>
      </c>
      <c r="G992">
        <v>129</v>
      </c>
      <c r="H992" t="s">
        <v>37</v>
      </c>
    </row>
    <row r="993" spans="1:8">
      <c r="A993">
        <v>3379</v>
      </c>
      <c r="B993" t="s">
        <v>695</v>
      </c>
      <c r="C993" t="s">
        <v>55</v>
      </c>
      <c r="D993" t="s">
        <v>28</v>
      </c>
      <c r="E993">
        <v>15.99</v>
      </c>
      <c r="F993" t="str">
        <f>C993&amp;D993</f>
        <v>IndiaPayPal</v>
      </c>
      <c r="G993">
        <v>297</v>
      </c>
      <c r="H993" t="s">
        <v>37</v>
      </c>
    </row>
    <row r="994" spans="1:8">
      <c r="A994">
        <v>7696</v>
      </c>
      <c r="B994" t="s">
        <v>224</v>
      </c>
      <c r="C994" t="s">
        <v>49</v>
      </c>
      <c r="D994" t="s">
        <v>44</v>
      </c>
      <c r="E994">
        <v>15.99</v>
      </c>
      <c r="F994" t="str">
        <f>C994&amp;D994</f>
        <v>UKDebit Card</v>
      </c>
      <c r="G994">
        <v>235</v>
      </c>
      <c r="H994" t="s">
        <v>37</v>
      </c>
    </row>
    <row r="995" spans="1:8">
      <c r="A995">
        <v>8552</v>
      </c>
      <c r="B995" t="s">
        <v>23</v>
      </c>
      <c r="C995" t="s">
        <v>49</v>
      </c>
      <c r="D995" t="s">
        <v>44</v>
      </c>
      <c r="E995">
        <v>15.99</v>
      </c>
      <c r="F995" t="str">
        <f>C995&amp;D995</f>
        <v>UKDebit Card</v>
      </c>
      <c r="G995">
        <v>390</v>
      </c>
      <c r="H995" t="s">
        <v>57</v>
      </c>
    </row>
    <row r="996" spans="1:8">
      <c r="A996">
        <v>5065</v>
      </c>
      <c r="B996" t="s">
        <v>257</v>
      </c>
      <c r="C996" t="s">
        <v>49</v>
      </c>
      <c r="D996" t="s">
        <v>75</v>
      </c>
      <c r="E996">
        <v>11.99</v>
      </c>
      <c r="F996" t="str">
        <f>C996&amp;D996</f>
        <v>UKCryptocurrency</v>
      </c>
      <c r="G996">
        <v>362</v>
      </c>
      <c r="H996" t="s">
        <v>37</v>
      </c>
    </row>
    <row r="997" spans="1:8">
      <c r="A997">
        <v>6878</v>
      </c>
      <c r="B997" t="s">
        <v>52</v>
      </c>
      <c r="C997" t="s">
        <v>43</v>
      </c>
      <c r="D997" t="s">
        <v>44</v>
      </c>
      <c r="E997">
        <v>7.99</v>
      </c>
      <c r="F997" t="str">
        <f>C997&amp;D997</f>
        <v>CanadaDebit Card</v>
      </c>
      <c r="G997">
        <v>136</v>
      </c>
      <c r="H997" t="s">
        <v>29</v>
      </c>
    </row>
    <row r="998" spans="1:8">
      <c r="A998">
        <v>5681</v>
      </c>
      <c r="B998" t="s">
        <v>254</v>
      </c>
      <c r="C998" t="s">
        <v>55</v>
      </c>
      <c r="D998" t="s">
        <v>75</v>
      </c>
      <c r="E998">
        <v>11.99</v>
      </c>
      <c r="F998" t="str">
        <f>C998&amp;D998</f>
        <v>IndiaCryptocurrency</v>
      </c>
      <c r="G998">
        <v>159</v>
      </c>
      <c r="H998" t="s">
        <v>64</v>
      </c>
    </row>
    <row r="999" spans="1:8">
      <c r="A999">
        <v>4448</v>
      </c>
      <c r="B999" t="s">
        <v>179</v>
      </c>
      <c r="C999" t="s">
        <v>68</v>
      </c>
      <c r="D999" t="s">
        <v>56</v>
      </c>
      <c r="E999">
        <v>11.99</v>
      </c>
      <c r="F999" t="str">
        <f>C999&amp;D999</f>
        <v>AustraliaCredit Card</v>
      </c>
      <c r="G999">
        <v>99</v>
      </c>
      <c r="H999" t="s">
        <v>64</v>
      </c>
    </row>
    <row r="1000" spans="1:8">
      <c r="A1000">
        <v>5795</v>
      </c>
      <c r="B1000" t="s">
        <v>224</v>
      </c>
      <c r="C1000" t="s">
        <v>74</v>
      </c>
      <c r="D1000" t="s">
        <v>44</v>
      </c>
      <c r="E1000">
        <v>11.99</v>
      </c>
      <c r="F1000" t="str">
        <f>C1000&amp;D1000</f>
        <v>GermanyDebit Card</v>
      </c>
      <c r="G1000">
        <v>157</v>
      </c>
      <c r="H1000" t="s">
        <v>57</v>
      </c>
    </row>
    <row r="1001" spans="1:8">
      <c r="A1001">
        <v>5320</v>
      </c>
      <c r="B1001" t="s">
        <v>201</v>
      </c>
      <c r="C1001" t="s">
        <v>27</v>
      </c>
      <c r="D1001" t="s">
        <v>28</v>
      </c>
      <c r="E1001">
        <v>11.99</v>
      </c>
      <c r="F1001" t="str">
        <f>C1001&amp;D1001</f>
        <v>USAPayPal</v>
      </c>
      <c r="G1001">
        <v>123</v>
      </c>
      <c r="H1001" t="s">
        <v>37</v>
      </c>
    </row>
  </sheetData>
  <autoFilter ref="R2:U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streaming_service_data</vt:lpstr>
      <vt:lpstr>Sol 1</vt:lpstr>
      <vt:lpstr>Sol 2</vt:lpstr>
      <vt:lpstr>Sol 3</vt:lpstr>
      <vt:lpstr>Sol 4</vt:lpstr>
      <vt:lpstr>Sol 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2026-01-04T11:29:51Z</dcterms:created>
  <dcterms:modified xsi:type="dcterms:W3CDTF">2026-01-04T12:30:26Z</dcterms:modified>
</cp:coreProperties>
</file>